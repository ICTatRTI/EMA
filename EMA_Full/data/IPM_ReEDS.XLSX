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9870" windowHeight="11760" activeTab="1"/>
  </bookViews>
  <sheets>
    <sheet name="IPM-ReEDS overlap" sheetId="1" r:id="rId1"/>
    <sheet name="20% Vision Results by ReEDS" sheetId="2" r:id="rId2"/>
    <sheet name="IPM-ReEDS overlap w wind" sheetId="4" r:id="rId3"/>
    <sheet name="IPM-ReEDS weighted" sheetId="5" r:id="rId4"/>
    <sheet name="IPM-ReEDS weighted simplified" sheetId="6" r:id="rId5"/>
    <sheet name="IPM-ReEDS unconstrained" sheetId="7" r:id="rId6"/>
    <sheet name="IPM-ReEDS uncon weight" sheetId="9" r:id="rId7"/>
    <sheet name="IPM-ReEDS uncon weight simp" sheetId="10" r:id="rId8"/>
  </sheets>
  <calcPr calcId="125725"/>
</workbook>
</file>

<file path=xl/calcChain.xml><?xml version="1.0" encoding="utf-8"?>
<calcChain xmlns="http://schemas.openxmlformats.org/spreadsheetml/2006/main">
  <c r="S1" i="7"/>
  <c r="P1" i="4"/>
  <c r="Q1"/>
  <c r="O1"/>
  <c r="E1"/>
  <c r="G2" i="2"/>
  <c r="B2"/>
  <c r="AG412" i="9"/>
  <c r="AF412"/>
  <c r="AE412"/>
  <c r="AD412"/>
  <c r="AC412"/>
  <c r="AB412"/>
  <c r="AA412"/>
  <c r="Z412"/>
  <c r="Y412"/>
  <c r="X412"/>
  <c r="W412"/>
  <c r="V412"/>
  <c r="U412"/>
  <c r="T412"/>
  <c r="AG411"/>
  <c r="AF411"/>
  <c r="AE411"/>
  <c r="AD411"/>
  <c r="AC411"/>
  <c r="AB411"/>
  <c r="AA411"/>
  <c r="Z411"/>
  <c r="Y411"/>
  <c r="X411"/>
  <c r="W411"/>
  <c r="V411"/>
  <c r="U411"/>
  <c r="T411"/>
  <c r="AG410"/>
  <c r="AF410"/>
  <c r="AE410"/>
  <c r="AD410"/>
  <c r="AC410"/>
  <c r="AB410"/>
  <c r="AA410"/>
  <c r="Z410"/>
  <c r="Y410"/>
  <c r="X410"/>
  <c r="W410"/>
  <c r="V410"/>
  <c r="U410"/>
  <c r="T410"/>
  <c r="AG409"/>
  <c r="AF409"/>
  <c r="AE409"/>
  <c r="AD409"/>
  <c r="AC409"/>
  <c r="AB409"/>
  <c r="AA409"/>
  <c r="Z409"/>
  <c r="Y409"/>
  <c r="X409"/>
  <c r="W409"/>
  <c r="V409"/>
  <c r="U409"/>
  <c r="T409"/>
  <c r="AG408"/>
  <c r="AF408"/>
  <c r="AE408"/>
  <c r="AD408"/>
  <c r="AC408"/>
  <c r="AB408"/>
  <c r="AA408"/>
  <c r="Z408"/>
  <c r="Y408"/>
  <c r="X408"/>
  <c r="W408"/>
  <c r="V408"/>
  <c r="U408"/>
  <c r="T408"/>
  <c r="AG407"/>
  <c r="AF407"/>
  <c r="AE407"/>
  <c r="AD407"/>
  <c r="AC407"/>
  <c r="AB407"/>
  <c r="AA407"/>
  <c r="Z407"/>
  <c r="Y407"/>
  <c r="X407"/>
  <c r="W407"/>
  <c r="V407"/>
  <c r="U407"/>
  <c r="T407"/>
  <c r="AG406"/>
  <c r="AF406"/>
  <c r="AE406"/>
  <c r="AD406"/>
  <c r="AC406"/>
  <c r="AB406"/>
  <c r="AA406"/>
  <c r="Z406"/>
  <c r="Y406"/>
  <c r="X406"/>
  <c r="W406"/>
  <c r="V406"/>
  <c r="U406"/>
  <c r="T406"/>
  <c r="AG405"/>
  <c r="AF405"/>
  <c r="AE405"/>
  <c r="AD405"/>
  <c r="AC405"/>
  <c r="AB405"/>
  <c r="AA405"/>
  <c r="Z405"/>
  <c r="Y405"/>
  <c r="X405"/>
  <c r="W405"/>
  <c r="V405"/>
  <c r="U405"/>
  <c r="T405"/>
  <c r="AG404"/>
  <c r="AF404"/>
  <c r="AE404"/>
  <c r="AD404"/>
  <c r="AC404"/>
  <c r="AB404"/>
  <c r="AA404"/>
  <c r="Z404"/>
  <c r="Y404"/>
  <c r="X404"/>
  <c r="W404"/>
  <c r="V404"/>
  <c r="U404"/>
  <c r="T404"/>
  <c r="AG403"/>
  <c r="AF403"/>
  <c r="AE403"/>
  <c r="AD403"/>
  <c r="AC403"/>
  <c r="AB403"/>
  <c r="AA403"/>
  <c r="Z403"/>
  <c r="Y403"/>
  <c r="X403"/>
  <c r="W403"/>
  <c r="V403"/>
  <c r="U403"/>
  <c r="T403"/>
  <c r="AG402"/>
  <c r="AF402"/>
  <c r="AE402"/>
  <c r="AD402"/>
  <c r="AC402"/>
  <c r="AB402"/>
  <c r="AA402"/>
  <c r="Z402"/>
  <c r="Y402"/>
  <c r="X402"/>
  <c r="W402"/>
  <c r="V402"/>
  <c r="U402"/>
  <c r="T402"/>
  <c r="AG401"/>
  <c r="AF401"/>
  <c r="AE401"/>
  <c r="AD401"/>
  <c r="AC401"/>
  <c r="AB401"/>
  <c r="AA401"/>
  <c r="Z401"/>
  <c r="Y401"/>
  <c r="X401"/>
  <c r="W401"/>
  <c r="V401"/>
  <c r="U401"/>
  <c r="T401"/>
  <c r="AG400"/>
  <c r="AF400"/>
  <c r="AE400"/>
  <c r="AD400"/>
  <c r="AC400"/>
  <c r="AB400"/>
  <c r="AA400"/>
  <c r="Z400"/>
  <c r="Y400"/>
  <c r="X400"/>
  <c r="W400"/>
  <c r="V400"/>
  <c r="U400"/>
  <c r="T400"/>
  <c r="AG399"/>
  <c r="AF399"/>
  <c r="AE399"/>
  <c r="AD399"/>
  <c r="AC399"/>
  <c r="AB399"/>
  <c r="AA399"/>
  <c r="Z399"/>
  <c r="Y399"/>
  <c r="X399"/>
  <c r="W399"/>
  <c r="V399"/>
  <c r="U399"/>
  <c r="T399"/>
  <c r="AG398"/>
  <c r="AF398"/>
  <c r="AE398"/>
  <c r="AD398"/>
  <c r="AC398"/>
  <c r="AB398"/>
  <c r="AA398"/>
  <c r="Z398"/>
  <c r="Y398"/>
  <c r="X398"/>
  <c r="W398"/>
  <c r="V398"/>
  <c r="U398"/>
  <c r="T398"/>
  <c r="AG397"/>
  <c r="AF397"/>
  <c r="AE397"/>
  <c r="AD397"/>
  <c r="AC397"/>
  <c r="AB397"/>
  <c r="AA397"/>
  <c r="Z397"/>
  <c r="Y397"/>
  <c r="X397"/>
  <c r="W397"/>
  <c r="V397"/>
  <c r="U397"/>
  <c r="T397"/>
  <c r="AG395"/>
  <c r="AF395"/>
  <c r="AE395"/>
  <c r="AD395"/>
  <c r="AC395"/>
  <c r="AB395"/>
  <c r="AA395"/>
  <c r="Z395"/>
  <c r="Y395"/>
  <c r="X395"/>
  <c r="W395"/>
  <c r="V395"/>
  <c r="U395"/>
  <c r="T395"/>
  <c r="AG394"/>
  <c r="AF394"/>
  <c r="AE394"/>
  <c r="AD394"/>
  <c r="AC394"/>
  <c r="AB394"/>
  <c r="AA394"/>
  <c r="Z394"/>
  <c r="Y394"/>
  <c r="X394"/>
  <c r="W394"/>
  <c r="V394"/>
  <c r="U394"/>
  <c r="T394"/>
  <c r="AG393"/>
  <c r="AF393"/>
  <c r="AE393"/>
  <c r="AD393"/>
  <c r="AC393"/>
  <c r="AB393"/>
  <c r="AA393"/>
  <c r="Z393"/>
  <c r="Y393"/>
  <c r="X393"/>
  <c r="W393"/>
  <c r="V393"/>
  <c r="U393"/>
  <c r="T393"/>
  <c r="AG392"/>
  <c r="AF392"/>
  <c r="AE392"/>
  <c r="AD392"/>
  <c r="AC392"/>
  <c r="AB392"/>
  <c r="AA392"/>
  <c r="Z392"/>
  <c r="Y392"/>
  <c r="X392"/>
  <c r="W392"/>
  <c r="V392"/>
  <c r="U392"/>
  <c r="T392"/>
  <c r="AG391"/>
  <c r="AF391"/>
  <c r="AE391"/>
  <c r="AD391"/>
  <c r="AC391"/>
  <c r="AB391"/>
  <c r="AA391"/>
  <c r="Z391"/>
  <c r="Y391"/>
  <c r="X391"/>
  <c r="W391"/>
  <c r="V391"/>
  <c r="U391"/>
  <c r="T391"/>
  <c r="AG390"/>
  <c r="AF390"/>
  <c r="AE390"/>
  <c r="AD390"/>
  <c r="AC390"/>
  <c r="AB390"/>
  <c r="AA390"/>
  <c r="Z390"/>
  <c r="Y390"/>
  <c r="X390"/>
  <c r="W390"/>
  <c r="V390"/>
  <c r="U390"/>
  <c r="T390"/>
  <c r="AG389"/>
  <c r="AF389"/>
  <c r="AE389"/>
  <c r="AD389"/>
  <c r="AC389"/>
  <c r="AB389"/>
  <c r="AA389"/>
  <c r="Z389"/>
  <c r="Y389"/>
  <c r="X389"/>
  <c r="W389"/>
  <c r="V389"/>
  <c r="U389"/>
  <c r="T389"/>
  <c r="AG388"/>
  <c r="AF388"/>
  <c r="AE388"/>
  <c r="AD388"/>
  <c r="AC388"/>
  <c r="AB388"/>
  <c r="AA388"/>
  <c r="Z388"/>
  <c r="Y388"/>
  <c r="X388"/>
  <c r="W388"/>
  <c r="V388"/>
  <c r="U388"/>
  <c r="T388"/>
  <c r="AG387"/>
  <c r="AF387"/>
  <c r="AE387"/>
  <c r="AD387"/>
  <c r="AC387"/>
  <c r="AB387"/>
  <c r="AA387"/>
  <c r="Z387"/>
  <c r="Y387"/>
  <c r="X387"/>
  <c r="W387"/>
  <c r="V387"/>
  <c r="U387"/>
  <c r="T387"/>
  <c r="AG385"/>
  <c r="AF385"/>
  <c r="AE385"/>
  <c r="AD385"/>
  <c r="AC385"/>
  <c r="AB385"/>
  <c r="AA385"/>
  <c r="Z385"/>
  <c r="Y385"/>
  <c r="X385"/>
  <c r="W385"/>
  <c r="V385"/>
  <c r="U385"/>
  <c r="T385"/>
  <c r="AG384"/>
  <c r="AF384"/>
  <c r="AE384"/>
  <c r="AD384"/>
  <c r="AC384"/>
  <c r="AB384"/>
  <c r="AA384"/>
  <c r="Z384"/>
  <c r="Y384"/>
  <c r="X384"/>
  <c r="W384"/>
  <c r="V384"/>
  <c r="U384"/>
  <c r="T384"/>
  <c r="AG383"/>
  <c r="AF383"/>
  <c r="AE383"/>
  <c r="AD383"/>
  <c r="AC383"/>
  <c r="AB383"/>
  <c r="AA383"/>
  <c r="Z383"/>
  <c r="Y383"/>
  <c r="X383"/>
  <c r="W383"/>
  <c r="V383"/>
  <c r="U383"/>
  <c r="T383"/>
  <c r="AG382"/>
  <c r="AF382"/>
  <c r="AE382"/>
  <c r="AD382"/>
  <c r="AC382"/>
  <c r="AB382"/>
  <c r="AA382"/>
  <c r="Z382"/>
  <c r="Y382"/>
  <c r="X382"/>
  <c r="W382"/>
  <c r="V382"/>
  <c r="U382"/>
  <c r="T382"/>
  <c r="AG381"/>
  <c r="AF381"/>
  <c r="AE381"/>
  <c r="AD381"/>
  <c r="AC381"/>
  <c r="AB381"/>
  <c r="AA381"/>
  <c r="Z381"/>
  <c r="Y381"/>
  <c r="X381"/>
  <c r="W381"/>
  <c r="V381"/>
  <c r="U381"/>
  <c r="T381"/>
  <c r="AG380"/>
  <c r="AF380"/>
  <c r="AE380"/>
  <c r="AD380"/>
  <c r="AC380"/>
  <c r="AB380"/>
  <c r="AA380"/>
  <c r="Z380"/>
  <c r="Y380"/>
  <c r="X380"/>
  <c r="W380"/>
  <c r="V380"/>
  <c r="U380"/>
  <c r="T380"/>
  <c r="AG379"/>
  <c r="AF379"/>
  <c r="AE379"/>
  <c r="AD379"/>
  <c r="AC379"/>
  <c r="AB379"/>
  <c r="AA379"/>
  <c r="Z379"/>
  <c r="Y379"/>
  <c r="X379"/>
  <c r="W379"/>
  <c r="V379"/>
  <c r="U379"/>
  <c r="T379"/>
  <c r="AG378"/>
  <c r="AF378"/>
  <c r="AE378"/>
  <c r="AD378"/>
  <c r="AC378"/>
  <c r="AB378"/>
  <c r="AA378"/>
  <c r="Z378"/>
  <c r="Y378"/>
  <c r="X378"/>
  <c r="W378"/>
  <c r="V378"/>
  <c r="U378"/>
  <c r="T378"/>
  <c r="AG377"/>
  <c r="AF377"/>
  <c r="AE377"/>
  <c r="AD377"/>
  <c r="AC377"/>
  <c r="AB377"/>
  <c r="AA377"/>
  <c r="Z377"/>
  <c r="Y377"/>
  <c r="X377"/>
  <c r="W377"/>
  <c r="V377"/>
  <c r="U377"/>
  <c r="T377"/>
  <c r="AG376"/>
  <c r="AF376"/>
  <c r="AE376"/>
  <c r="AD376"/>
  <c r="AC376"/>
  <c r="AB376"/>
  <c r="AA376"/>
  <c r="Z376"/>
  <c r="Y376"/>
  <c r="X376"/>
  <c r="W376"/>
  <c r="V376"/>
  <c r="U376"/>
  <c r="T376"/>
  <c r="AG374"/>
  <c r="AF374"/>
  <c r="AE374"/>
  <c r="AD374"/>
  <c r="AC374"/>
  <c r="AB374"/>
  <c r="AA374"/>
  <c r="Z374"/>
  <c r="Y374"/>
  <c r="X374"/>
  <c r="W374"/>
  <c r="V374"/>
  <c r="U374"/>
  <c r="T374"/>
  <c r="AG373"/>
  <c r="AF373"/>
  <c r="AE373"/>
  <c r="AD373"/>
  <c r="AC373"/>
  <c r="AB373"/>
  <c r="AA373"/>
  <c r="Z373"/>
  <c r="Y373"/>
  <c r="X373"/>
  <c r="W373"/>
  <c r="V373"/>
  <c r="U373"/>
  <c r="T373"/>
  <c r="AG372"/>
  <c r="AF372"/>
  <c r="AE372"/>
  <c r="AD372"/>
  <c r="AC372"/>
  <c r="AB372"/>
  <c r="AA372"/>
  <c r="Z372"/>
  <c r="Y372"/>
  <c r="X372"/>
  <c r="W372"/>
  <c r="V372"/>
  <c r="U372"/>
  <c r="T372"/>
  <c r="AG371"/>
  <c r="AF371"/>
  <c r="AE371"/>
  <c r="AD371"/>
  <c r="AC371"/>
  <c r="AB371"/>
  <c r="AA371"/>
  <c r="Z371"/>
  <c r="Y371"/>
  <c r="X371"/>
  <c r="W371"/>
  <c r="V371"/>
  <c r="U371"/>
  <c r="T371"/>
  <c r="AG370"/>
  <c r="AF370"/>
  <c r="AE370"/>
  <c r="AD370"/>
  <c r="AC370"/>
  <c r="AB370"/>
  <c r="AA370"/>
  <c r="Z370"/>
  <c r="Y370"/>
  <c r="X370"/>
  <c r="W370"/>
  <c r="V370"/>
  <c r="U370"/>
  <c r="T370"/>
  <c r="AG369"/>
  <c r="AF369"/>
  <c r="AE369"/>
  <c r="AD369"/>
  <c r="AC369"/>
  <c r="AB369"/>
  <c r="AA369"/>
  <c r="Z369"/>
  <c r="Y369"/>
  <c r="X369"/>
  <c r="W369"/>
  <c r="V369"/>
  <c r="U369"/>
  <c r="T369"/>
  <c r="AG368"/>
  <c r="AF368"/>
  <c r="AE368"/>
  <c r="AD368"/>
  <c r="AC368"/>
  <c r="AB368"/>
  <c r="AA368"/>
  <c r="Z368"/>
  <c r="Y368"/>
  <c r="X368"/>
  <c r="W368"/>
  <c r="V368"/>
  <c r="U368"/>
  <c r="T368"/>
  <c r="AG366"/>
  <c r="AF366"/>
  <c r="AE366"/>
  <c r="AD366"/>
  <c r="AC366"/>
  <c r="AB366"/>
  <c r="AA366"/>
  <c r="Z366"/>
  <c r="Y366"/>
  <c r="X366"/>
  <c r="W366"/>
  <c r="V366"/>
  <c r="U366"/>
  <c r="T366"/>
  <c r="AG365"/>
  <c r="AF365"/>
  <c r="AE365"/>
  <c r="AD365"/>
  <c r="AC365"/>
  <c r="AB365"/>
  <c r="AA365"/>
  <c r="Z365"/>
  <c r="Y365"/>
  <c r="X365"/>
  <c r="W365"/>
  <c r="V365"/>
  <c r="U365"/>
  <c r="T365"/>
  <c r="AG363"/>
  <c r="AF363"/>
  <c r="AE363"/>
  <c r="AD363"/>
  <c r="AC363"/>
  <c r="AB363"/>
  <c r="AA363"/>
  <c r="Z363"/>
  <c r="Y363"/>
  <c r="X363"/>
  <c r="W363"/>
  <c r="V363"/>
  <c r="U363"/>
  <c r="T363"/>
  <c r="AG362"/>
  <c r="AF362"/>
  <c r="AE362"/>
  <c r="AD362"/>
  <c r="AC362"/>
  <c r="AB362"/>
  <c r="AA362"/>
  <c r="Z362"/>
  <c r="Y362"/>
  <c r="X362"/>
  <c r="W362"/>
  <c r="V362"/>
  <c r="U362"/>
  <c r="T362"/>
  <c r="AG361"/>
  <c r="AF361"/>
  <c r="AE361"/>
  <c r="AD361"/>
  <c r="AC361"/>
  <c r="AB361"/>
  <c r="AA361"/>
  <c r="Z361"/>
  <c r="Y361"/>
  <c r="X361"/>
  <c r="W361"/>
  <c r="V361"/>
  <c r="U361"/>
  <c r="T361"/>
  <c r="AG360"/>
  <c r="AF360"/>
  <c r="AE360"/>
  <c r="AD360"/>
  <c r="AC360"/>
  <c r="AB360"/>
  <c r="AA360"/>
  <c r="Z360"/>
  <c r="Y360"/>
  <c r="X360"/>
  <c r="W360"/>
  <c r="V360"/>
  <c r="U360"/>
  <c r="T360"/>
  <c r="AG359"/>
  <c r="AF359"/>
  <c r="AE359"/>
  <c r="AD359"/>
  <c r="AC359"/>
  <c r="AB359"/>
  <c r="AA359"/>
  <c r="Z359"/>
  <c r="Y359"/>
  <c r="X359"/>
  <c r="W359"/>
  <c r="V359"/>
  <c r="U359"/>
  <c r="T359"/>
  <c r="AG358"/>
  <c r="AF358"/>
  <c r="AE358"/>
  <c r="AD358"/>
  <c r="AC358"/>
  <c r="AB358"/>
  <c r="AA358"/>
  <c r="Z358"/>
  <c r="Y358"/>
  <c r="X358"/>
  <c r="W358"/>
  <c r="V358"/>
  <c r="U358"/>
  <c r="T358"/>
  <c r="AG357"/>
  <c r="AF357"/>
  <c r="AE357"/>
  <c r="AD357"/>
  <c r="AC357"/>
  <c r="AB357"/>
  <c r="AA357"/>
  <c r="Z357"/>
  <c r="Y357"/>
  <c r="X357"/>
  <c r="W357"/>
  <c r="V357"/>
  <c r="U357"/>
  <c r="T357"/>
  <c r="AG355"/>
  <c r="AF355"/>
  <c r="AE355"/>
  <c r="AD355"/>
  <c r="AC355"/>
  <c r="AB355"/>
  <c r="AA355"/>
  <c r="Z355"/>
  <c r="Y355"/>
  <c r="X355"/>
  <c r="W355"/>
  <c r="V355"/>
  <c r="U355"/>
  <c r="T355"/>
  <c r="AG354"/>
  <c r="AF354"/>
  <c r="AE354"/>
  <c r="AD354"/>
  <c r="AC354"/>
  <c r="AB354"/>
  <c r="AA354"/>
  <c r="Z354"/>
  <c r="Y354"/>
  <c r="X354"/>
  <c r="W354"/>
  <c r="V354"/>
  <c r="U354"/>
  <c r="T354"/>
  <c r="AG353"/>
  <c r="AF353"/>
  <c r="AE353"/>
  <c r="AD353"/>
  <c r="AC353"/>
  <c r="AB353"/>
  <c r="AA353"/>
  <c r="Z353"/>
  <c r="Y353"/>
  <c r="X353"/>
  <c r="W353"/>
  <c r="V353"/>
  <c r="U353"/>
  <c r="T353"/>
  <c r="AG352"/>
  <c r="AF352"/>
  <c r="AE352"/>
  <c r="AD352"/>
  <c r="AC352"/>
  <c r="AB352"/>
  <c r="AA352"/>
  <c r="Z352"/>
  <c r="Y352"/>
  <c r="X352"/>
  <c r="W352"/>
  <c r="V352"/>
  <c r="U352"/>
  <c r="T352"/>
  <c r="AG351"/>
  <c r="AF351"/>
  <c r="AE351"/>
  <c r="AD351"/>
  <c r="AC351"/>
  <c r="AB351"/>
  <c r="AA351"/>
  <c r="Z351"/>
  <c r="Y351"/>
  <c r="X351"/>
  <c r="W351"/>
  <c r="V351"/>
  <c r="U351"/>
  <c r="T351"/>
  <c r="AG350"/>
  <c r="AF350"/>
  <c r="AE350"/>
  <c r="AD350"/>
  <c r="AC350"/>
  <c r="AB350"/>
  <c r="AA350"/>
  <c r="Z350"/>
  <c r="Y350"/>
  <c r="X350"/>
  <c r="W350"/>
  <c r="V350"/>
  <c r="U350"/>
  <c r="T350"/>
  <c r="AG349"/>
  <c r="AF349"/>
  <c r="AE349"/>
  <c r="AD349"/>
  <c r="AC349"/>
  <c r="AB349"/>
  <c r="AA349"/>
  <c r="Z349"/>
  <c r="Y349"/>
  <c r="X349"/>
  <c r="W349"/>
  <c r="V349"/>
  <c r="U349"/>
  <c r="T349"/>
  <c r="AG348"/>
  <c r="AF348"/>
  <c r="AE348"/>
  <c r="AD348"/>
  <c r="AC348"/>
  <c r="AB348"/>
  <c r="AA348"/>
  <c r="Z348"/>
  <c r="Y348"/>
  <c r="X348"/>
  <c r="W348"/>
  <c r="V348"/>
  <c r="U348"/>
  <c r="T348"/>
  <c r="AG347"/>
  <c r="AF347"/>
  <c r="AE347"/>
  <c r="AD347"/>
  <c r="AC347"/>
  <c r="AB347"/>
  <c r="AA347"/>
  <c r="Z347"/>
  <c r="Y347"/>
  <c r="X347"/>
  <c r="W347"/>
  <c r="V347"/>
  <c r="U347"/>
  <c r="T347"/>
  <c r="AG346"/>
  <c r="AF346"/>
  <c r="AE346"/>
  <c r="AD346"/>
  <c r="AC346"/>
  <c r="AB346"/>
  <c r="AA346"/>
  <c r="Z346"/>
  <c r="Y346"/>
  <c r="X346"/>
  <c r="W346"/>
  <c r="V346"/>
  <c r="U346"/>
  <c r="T346"/>
  <c r="AG345"/>
  <c r="AF345"/>
  <c r="AE345"/>
  <c r="AD345"/>
  <c r="AC345"/>
  <c r="AB345"/>
  <c r="AA345"/>
  <c r="Z345"/>
  <c r="Y345"/>
  <c r="X345"/>
  <c r="W345"/>
  <c r="V345"/>
  <c r="U345"/>
  <c r="T345"/>
  <c r="AG344"/>
  <c r="AF344"/>
  <c r="AE344"/>
  <c r="AD344"/>
  <c r="AC344"/>
  <c r="AB344"/>
  <c r="AA344"/>
  <c r="Z344"/>
  <c r="Y344"/>
  <c r="X344"/>
  <c r="W344"/>
  <c r="V344"/>
  <c r="U344"/>
  <c r="T344"/>
  <c r="AG343"/>
  <c r="AF343"/>
  <c r="AE343"/>
  <c r="AD343"/>
  <c r="AC343"/>
  <c r="AB343"/>
  <c r="AA343"/>
  <c r="Z343"/>
  <c r="Y343"/>
  <c r="X343"/>
  <c r="W343"/>
  <c r="V343"/>
  <c r="U343"/>
  <c r="T343"/>
  <c r="AG342"/>
  <c r="AF342"/>
  <c r="AE342"/>
  <c r="AD342"/>
  <c r="AC342"/>
  <c r="AB342"/>
  <c r="AA342"/>
  <c r="Z342"/>
  <c r="Y342"/>
  <c r="X342"/>
  <c r="W342"/>
  <c r="V342"/>
  <c r="U342"/>
  <c r="T342"/>
  <c r="AG340"/>
  <c r="AF340"/>
  <c r="AE340"/>
  <c r="AD340"/>
  <c r="AC340"/>
  <c r="AB340"/>
  <c r="AA340"/>
  <c r="Z340"/>
  <c r="Y340"/>
  <c r="X340"/>
  <c r="W340"/>
  <c r="V340"/>
  <c r="U340"/>
  <c r="T340"/>
  <c r="AG339"/>
  <c r="AF339"/>
  <c r="AE339"/>
  <c r="AD339"/>
  <c r="AC339"/>
  <c r="AB339"/>
  <c r="AA339"/>
  <c r="Z339"/>
  <c r="Y339"/>
  <c r="X339"/>
  <c r="W339"/>
  <c r="V339"/>
  <c r="U339"/>
  <c r="T339"/>
  <c r="AG338"/>
  <c r="AF338"/>
  <c r="AE338"/>
  <c r="AD338"/>
  <c r="AC338"/>
  <c r="AB338"/>
  <c r="AA338"/>
  <c r="Z338"/>
  <c r="Y338"/>
  <c r="X338"/>
  <c r="W338"/>
  <c r="V338"/>
  <c r="U338"/>
  <c r="T338"/>
  <c r="AG337"/>
  <c r="AF337"/>
  <c r="AE337"/>
  <c r="AD337"/>
  <c r="AC337"/>
  <c r="AB337"/>
  <c r="AA337"/>
  <c r="Z337"/>
  <c r="Y337"/>
  <c r="X337"/>
  <c r="W337"/>
  <c r="V337"/>
  <c r="U337"/>
  <c r="T337"/>
  <c r="AG336"/>
  <c r="AF336"/>
  <c r="AE336"/>
  <c r="AD336"/>
  <c r="AC336"/>
  <c r="AB336"/>
  <c r="AA336"/>
  <c r="Z336"/>
  <c r="Y336"/>
  <c r="X336"/>
  <c r="W336"/>
  <c r="V336"/>
  <c r="U336"/>
  <c r="T336"/>
  <c r="AG335"/>
  <c r="AF335"/>
  <c r="AE335"/>
  <c r="AD335"/>
  <c r="AC335"/>
  <c r="AB335"/>
  <c r="AA335"/>
  <c r="Z335"/>
  <c r="Y335"/>
  <c r="X335"/>
  <c r="W335"/>
  <c r="V335"/>
  <c r="U335"/>
  <c r="T335"/>
  <c r="AG334"/>
  <c r="AF334"/>
  <c r="AE334"/>
  <c r="AD334"/>
  <c r="AC334"/>
  <c r="AB334"/>
  <c r="AA334"/>
  <c r="Z334"/>
  <c r="Y334"/>
  <c r="X334"/>
  <c r="W334"/>
  <c r="V334"/>
  <c r="U334"/>
  <c r="T334"/>
  <c r="AG333"/>
  <c r="AF333"/>
  <c r="AE333"/>
  <c r="AD333"/>
  <c r="AC333"/>
  <c r="AB333"/>
  <c r="AA333"/>
  <c r="Z333"/>
  <c r="Y333"/>
  <c r="X333"/>
  <c r="W333"/>
  <c r="V333"/>
  <c r="U333"/>
  <c r="T333"/>
  <c r="AG332"/>
  <c r="AF332"/>
  <c r="AE332"/>
  <c r="AD332"/>
  <c r="AC332"/>
  <c r="AB332"/>
  <c r="AA332"/>
  <c r="Z332"/>
  <c r="Y332"/>
  <c r="X332"/>
  <c r="W332"/>
  <c r="V332"/>
  <c r="U332"/>
  <c r="T332"/>
  <c r="AG331"/>
  <c r="AF331"/>
  <c r="AE331"/>
  <c r="AD331"/>
  <c r="AC331"/>
  <c r="AB331"/>
  <c r="AA331"/>
  <c r="Z331"/>
  <c r="Y331"/>
  <c r="X331"/>
  <c r="W331"/>
  <c r="V331"/>
  <c r="U331"/>
  <c r="T331"/>
  <c r="AG329"/>
  <c r="AF329"/>
  <c r="AE329"/>
  <c r="AD329"/>
  <c r="AC329"/>
  <c r="AB329"/>
  <c r="AA329"/>
  <c r="Z329"/>
  <c r="Y329"/>
  <c r="X329"/>
  <c r="W329"/>
  <c r="V329"/>
  <c r="U329"/>
  <c r="T329"/>
  <c r="AG328"/>
  <c r="AF328"/>
  <c r="AE328"/>
  <c r="AD328"/>
  <c r="AC328"/>
  <c r="AB328"/>
  <c r="AA328"/>
  <c r="Z328"/>
  <c r="Y328"/>
  <c r="X328"/>
  <c r="W328"/>
  <c r="V328"/>
  <c r="U328"/>
  <c r="T328"/>
  <c r="AG327"/>
  <c r="AF327"/>
  <c r="AE327"/>
  <c r="AD327"/>
  <c r="AC327"/>
  <c r="AB327"/>
  <c r="AA327"/>
  <c r="Z327"/>
  <c r="Y327"/>
  <c r="X327"/>
  <c r="W327"/>
  <c r="V327"/>
  <c r="U327"/>
  <c r="T327"/>
  <c r="AG326"/>
  <c r="AF326"/>
  <c r="AE326"/>
  <c r="AD326"/>
  <c r="AC326"/>
  <c r="AB326"/>
  <c r="AA326"/>
  <c r="Z326"/>
  <c r="Y326"/>
  <c r="X326"/>
  <c r="W326"/>
  <c r="V326"/>
  <c r="U326"/>
  <c r="T326"/>
  <c r="AG325"/>
  <c r="AF325"/>
  <c r="AE325"/>
  <c r="AD325"/>
  <c r="AC325"/>
  <c r="AB325"/>
  <c r="AA325"/>
  <c r="Z325"/>
  <c r="Y325"/>
  <c r="X325"/>
  <c r="W325"/>
  <c r="V325"/>
  <c r="U325"/>
  <c r="T325"/>
  <c r="AG324"/>
  <c r="AF324"/>
  <c r="AE324"/>
  <c r="AD324"/>
  <c r="AC324"/>
  <c r="AB324"/>
  <c r="AA324"/>
  <c r="Z324"/>
  <c r="Y324"/>
  <c r="X324"/>
  <c r="W324"/>
  <c r="V324"/>
  <c r="U324"/>
  <c r="T324"/>
  <c r="AG323"/>
  <c r="AF323"/>
  <c r="AE323"/>
  <c r="AD323"/>
  <c r="AC323"/>
  <c r="AB323"/>
  <c r="AA323"/>
  <c r="Z323"/>
  <c r="Y323"/>
  <c r="X323"/>
  <c r="W323"/>
  <c r="V323"/>
  <c r="U323"/>
  <c r="T323"/>
  <c r="AG322"/>
  <c r="AF322"/>
  <c r="AE322"/>
  <c r="AD322"/>
  <c r="AC322"/>
  <c r="AB322"/>
  <c r="AA322"/>
  <c r="Z322"/>
  <c r="Y322"/>
  <c r="X322"/>
  <c r="W322"/>
  <c r="V322"/>
  <c r="U322"/>
  <c r="T322"/>
  <c r="AG321"/>
  <c r="AF321"/>
  <c r="AE321"/>
  <c r="AD321"/>
  <c r="AC321"/>
  <c r="AB321"/>
  <c r="AA321"/>
  <c r="Z321"/>
  <c r="Y321"/>
  <c r="X321"/>
  <c r="W321"/>
  <c r="V321"/>
  <c r="U321"/>
  <c r="T321"/>
  <c r="AG320"/>
  <c r="AF320"/>
  <c r="AE320"/>
  <c r="AD320"/>
  <c r="AC320"/>
  <c r="AB320"/>
  <c r="AA320"/>
  <c r="Z320"/>
  <c r="Y320"/>
  <c r="X320"/>
  <c r="W320"/>
  <c r="V320"/>
  <c r="U320"/>
  <c r="T320"/>
  <c r="AG319"/>
  <c r="AF319"/>
  <c r="AE319"/>
  <c r="AD319"/>
  <c r="AC319"/>
  <c r="AB319"/>
  <c r="AA319"/>
  <c r="Z319"/>
  <c r="Y319"/>
  <c r="X319"/>
  <c r="W319"/>
  <c r="V319"/>
  <c r="U319"/>
  <c r="T319"/>
  <c r="AG317"/>
  <c r="AF317"/>
  <c r="AE317"/>
  <c r="AD317"/>
  <c r="AC317"/>
  <c r="AB317"/>
  <c r="AA317"/>
  <c r="Z317"/>
  <c r="Y317"/>
  <c r="X317"/>
  <c r="W317"/>
  <c r="V317"/>
  <c r="U317"/>
  <c r="T317"/>
  <c r="AG315"/>
  <c r="AF315"/>
  <c r="AE315"/>
  <c r="AD315"/>
  <c r="AC315"/>
  <c r="AB315"/>
  <c r="AA315"/>
  <c r="Z315"/>
  <c r="Y315"/>
  <c r="X315"/>
  <c r="W315"/>
  <c r="V315"/>
  <c r="U315"/>
  <c r="T315"/>
  <c r="AG314"/>
  <c r="AF314"/>
  <c r="AE314"/>
  <c r="AD314"/>
  <c r="AC314"/>
  <c r="AB314"/>
  <c r="AA314"/>
  <c r="Z314"/>
  <c r="Y314"/>
  <c r="X314"/>
  <c r="W314"/>
  <c r="V314"/>
  <c r="U314"/>
  <c r="T314"/>
  <c r="AG313"/>
  <c r="AF313"/>
  <c r="AE313"/>
  <c r="AD313"/>
  <c r="AC313"/>
  <c r="AB313"/>
  <c r="AA313"/>
  <c r="Z313"/>
  <c r="Y313"/>
  <c r="X313"/>
  <c r="W313"/>
  <c r="V313"/>
  <c r="U313"/>
  <c r="T313"/>
  <c r="AG312"/>
  <c r="AF312"/>
  <c r="AE312"/>
  <c r="AD312"/>
  <c r="AC312"/>
  <c r="AB312"/>
  <c r="AA312"/>
  <c r="Z312"/>
  <c r="Y312"/>
  <c r="X312"/>
  <c r="W312"/>
  <c r="V312"/>
  <c r="U312"/>
  <c r="T312"/>
  <c r="AG311"/>
  <c r="AF311"/>
  <c r="AE311"/>
  <c r="AD311"/>
  <c r="AC311"/>
  <c r="AB311"/>
  <c r="AA311"/>
  <c r="Z311"/>
  <c r="Y311"/>
  <c r="X311"/>
  <c r="W311"/>
  <c r="V311"/>
  <c r="U311"/>
  <c r="T311"/>
  <c r="AG310"/>
  <c r="AF310"/>
  <c r="AE310"/>
  <c r="AD310"/>
  <c r="AC310"/>
  <c r="AB310"/>
  <c r="AA310"/>
  <c r="Z310"/>
  <c r="Y310"/>
  <c r="X310"/>
  <c r="W310"/>
  <c r="V310"/>
  <c r="U310"/>
  <c r="T310"/>
  <c r="AG309"/>
  <c r="AF309"/>
  <c r="AE309"/>
  <c r="AD309"/>
  <c r="AC309"/>
  <c r="AB309"/>
  <c r="AA309"/>
  <c r="Z309"/>
  <c r="Y309"/>
  <c r="X309"/>
  <c r="W309"/>
  <c r="V309"/>
  <c r="U309"/>
  <c r="T309"/>
  <c r="AG308"/>
  <c r="AF308"/>
  <c r="AE308"/>
  <c r="AD308"/>
  <c r="AC308"/>
  <c r="AB308"/>
  <c r="AA308"/>
  <c r="Z308"/>
  <c r="Y308"/>
  <c r="X308"/>
  <c r="W308"/>
  <c r="V308"/>
  <c r="U308"/>
  <c r="T308"/>
  <c r="AG307"/>
  <c r="AF307"/>
  <c r="AE307"/>
  <c r="AD307"/>
  <c r="AC307"/>
  <c r="AB307"/>
  <c r="AA307"/>
  <c r="Z307"/>
  <c r="Y307"/>
  <c r="X307"/>
  <c r="W307"/>
  <c r="V307"/>
  <c r="U307"/>
  <c r="T307"/>
  <c r="AG306"/>
  <c r="AF306"/>
  <c r="AE306"/>
  <c r="AD306"/>
  <c r="AC306"/>
  <c r="AB306"/>
  <c r="AA306"/>
  <c r="Z306"/>
  <c r="Y306"/>
  <c r="X306"/>
  <c r="W306"/>
  <c r="V306"/>
  <c r="U306"/>
  <c r="T306"/>
  <c r="AG305"/>
  <c r="AF305"/>
  <c r="AE305"/>
  <c r="AD305"/>
  <c r="AC305"/>
  <c r="AB305"/>
  <c r="AA305"/>
  <c r="Z305"/>
  <c r="Y305"/>
  <c r="X305"/>
  <c r="W305"/>
  <c r="V305"/>
  <c r="U305"/>
  <c r="T305"/>
  <c r="AG304"/>
  <c r="AF304"/>
  <c r="AE304"/>
  <c r="AD304"/>
  <c r="AC304"/>
  <c r="AB304"/>
  <c r="AA304"/>
  <c r="Z304"/>
  <c r="Y304"/>
  <c r="X304"/>
  <c r="W304"/>
  <c r="V304"/>
  <c r="U304"/>
  <c r="T304"/>
  <c r="AG303"/>
  <c r="AF303"/>
  <c r="AE303"/>
  <c r="AD303"/>
  <c r="AC303"/>
  <c r="AB303"/>
  <c r="AA303"/>
  <c r="Z303"/>
  <c r="Y303"/>
  <c r="X303"/>
  <c r="W303"/>
  <c r="V303"/>
  <c r="U303"/>
  <c r="T303"/>
  <c r="AG302"/>
  <c r="AF302"/>
  <c r="AE302"/>
  <c r="AD302"/>
  <c r="AC302"/>
  <c r="AB302"/>
  <c r="AA302"/>
  <c r="Z302"/>
  <c r="Y302"/>
  <c r="X302"/>
  <c r="W302"/>
  <c r="V302"/>
  <c r="U302"/>
  <c r="T302"/>
  <c r="AG301"/>
  <c r="AF301"/>
  <c r="AE301"/>
  <c r="AD301"/>
  <c r="AC301"/>
  <c r="AB301"/>
  <c r="AA301"/>
  <c r="Z301"/>
  <c r="Y301"/>
  <c r="X301"/>
  <c r="W301"/>
  <c r="V301"/>
  <c r="U301"/>
  <c r="T301"/>
  <c r="AG300"/>
  <c r="AF300"/>
  <c r="AE300"/>
  <c r="AD300"/>
  <c r="AC300"/>
  <c r="AB300"/>
  <c r="AA300"/>
  <c r="Z300"/>
  <c r="Y300"/>
  <c r="X300"/>
  <c r="W300"/>
  <c r="V300"/>
  <c r="U300"/>
  <c r="T300"/>
  <c r="AG299"/>
  <c r="AF299"/>
  <c r="AE299"/>
  <c r="AD299"/>
  <c r="AC299"/>
  <c r="AB299"/>
  <c r="AA299"/>
  <c r="Z299"/>
  <c r="Y299"/>
  <c r="X299"/>
  <c r="W299"/>
  <c r="V299"/>
  <c r="U299"/>
  <c r="T299"/>
  <c r="AG298"/>
  <c r="AF298"/>
  <c r="AE298"/>
  <c r="AD298"/>
  <c r="AC298"/>
  <c r="AB298"/>
  <c r="AA298"/>
  <c r="Z298"/>
  <c r="Y298"/>
  <c r="X298"/>
  <c r="W298"/>
  <c r="V298"/>
  <c r="U298"/>
  <c r="T298"/>
  <c r="AG297"/>
  <c r="AF297"/>
  <c r="AE297"/>
  <c r="AD297"/>
  <c r="AC297"/>
  <c r="AB297"/>
  <c r="AA297"/>
  <c r="Z297"/>
  <c r="Y297"/>
  <c r="X297"/>
  <c r="W297"/>
  <c r="V297"/>
  <c r="U297"/>
  <c r="T297"/>
  <c r="AG295"/>
  <c r="AF295"/>
  <c r="AE295"/>
  <c r="AD295"/>
  <c r="AC295"/>
  <c r="AB295"/>
  <c r="AA295"/>
  <c r="Z295"/>
  <c r="Y295"/>
  <c r="X295"/>
  <c r="W295"/>
  <c r="V295"/>
  <c r="U295"/>
  <c r="T295"/>
  <c r="AG294"/>
  <c r="AF294"/>
  <c r="AE294"/>
  <c r="AD294"/>
  <c r="AC294"/>
  <c r="AB294"/>
  <c r="AA294"/>
  <c r="Z294"/>
  <c r="Y294"/>
  <c r="X294"/>
  <c r="W294"/>
  <c r="V294"/>
  <c r="U294"/>
  <c r="T294"/>
  <c r="AG293"/>
  <c r="AF293"/>
  <c r="AE293"/>
  <c r="AD293"/>
  <c r="AC293"/>
  <c r="AB293"/>
  <c r="AA293"/>
  <c r="Z293"/>
  <c r="Y293"/>
  <c r="X293"/>
  <c r="W293"/>
  <c r="V293"/>
  <c r="U293"/>
  <c r="T293"/>
  <c r="AG292"/>
  <c r="AF292"/>
  <c r="AE292"/>
  <c r="AD292"/>
  <c r="AC292"/>
  <c r="AB292"/>
  <c r="AA292"/>
  <c r="Z292"/>
  <c r="Y292"/>
  <c r="X292"/>
  <c r="W292"/>
  <c r="V292"/>
  <c r="U292"/>
  <c r="T292"/>
  <c r="AG291"/>
  <c r="AF291"/>
  <c r="AE291"/>
  <c r="AD291"/>
  <c r="AC291"/>
  <c r="AB291"/>
  <c r="AA291"/>
  <c r="Z291"/>
  <c r="Y291"/>
  <c r="X291"/>
  <c r="W291"/>
  <c r="V291"/>
  <c r="U291"/>
  <c r="T291"/>
  <c r="AG290"/>
  <c r="AF290"/>
  <c r="AE290"/>
  <c r="AD290"/>
  <c r="AC290"/>
  <c r="AB290"/>
  <c r="AA290"/>
  <c r="Z290"/>
  <c r="Y290"/>
  <c r="X290"/>
  <c r="W290"/>
  <c r="V290"/>
  <c r="U290"/>
  <c r="T290"/>
  <c r="AG289"/>
  <c r="AF289"/>
  <c r="AE289"/>
  <c r="AD289"/>
  <c r="AC289"/>
  <c r="AB289"/>
  <c r="AA289"/>
  <c r="Z289"/>
  <c r="Y289"/>
  <c r="X289"/>
  <c r="W289"/>
  <c r="V289"/>
  <c r="U289"/>
  <c r="T289"/>
  <c r="AG288"/>
  <c r="AF288"/>
  <c r="AE288"/>
  <c r="AD288"/>
  <c r="AC288"/>
  <c r="AB288"/>
  <c r="AA288"/>
  <c r="Z288"/>
  <c r="Y288"/>
  <c r="X288"/>
  <c r="W288"/>
  <c r="V288"/>
  <c r="U288"/>
  <c r="T288"/>
  <c r="AG287"/>
  <c r="AF287"/>
  <c r="AE287"/>
  <c r="AD287"/>
  <c r="AC287"/>
  <c r="AB287"/>
  <c r="AA287"/>
  <c r="Z287"/>
  <c r="Y287"/>
  <c r="X287"/>
  <c r="W287"/>
  <c r="V287"/>
  <c r="U287"/>
  <c r="T287"/>
  <c r="AG286"/>
  <c r="AF286"/>
  <c r="AE286"/>
  <c r="AD286"/>
  <c r="AC286"/>
  <c r="AB286"/>
  <c r="AA286"/>
  <c r="Z286"/>
  <c r="Y286"/>
  <c r="X286"/>
  <c r="W286"/>
  <c r="V286"/>
  <c r="U286"/>
  <c r="T286"/>
  <c r="AG285"/>
  <c r="AF285"/>
  <c r="AE285"/>
  <c r="AD285"/>
  <c r="AC285"/>
  <c r="AB285"/>
  <c r="AA285"/>
  <c r="Z285"/>
  <c r="Y285"/>
  <c r="X285"/>
  <c r="W285"/>
  <c r="V285"/>
  <c r="U285"/>
  <c r="T285"/>
  <c r="AG284"/>
  <c r="AF284"/>
  <c r="AE284"/>
  <c r="AD284"/>
  <c r="AC284"/>
  <c r="AB284"/>
  <c r="AA284"/>
  <c r="Z284"/>
  <c r="Y284"/>
  <c r="X284"/>
  <c r="W284"/>
  <c r="V284"/>
  <c r="U284"/>
  <c r="T284"/>
  <c r="AG283"/>
  <c r="AF283"/>
  <c r="AE283"/>
  <c r="AD283"/>
  <c r="AC283"/>
  <c r="AB283"/>
  <c r="AA283"/>
  <c r="Z283"/>
  <c r="Y283"/>
  <c r="X283"/>
  <c r="W283"/>
  <c r="V283"/>
  <c r="U283"/>
  <c r="T283"/>
  <c r="AG282"/>
  <c r="AF282"/>
  <c r="AE282"/>
  <c r="AD282"/>
  <c r="AC282"/>
  <c r="AB282"/>
  <c r="AA282"/>
  <c r="Z282"/>
  <c r="Y282"/>
  <c r="X282"/>
  <c r="W282"/>
  <c r="V282"/>
  <c r="U282"/>
  <c r="T282"/>
  <c r="AG281"/>
  <c r="AF281"/>
  <c r="AE281"/>
  <c r="AD281"/>
  <c r="AC281"/>
  <c r="AB281"/>
  <c r="AA281"/>
  <c r="Z281"/>
  <c r="Y281"/>
  <c r="X281"/>
  <c r="W281"/>
  <c r="V281"/>
  <c r="U281"/>
  <c r="T281"/>
  <c r="AG280"/>
  <c r="AF280"/>
  <c r="AE280"/>
  <c r="AD280"/>
  <c r="AC280"/>
  <c r="AB280"/>
  <c r="AA280"/>
  <c r="Z280"/>
  <c r="Y280"/>
  <c r="X280"/>
  <c r="W280"/>
  <c r="V280"/>
  <c r="U280"/>
  <c r="T280"/>
  <c r="AG278"/>
  <c r="AF278"/>
  <c r="AE278"/>
  <c r="AD278"/>
  <c r="AC278"/>
  <c r="AB278"/>
  <c r="AA278"/>
  <c r="Z278"/>
  <c r="Y278"/>
  <c r="X278"/>
  <c r="W278"/>
  <c r="V278"/>
  <c r="U278"/>
  <c r="T278"/>
  <c r="AG277"/>
  <c r="AF277"/>
  <c r="AE277"/>
  <c r="AD277"/>
  <c r="AC277"/>
  <c r="AB277"/>
  <c r="AA277"/>
  <c r="Z277"/>
  <c r="Y277"/>
  <c r="X277"/>
  <c r="W277"/>
  <c r="V277"/>
  <c r="U277"/>
  <c r="T277"/>
  <c r="AG276"/>
  <c r="AF276"/>
  <c r="AE276"/>
  <c r="AD276"/>
  <c r="AC276"/>
  <c r="AB276"/>
  <c r="AA276"/>
  <c r="Z276"/>
  <c r="Y276"/>
  <c r="X276"/>
  <c r="W276"/>
  <c r="V276"/>
  <c r="U276"/>
  <c r="T276"/>
  <c r="AG275"/>
  <c r="AF275"/>
  <c r="AE275"/>
  <c r="AD275"/>
  <c r="AC275"/>
  <c r="AB275"/>
  <c r="AA275"/>
  <c r="Z275"/>
  <c r="Y275"/>
  <c r="X275"/>
  <c r="W275"/>
  <c r="V275"/>
  <c r="U275"/>
  <c r="T275"/>
  <c r="AG274"/>
  <c r="AF274"/>
  <c r="AE274"/>
  <c r="AD274"/>
  <c r="AC274"/>
  <c r="AB274"/>
  <c r="AA274"/>
  <c r="Z274"/>
  <c r="Y274"/>
  <c r="X274"/>
  <c r="W274"/>
  <c r="V274"/>
  <c r="U274"/>
  <c r="T274"/>
  <c r="AG273"/>
  <c r="AF273"/>
  <c r="AE273"/>
  <c r="AD273"/>
  <c r="AC273"/>
  <c r="AB273"/>
  <c r="AA273"/>
  <c r="Z273"/>
  <c r="Y273"/>
  <c r="X273"/>
  <c r="W273"/>
  <c r="V273"/>
  <c r="U273"/>
  <c r="T273"/>
  <c r="AG272"/>
  <c r="AF272"/>
  <c r="AE272"/>
  <c r="AD272"/>
  <c r="AC272"/>
  <c r="AB272"/>
  <c r="AA272"/>
  <c r="Z272"/>
  <c r="Y272"/>
  <c r="X272"/>
  <c r="W272"/>
  <c r="V272"/>
  <c r="U272"/>
  <c r="T272"/>
  <c r="AG271"/>
  <c r="AF271"/>
  <c r="AE271"/>
  <c r="AD271"/>
  <c r="AC271"/>
  <c r="AB271"/>
  <c r="AA271"/>
  <c r="Z271"/>
  <c r="Y271"/>
  <c r="X271"/>
  <c r="W271"/>
  <c r="V271"/>
  <c r="U271"/>
  <c r="T271"/>
  <c r="AG270"/>
  <c r="AF270"/>
  <c r="AE270"/>
  <c r="AD270"/>
  <c r="AC270"/>
  <c r="AB270"/>
  <c r="AA270"/>
  <c r="Z270"/>
  <c r="Y270"/>
  <c r="X270"/>
  <c r="W270"/>
  <c r="V270"/>
  <c r="U270"/>
  <c r="T270"/>
  <c r="AG269"/>
  <c r="AF269"/>
  <c r="AE269"/>
  <c r="AD269"/>
  <c r="AC269"/>
  <c r="AB269"/>
  <c r="AA269"/>
  <c r="Z269"/>
  <c r="Y269"/>
  <c r="X269"/>
  <c r="W269"/>
  <c r="V269"/>
  <c r="U269"/>
  <c r="T269"/>
  <c r="AG268"/>
  <c r="AF268"/>
  <c r="AE268"/>
  <c r="AD268"/>
  <c r="AC268"/>
  <c r="AB268"/>
  <c r="AA268"/>
  <c r="Z268"/>
  <c r="Y268"/>
  <c r="X268"/>
  <c r="W268"/>
  <c r="V268"/>
  <c r="U268"/>
  <c r="T268"/>
  <c r="AG267"/>
  <c r="AF267"/>
  <c r="AE267"/>
  <c r="AD267"/>
  <c r="AC267"/>
  <c r="AB267"/>
  <c r="AA267"/>
  <c r="Z267"/>
  <c r="Y267"/>
  <c r="X267"/>
  <c r="W267"/>
  <c r="V267"/>
  <c r="U267"/>
  <c r="T267"/>
  <c r="AG266"/>
  <c r="AF266"/>
  <c r="AE266"/>
  <c r="AD266"/>
  <c r="AC266"/>
  <c r="AB266"/>
  <c r="AA266"/>
  <c r="Z266"/>
  <c r="Y266"/>
  <c r="X266"/>
  <c r="W266"/>
  <c r="V266"/>
  <c r="U266"/>
  <c r="T266"/>
  <c r="AG264"/>
  <c r="AF264"/>
  <c r="AE264"/>
  <c r="AD264"/>
  <c r="AC264"/>
  <c r="AB264"/>
  <c r="AA264"/>
  <c r="Z264"/>
  <c r="Y264"/>
  <c r="X264"/>
  <c r="W264"/>
  <c r="V264"/>
  <c r="U264"/>
  <c r="T264"/>
  <c r="AG263"/>
  <c r="AF263"/>
  <c r="AE263"/>
  <c r="AD263"/>
  <c r="AC263"/>
  <c r="AB263"/>
  <c r="AA263"/>
  <c r="Z263"/>
  <c r="Y263"/>
  <c r="X263"/>
  <c r="W263"/>
  <c r="V263"/>
  <c r="U263"/>
  <c r="T263"/>
  <c r="AG262"/>
  <c r="AF262"/>
  <c r="AE262"/>
  <c r="AD262"/>
  <c r="AC262"/>
  <c r="AB262"/>
  <c r="AA262"/>
  <c r="Z262"/>
  <c r="Y262"/>
  <c r="X262"/>
  <c r="W262"/>
  <c r="V262"/>
  <c r="U262"/>
  <c r="T262"/>
  <c r="AG261"/>
  <c r="AF261"/>
  <c r="AE261"/>
  <c r="AD261"/>
  <c r="AC261"/>
  <c r="AB261"/>
  <c r="AA261"/>
  <c r="Z261"/>
  <c r="Y261"/>
  <c r="X261"/>
  <c r="W261"/>
  <c r="V261"/>
  <c r="U261"/>
  <c r="T261"/>
  <c r="AG260"/>
  <c r="AF260"/>
  <c r="AE260"/>
  <c r="AD260"/>
  <c r="AC260"/>
  <c r="AB260"/>
  <c r="AA260"/>
  <c r="Z260"/>
  <c r="Y260"/>
  <c r="X260"/>
  <c r="W260"/>
  <c r="V260"/>
  <c r="U260"/>
  <c r="T260"/>
  <c r="AG259"/>
  <c r="AF259"/>
  <c r="AE259"/>
  <c r="AD259"/>
  <c r="AC259"/>
  <c r="AB259"/>
  <c r="AA259"/>
  <c r="Z259"/>
  <c r="Y259"/>
  <c r="X259"/>
  <c r="W259"/>
  <c r="V259"/>
  <c r="U259"/>
  <c r="T259"/>
  <c r="AG258"/>
  <c r="AF258"/>
  <c r="AE258"/>
  <c r="AD258"/>
  <c r="AC258"/>
  <c r="AB258"/>
  <c r="AA258"/>
  <c r="Z258"/>
  <c r="Y258"/>
  <c r="X258"/>
  <c r="W258"/>
  <c r="V258"/>
  <c r="U258"/>
  <c r="T258"/>
  <c r="AG257"/>
  <c r="AF257"/>
  <c r="AE257"/>
  <c r="AD257"/>
  <c r="AC257"/>
  <c r="AB257"/>
  <c r="AA257"/>
  <c r="Z257"/>
  <c r="Y257"/>
  <c r="X257"/>
  <c r="W257"/>
  <c r="V257"/>
  <c r="U257"/>
  <c r="T257"/>
  <c r="AG256"/>
  <c r="AF256"/>
  <c r="AE256"/>
  <c r="AD256"/>
  <c r="AC256"/>
  <c r="AB256"/>
  <c r="AA256"/>
  <c r="Z256"/>
  <c r="Y256"/>
  <c r="X256"/>
  <c r="W256"/>
  <c r="V256"/>
  <c r="U256"/>
  <c r="T256"/>
  <c r="AG255"/>
  <c r="AF255"/>
  <c r="AE255"/>
  <c r="AD255"/>
  <c r="AC255"/>
  <c r="AB255"/>
  <c r="AA255"/>
  <c r="Z255"/>
  <c r="Y255"/>
  <c r="X255"/>
  <c r="W255"/>
  <c r="V255"/>
  <c r="U255"/>
  <c r="T255"/>
  <c r="AG254"/>
  <c r="AF254"/>
  <c r="AE254"/>
  <c r="AD254"/>
  <c r="AC254"/>
  <c r="AB254"/>
  <c r="AA254"/>
  <c r="Z254"/>
  <c r="Y254"/>
  <c r="X254"/>
  <c r="W254"/>
  <c r="V254"/>
  <c r="U254"/>
  <c r="T254"/>
  <c r="AG253"/>
  <c r="AF253"/>
  <c r="AE253"/>
  <c r="AD253"/>
  <c r="AC253"/>
  <c r="AB253"/>
  <c r="AA253"/>
  <c r="Z253"/>
  <c r="Y253"/>
  <c r="X253"/>
  <c r="W253"/>
  <c r="V253"/>
  <c r="U253"/>
  <c r="T253"/>
  <c r="AG252"/>
  <c r="AF252"/>
  <c r="AE252"/>
  <c r="AD252"/>
  <c r="AC252"/>
  <c r="AB252"/>
  <c r="AA252"/>
  <c r="Z252"/>
  <c r="Y252"/>
  <c r="X252"/>
  <c r="W252"/>
  <c r="V252"/>
  <c r="U252"/>
  <c r="T252"/>
  <c r="AG251"/>
  <c r="AF251"/>
  <c r="AE251"/>
  <c r="AD251"/>
  <c r="AC251"/>
  <c r="AB251"/>
  <c r="AA251"/>
  <c r="Z251"/>
  <c r="Y251"/>
  <c r="X251"/>
  <c r="W251"/>
  <c r="V251"/>
  <c r="U251"/>
  <c r="T251"/>
  <c r="AG250"/>
  <c r="AF250"/>
  <c r="AE250"/>
  <c r="AD250"/>
  <c r="AC250"/>
  <c r="AB250"/>
  <c r="AA250"/>
  <c r="Z250"/>
  <c r="Y250"/>
  <c r="X250"/>
  <c r="W250"/>
  <c r="V250"/>
  <c r="U250"/>
  <c r="T250"/>
  <c r="AG249"/>
  <c r="AF249"/>
  <c r="AE249"/>
  <c r="AD249"/>
  <c r="AC249"/>
  <c r="AB249"/>
  <c r="AA249"/>
  <c r="Z249"/>
  <c r="Y249"/>
  <c r="X249"/>
  <c r="W249"/>
  <c r="V249"/>
  <c r="U249"/>
  <c r="T249"/>
  <c r="AG248"/>
  <c r="AF248"/>
  <c r="AE248"/>
  <c r="AD248"/>
  <c r="AC248"/>
  <c r="AB248"/>
  <c r="AA248"/>
  <c r="Z248"/>
  <c r="Y248"/>
  <c r="X248"/>
  <c r="W248"/>
  <c r="V248"/>
  <c r="U248"/>
  <c r="T248"/>
  <c r="AG247"/>
  <c r="AF247"/>
  <c r="AE247"/>
  <c r="AD247"/>
  <c r="AC247"/>
  <c r="AB247"/>
  <c r="AA247"/>
  <c r="Z247"/>
  <c r="Y247"/>
  <c r="X247"/>
  <c r="W247"/>
  <c r="V247"/>
  <c r="U247"/>
  <c r="T247"/>
  <c r="AG246"/>
  <c r="AF246"/>
  <c r="AE246"/>
  <c r="AD246"/>
  <c r="AC246"/>
  <c r="AB246"/>
  <c r="AA246"/>
  <c r="Z246"/>
  <c r="Y246"/>
  <c r="X246"/>
  <c r="W246"/>
  <c r="V246"/>
  <c r="U246"/>
  <c r="T246"/>
  <c r="AG245"/>
  <c r="AF245"/>
  <c r="AE245"/>
  <c r="AD245"/>
  <c r="AC245"/>
  <c r="AB245"/>
  <c r="AA245"/>
  <c r="Z245"/>
  <c r="Y245"/>
  <c r="X245"/>
  <c r="W245"/>
  <c r="V245"/>
  <c r="U245"/>
  <c r="T245"/>
  <c r="AG244"/>
  <c r="AF244"/>
  <c r="AE244"/>
  <c r="AD244"/>
  <c r="AC244"/>
  <c r="AB244"/>
  <c r="AA244"/>
  <c r="Z244"/>
  <c r="Y244"/>
  <c r="X244"/>
  <c r="W244"/>
  <c r="V244"/>
  <c r="U244"/>
  <c r="T244"/>
  <c r="AG243"/>
  <c r="AF243"/>
  <c r="AE243"/>
  <c r="AD243"/>
  <c r="AC243"/>
  <c r="AB243"/>
  <c r="AA243"/>
  <c r="Z243"/>
  <c r="Y243"/>
  <c r="X243"/>
  <c r="W243"/>
  <c r="V243"/>
  <c r="U243"/>
  <c r="T243"/>
  <c r="AG242"/>
  <c r="AF242"/>
  <c r="AE242"/>
  <c r="AD242"/>
  <c r="AC242"/>
  <c r="AB242"/>
  <c r="AA242"/>
  <c r="Z242"/>
  <c r="Y242"/>
  <c r="X242"/>
  <c r="W242"/>
  <c r="V242"/>
  <c r="U242"/>
  <c r="T242"/>
  <c r="AG241"/>
  <c r="AF241"/>
  <c r="AE241"/>
  <c r="AD241"/>
  <c r="AC241"/>
  <c r="AB241"/>
  <c r="AA241"/>
  <c r="Z241"/>
  <c r="Y241"/>
  <c r="X241"/>
  <c r="W241"/>
  <c r="V241"/>
  <c r="U241"/>
  <c r="T241"/>
  <c r="AG240"/>
  <c r="AF240"/>
  <c r="AE240"/>
  <c r="AD240"/>
  <c r="AC240"/>
  <c r="AB240"/>
  <c r="AA240"/>
  <c r="Z240"/>
  <c r="Y240"/>
  <c r="X240"/>
  <c r="W240"/>
  <c r="V240"/>
  <c r="U240"/>
  <c r="T240"/>
  <c r="AG239"/>
  <c r="AF239"/>
  <c r="AE239"/>
  <c r="AD239"/>
  <c r="AC239"/>
  <c r="AB239"/>
  <c r="AA239"/>
  <c r="Z239"/>
  <c r="Y239"/>
  <c r="X239"/>
  <c r="W239"/>
  <c r="V239"/>
  <c r="U239"/>
  <c r="T239"/>
  <c r="AG238"/>
  <c r="AF238"/>
  <c r="AE238"/>
  <c r="AD238"/>
  <c r="AC238"/>
  <c r="AB238"/>
  <c r="AA238"/>
  <c r="Z238"/>
  <c r="Y238"/>
  <c r="X238"/>
  <c r="W238"/>
  <c r="V238"/>
  <c r="U238"/>
  <c r="T238"/>
  <c r="AG237"/>
  <c r="AF237"/>
  <c r="AE237"/>
  <c r="AD237"/>
  <c r="AC237"/>
  <c r="AB237"/>
  <c r="AA237"/>
  <c r="Z237"/>
  <c r="Y237"/>
  <c r="X237"/>
  <c r="W237"/>
  <c r="V237"/>
  <c r="U237"/>
  <c r="T237"/>
  <c r="AG235"/>
  <c r="AF235"/>
  <c r="AE235"/>
  <c r="AD235"/>
  <c r="AC235"/>
  <c r="AB235"/>
  <c r="AA235"/>
  <c r="Z235"/>
  <c r="Y235"/>
  <c r="X235"/>
  <c r="W235"/>
  <c r="V235"/>
  <c r="U235"/>
  <c r="T235"/>
  <c r="AG234"/>
  <c r="AF234"/>
  <c r="AE234"/>
  <c r="AD234"/>
  <c r="AC234"/>
  <c r="AB234"/>
  <c r="AA234"/>
  <c r="Z234"/>
  <c r="Y234"/>
  <c r="X234"/>
  <c r="W234"/>
  <c r="V234"/>
  <c r="U234"/>
  <c r="T234"/>
  <c r="AG233"/>
  <c r="AF233"/>
  <c r="AE233"/>
  <c r="AD233"/>
  <c r="AC233"/>
  <c r="AB233"/>
  <c r="AA233"/>
  <c r="Z233"/>
  <c r="Y233"/>
  <c r="X233"/>
  <c r="W233"/>
  <c r="V233"/>
  <c r="U233"/>
  <c r="T233"/>
  <c r="AG231"/>
  <c r="AF231"/>
  <c r="AE231"/>
  <c r="AD231"/>
  <c r="AC231"/>
  <c r="AB231"/>
  <c r="AA231"/>
  <c r="Z231"/>
  <c r="Y231"/>
  <c r="X231"/>
  <c r="W231"/>
  <c r="V231"/>
  <c r="U231"/>
  <c r="T231"/>
  <c r="AG230"/>
  <c r="AF230"/>
  <c r="AE230"/>
  <c r="AD230"/>
  <c r="AC230"/>
  <c r="AB230"/>
  <c r="AA230"/>
  <c r="Z230"/>
  <c r="Y230"/>
  <c r="X230"/>
  <c r="W230"/>
  <c r="V230"/>
  <c r="U230"/>
  <c r="T230"/>
  <c r="AG229"/>
  <c r="AF229"/>
  <c r="AE229"/>
  <c r="AD229"/>
  <c r="AC229"/>
  <c r="AB229"/>
  <c r="AA229"/>
  <c r="Z229"/>
  <c r="Y229"/>
  <c r="X229"/>
  <c r="W229"/>
  <c r="V229"/>
  <c r="U229"/>
  <c r="T229"/>
  <c r="AG228"/>
  <c r="AF228"/>
  <c r="AE228"/>
  <c r="AD228"/>
  <c r="AC228"/>
  <c r="AB228"/>
  <c r="AA228"/>
  <c r="Z228"/>
  <c r="Y228"/>
  <c r="X228"/>
  <c r="W228"/>
  <c r="V228"/>
  <c r="U228"/>
  <c r="T228"/>
  <c r="AG227"/>
  <c r="AF227"/>
  <c r="AE227"/>
  <c r="AD227"/>
  <c r="AC227"/>
  <c r="AB227"/>
  <c r="AA227"/>
  <c r="Z227"/>
  <c r="Y227"/>
  <c r="X227"/>
  <c r="W227"/>
  <c r="V227"/>
  <c r="U227"/>
  <c r="T227"/>
  <c r="AG226"/>
  <c r="AF226"/>
  <c r="AE226"/>
  <c r="AD226"/>
  <c r="AC226"/>
  <c r="AB226"/>
  <c r="AA226"/>
  <c r="Z226"/>
  <c r="Y226"/>
  <c r="X226"/>
  <c r="W226"/>
  <c r="V226"/>
  <c r="U226"/>
  <c r="T226"/>
  <c r="AG225"/>
  <c r="AF225"/>
  <c r="AE225"/>
  <c r="AD225"/>
  <c r="AC225"/>
  <c r="AB225"/>
  <c r="AA225"/>
  <c r="Z225"/>
  <c r="Y225"/>
  <c r="X225"/>
  <c r="W225"/>
  <c r="V225"/>
  <c r="U225"/>
  <c r="T225"/>
  <c r="AG224"/>
  <c r="AF224"/>
  <c r="AE224"/>
  <c r="AD224"/>
  <c r="AC224"/>
  <c r="AB224"/>
  <c r="AA224"/>
  <c r="Z224"/>
  <c r="Y224"/>
  <c r="X224"/>
  <c r="W224"/>
  <c r="V224"/>
  <c r="U224"/>
  <c r="T224"/>
  <c r="AG223"/>
  <c r="AF223"/>
  <c r="AE223"/>
  <c r="AD223"/>
  <c r="AC223"/>
  <c r="AB223"/>
  <c r="AA223"/>
  <c r="Z223"/>
  <c r="Y223"/>
  <c r="X223"/>
  <c r="W223"/>
  <c r="V223"/>
  <c r="U223"/>
  <c r="T223"/>
  <c r="AG222"/>
  <c r="AF222"/>
  <c r="AE222"/>
  <c r="AD222"/>
  <c r="AC222"/>
  <c r="AB222"/>
  <c r="AA222"/>
  <c r="Z222"/>
  <c r="Y222"/>
  <c r="X222"/>
  <c r="W222"/>
  <c r="V222"/>
  <c r="U222"/>
  <c r="T222"/>
  <c r="AG221"/>
  <c r="AF221"/>
  <c r="AE221"/>
  <c r="AD221"/>
  <c r="AC221"/>
  <c r="AB221"/>
  <c r="AA221"/>
  <c r="Z221"/>
  <c r="Y221"/>
  <c r="X221"/>
  <c r="W221"/>
  <c r="V221"/>
  <c r="U221"/>
  <c r="T221"/>
  <c r="AG220"/>
  <c r="AF220"/>
  <c r="AE220"/>
  <c r="AD220"/>
  <c r="AC220"/>
  <c r="AB220"/>
  <c r="AA220"/>
  <c r="Z220"/>
  <c r="Y220"/>
  <c r="X220"/>
  <c r="W220"/>
  <c r="V220"/>
  <c r="U220"/>
  <c r="T220"/>
  <c r="AG219"/>
  <c r="AF219"/>
  <c r="AE219"/>
  <c r="AD219"/>
  <c r="AC219"/>
  <c r="AB219"/>
  <c r="AA219"/>
  <c r="Z219"/>
  <c r="Y219"/>
  <c r="X219"/>
  <c r="W219"/>
  <c r="V219"/>
  <c r="U219"/>
  <c r="T219"/>
  <c r="AG218"/>
  <c r="AF218"/>
  <c r="AE218"/>
  <c r="AD218"/>
  <c r="AC218"/>
  <c r="AB218"/>
  <c r="AA218"/>
  <c r="Z218"/>
  <c r="Y218"/>
  <c r="X218"/>
  <c r="W218"/>
  <c r="V218"/>
  <c r="U218"/>
  <c r="T218"/>
  <c r="AG217"/>
  <c r="AF217"/>
  <c r="AE217"/>
  <c r="AD217"/>
  <c r="AC217"/>
  <c r="AB217"/>
  <c r="AA217"/>
  <c r="Z217"/>
  <c r="Y217"/>
  <c r="X217"/>
  <c r="W217"/>
  <c r="V217"/>
  <c r="U217"/>
  <c r="T217"/>
  <c r="AG216"/>
  <c r="AF216"/>
  <c r="AE216"/>
  <c r="AD216"/>
  <c r="AC216"/>
  <c r="AB216"/>
  <c r="AA216"/>
  <c r="Z216"/>
  <c r="Y216"/>
  <c r="X216"/>
  <c r="W216"/>
  <c r="V216"/>
  <c r="U216"/>
  <c r="T216"/>
  <c r="AG215"/>
  <c r="AF215"/>
  <c r="AE215"/>
  <c r="AD215"/>
  <c r="AC215"/>
  <c r="AB215"/>
  <c r="AA215"/>
  <c r="Z215"/>
  <c r="Y215"/>
  <c r="X215"/>
  <c r="W215"/>
  <c r="V215"/>
  <c r="U215"/>
  <c r="T215"/>
  <c r="AG214"/>
  <c r="AF214"/>
  <c r="AE214"/>
  <c r="AD214"/>
  <c r="AC214"/>
  <c r="AB214"/>
  <c r="AA214"/>
  <c r="Z214"/>
  <c r="Y214"/>
  <c r="X214"/>
  <c r="W214"/>
  <c r="V214"/>
  <c r="U214"/>
  <c r="T214"/>
  <c r="AG213"/>
  <c r="AF213"/>
  <c r="AE213"/>
  <c r="AD213"/>
  <c r="AC213"/>
  <c r="AB213"/>
  <c r="AA213"/>
  <c r="Z213"/>
  <c r="Y213"/>
  <c r="X213"/>
  <c r="W213"/>
  <c r="V213"/>
  <c r="U213"/>
  <c r="T213"/>
  <c r="AG212"/>
  <c r="AF212"/>
  <c r="AE212"/>
  <c r="AD212"/>
  <c r="AC212"/>
  <c r="AB212"/>
  <c r="AA212"/>
  <c r="Z212"/>
  <c r="Y212"/>
  <c r="X212"/>
  <c r="W212"/>
  <c r="V212"/>
  <c r="U212"/>
  <c r="T212"/>
  <c r="AG211"/>
  <c r="AF211"/>
  <c r="AE211"/>
  <c r="AD211"/>
  <c r="AC211"/>
  <c r="AB211"/>
  <c r="AA211"/>
  <c r="Z211"/>
  <c r="Y211"/>
  <c r="X211"/>
  <c r="W211"/>
  <c r="V211"/>
  <c r="U211"/>
  <c r="T211"/>
  <c r="AG210"/>
  <c r="AF210"/>
  <c r="AE210"/>
  <c r="AD210"/>
  <c r="AC210"/>
  <c r="AB210"/>
  <c r="AA210"/>
  <c r="Z210"/>
  <c r="Y210"/>
  <c r="X210"/>
  <c r="W210"/>
  <c r="V210"/>
  <c r="U210"/>
  <c r="T210"/>
  <c r="AG209"/>
  <c r="AF209"/>
  <c r="AE209"/>
  <c r="AD209"/>
  <c r="AC209"/>
  <c r="AB209"/>
  <c r="AA209"/>
  <c r="Z209"/>
  <c r="Y209"/>
  <c r="X209"/>
  <c r="W209"/>
  <c r="V209"/>
  <c r="U209"/>
  <c r="T209"/>
  <c r="AG208"/>
  <c r="AF208"/>
  <c r="AE208"/>
  <c r="AD208"/>
  <c r="AC208"/>
  <c r="AB208"/>
  <c r="AA208"/>
  <c r="Z208"/>
  <c r="Y208"/>
  <c r="X208"/>
  <c r="W208"/>
  <c r="V208"/>
  <c r="U208"/>
  <c r="T208"/>
  <c r="AG207"/>
  <c r="AF207"/>
  <c r="AE207"/>
  <c r="AD207"/>
  <c r="AC207"/>
  <c r="AB207"/>
  <c r="AA207"/>
  <c r="Z207"/>
  <c r="Y207"/>
  <c r="X207"/>
  <c r="W207"/>
  <c r="V207"/>
  <c r="U207"/>
  <c r="T207"/>
  <c r="AG206"/>
  <c r="AF206"/>
  <c r="AE206"/>
  <c r="AD206"/>
  <c r="AC206"/>
  <c r="AB206"/>
  <c r="AA206"/>
  <c r="Z206"/>
  <c r="Y206"/>
  <c r="X206"/>
  <c r="W206"/>
  <c r="V206"/>
  <c r="U206"/>
  <c r="T206"/>
  <c r="AG205"/>
  <c r="AF205"/>
  <c r="AE205"/>
  <c r="AD205"/>
  <c r="AC205"/>
  <c r="AB205"/>
  <c r="AA205"/>
  <c r="Z205"/>
  <c r="Y205"/>
  <c r="X205"/>
  <c r="W205"/>
  <c r="V205"/>
  <c r="U205"/>
  <c r="T205"/>
  <c r="AG204"/>
  <c r="AF204"/>
  <c r="AE204"/>
  <c r="AD204"/>
  <c r="AC204"/>
  <c r="AB204"/>
  <c r="AA204"/>
  <c r="Z204"/>
  <c r="Y204"/>
  <c r="X204"/>
  <c r="W204"/>
  <c r="V204"/>
  <c r="U204"/>
  <c r="T204"/>
  <c r="AG203"/>
  <c r="AF203"/>
  <c r="AE203"/>
  <c r="AD203"/>
  <c r="AC203"/>
  <c r="AB203"/>
  <c r="AA203"/>
  <c r="Z203"/>
  <c r="Y203"/>
  <c r="X203"/>
  <c r="W203"/>
  <c r="V203"/>
  <c r="U203"/>
  <c r="T203"/>
  <c r="AG202"/>
  <c r="AF202"/>
  <c r="AE202"/>
  <c r="AD202"/>
  <c r="AC202"/>
  <c r="AB202"/>
  <c r="AA202"/>
  <c r="Z202"/>
  <c r="Y202"/>
  <c r="X202"/>
  <c r="W202"/>
  <c r="V202"/>
  <c r="U202"/>
  <c r="T202"/>
  <c r="T3"/>
  <c r="U3"/>
  <c r="V3"/>
  <c r="W3"/>
  <c r="X3"/>
  <c r="Y3"/>
  <c r="Z3"/>
  <c r="AA3"/>
  <c r="AB3"/>
  <c r="AC3"/>
  <c r="AD3"/>
  <c r="AE3"/>
  <c r="AF3"/>
  <c r="AG3"/>
  <c r="T4"/>
  <c r="U4"/>
  <c r="V4"/>
  <c r="W4"/>
  <c r="X4"/>
  <c r="Y4"/>
  <c r="Z4"/>
  <c r="AA4"/>
  <c r="AB4"/>
  <c r="AC4"/>
  <c r="AD4"/>
  <c r="AE4"/>
  <c r="AF4"/>
  <c r="AG4"/>
  <c r="T5"/>
  <c r="U5"/>
  <c r="V5"/>
  <c r="W5"/>
  <c r="X5"/>
  <c r="Y5"/>
  <c r="Z5"/>
  <c r="AA5"/>
  <c r="AB5"/>
  <c r="AC5"/>
  <c r="AD5"/>
  <c r="AE5"/>
  <c r="AF5"/>
  <c r="AG5"/>
  <c r="T6"/>
  <c r="U6"/>
  <c r="V6"/>
  <c r="W6"/>
  <c r="X6"/>
  <c r="Y6"/>
  <c r="Z6"/>
  <c r="AA6"/>
  <c r="AB6"/>
  <c r="AC6"/>
  <c r="AD6"/>
  <c r="AE6"/>
  <c r="AF6"/>
  <c r="AG6"/>
  <c r="T7"/>
  <c r="U7"/>
  <c r="V7"/>
  <c r="W7"/>
  <c r="X7"/>
  <c r="Y7"/>
  <c r="Z7"/>
  <c r="AA7"/>
  <c r="AB7"/>
  <c r="AC7"/>
  <c r="AD7"/>
  <c r="AE7"/>
  <c r="AF7"/>
  <c r="AG7"/>
  <c r="T8"/>
  <c r="U8"/>
  <c r="V8"/>
  <c r="W8"/>
  <c r="X8"/>
  <c r="Y8"/>
  <c r="Z8"/>
  <c r="AA8"/>
  <c r="AB8"/>
  <c r="AC8"/>
  <c r="AD8"/>
  <c r="AE8"/>
  <c r="AF8"/>
  <c r="AG8"/>
  <c r="T9"/>
  <c r="U9"/>
  <c r="V9"/>
  <c r="W9"/>
  <c r="X9"/>
  <c r="Y9"/>
  <c r="Z9"/>
  <c r="AA9"/>
  <c r="AB9"/>
  <c r="AC9"/>
  <c r="AD9"/>
  <c r="AE9"/>
  <c r="AF9"/>
  <c r="AG9"/>
  <c r="T10"/>
  <c r="U10"/>
  <c r="V10"/>
  <c r="W10"/>
  <c r="X10"/>
  <c r="Y10"/>
  <c r="Z10"/>
  <c r="AA10"/>
  <c r="AB10"/>
  <c r="AC10"/>
  <c r="AD10"/>
  <c r="AE10"/>
  <c r="AF10"/>
  <c r="AG10"/>
  <c r="T11"/>
  <c r="U11"/>
  <c r="V11"/>
  <c r="W11"/>
  <c r="X11"/>
  <c r="Y11"/>
  <c r="Z11"/>
  <c r="AA11"/>
  <c r="AB11"/>
  <c r="AC11"/>
  <c r="AD11"/>
  <c r="AE11"/>
  <c r="AF11"/>
  <c r="AG11"/>
  <c r="T12"/>
  <c r="U12"/>
  <c r="V12"/>
  <c r="W12"/>
  <c r="X12"/>
  <c r="Y12"/>
  <c r="Z12"/>
  <c r="AA12"/>
  <c r="AB12"/>
  <c r="AC12"/>
  <c r="AD12"/>
  <c r="AE12"/>
  <c r="AF12"/>
  <c r="AG12"/>
  <c r="T13"/>
  <c r="U13"/>
  <c r="V13"/>
  <c r="W13"/>
  <c r="X13"/>
  <c r="Y13"/>
  <c r="Z13"/>
  <c r="AA13"/>
  <c r="AB13"/>
  <c r="AC13"/>
  <c r="AD13"/>
  <c r="AE13"/>
  <c r="AF13"/>
  <c r="AG13"/>
  <c r="T14"/>
  <c r="U14"/>
  <c r="V14"/>
  <c r="W14"/>
  <c r="X14"/>
  <c r="Y14"/>
  <c r="Z14"/>
  <c r="AA14"/>
  <c r="AB14"/>
  <c r="AC14"/>
  <c r="AD14"/>
  <c r="AE14"/>
  <c r="AF14"/>
  <c r="AG14"/>
  <c r="T15"/>
  <c r="U15"/>
  <c r="V15"/>
  <c r="W15"/>
  <c r="X15"/>
  <c r="Y15"/>
  <c r="Z15"/>
  <c r="AA15"/>
  <c r="AB15"/>
  <c r="AC15"/>
  <c r="AD15"/>
  <c r="AE15"/>
  <c r="AF15"/>
  <c r="AG15"/>
  <c r="T16"/>
  <c r="U16"/>
  <c r="V16"/>
  <c r="W16"/>
  <c r="X16"/>
  <c r="Y16"/>
  <c r="Z16"/>
  <c r="AA16"/>
  <c r="AB16"/>
  <c r="AC16"/>
  <c r="AD16"/>
  <c r="AE16"/>
  <c r="AF16"/>
  <c r="AG16"/>
  <c r="T17"/>
  <c r="U17"/>
  <c r="V17"/>
  <c r="W17"/>
  <c r="X17"/>
  <c r="Y17"/>
  <c r="Z17"/>
  <c r="AA17"/>
  <c r="AB17"/>
  <c r="AC17"/>
  <c r="AD17"/>
  <c r="AE17"/>
  <c r="AF17"/>
  <c r="AG17"/>
  <c r="T18"/>
  <c r="U18"/>
  <c r="V18"/>
  <c r="W18"/>
  <c r="X18"/>
  <c r="Y18"/>
  <c r="Z18"/>
  <c r="AA18"/>
  <c r="AB18"/>
  <c r="AC18"/>
  <c r="AD18"/>
  <c r="AE18"/>
  <c r="AF18"/>
  <c r="AG18"/>
  <c r="T20"/>
  <c r="U20"/>
  <c r="V20"/>
  <c r="W20"/>
  <c r="X20"/>
  <c r="Y20"/>
  <c r="Z20"/>
  <c r="AA20"/>
  <c r="AB20"/>
  <c r="AC20"/>
  <c r="AD20"/>
  <c r="AE20"/>
  <c r="AF20"/>
  <c r="AG20"/>
  <c r="T21"/>
  <c r="U21"/>
  <c r="V21"/>
  <c r="W21"/>
  <c r="X21"/>
  <c r="Y21"/>
  <c r="Z21"/>
  <c r="AA21"/>
  <c r="AB21"/>
  <c r="AC21"/>
  <c r="AD21"/>
  <c r="AE21"/>
  <c r="AF21"/>
  <c r="AG21"/>
  <c r="T22"/>
  <c r="U22"/>
  <c r="V22"/>
  <c r="W22"/>
  <c r="X22"/>
  <c r="Y22"/>
  <c r="Z22"/>
  <c r="AA22"/>
  <c r="AB22"/>
  <c r="AC22"/>
  <c r="AD22"/>
  <c r="AE22"/>
  <c r="AF22"/>
  <c r="AG22"/>
  <c r="T23"/>
  <c r="U23"/>
  <c r="V23"/>
  <c r="W23"/>
  <c r="X23"/>
  <c r="Y23"/>
  <c r="Z23"/>
  <c r="AA23"/>
  <c r="AB23"/>
  <c r="AC23"/>
  <c r="AD23"/>
  <c r="AE23"/>
  <c r="AF23"/>
  <c r="AG23"/>
  <c r="T24"/>
  <c r="U24"/>
  <c r="V24"/>
  <c r="W24"/>
  <c r="X24"/>
  <c r="Y24"/>
  <c r="Z24"/>
  <c r="AA24"/>
  <c r="AB24"/>
  <c r="AC24"/>
  <c r="AD24"/>
  <c r="AE24"/>
  <c r="AF24"/>
  <c r="AG24"/>
  <c r="T25"/>
  <c r="U25"/>
  <c r="V25"/>
  <c r="W25"/>
  <c r="X25"/>
  <c r="Y25"/>
  <c r="Z25"/>
  <c r="AA25"/>
  <c r="AB25"/>
  <c r="AC25"/>
  <c r="AD25"/>
  <c r="AE25"/>
  <c r="AF25"/>
  <c r="AG25"/>
  <c r="T26"/>
  <c r="U26"/>
  <c r="V26"/>
  <c r="W26"/>
  <c r="X26"/>
  <c r="Y26"/>
  <c r="Z26"/>
  <c r="AA26"/>
  <c r="AB26"/>
  <c r="AC26"/>
  <c r="AD26"/>
  <c r="AE26"/>
  <c r="AF26"/>
  <c r="AG26"/>
  <c r="T27"/>
  <c r="U27"/>
  <c r="V27"/>
  <c r="W27"/>
  <c r="X27"/>
  <c r="Y27"/>
  <c r="Z27"/>
  <c r="AA27"/>
  <c r="AB27"/>
  <c r="AC27"/>
  <c r="AD27"/>
  <c r="AE27"/>
  <c r="AF27"/>
  <c r="AG27"/>
  <c r="T28"/>
  <c r="U28"/>
  <c r="V28"/>
  <c r="W28"/>
  <c r="X28"/>
  <c r="Y28"/>
  <c r="Z28"/>
  <c r="AA28"/>
  <c r="AB28"/>
  <c r="AC28"/>
  <c r="AD28"/>
  <c r="AE28"/>
  <c r="AF28"/>
  <c r="AG28"/>
  <c r="T29"/>
  <c r="U29"/>
  <c r="V29"/>
  <c r="W29"/>
  <c r="X29"/>
  <c r="Y29"/>
  <c r="Z29"/>
  <c r="AA29"/>
  <c r="AB29"/>
  <c r="AC29"/>
  <c r="AD29"/>
  <c r="AE29"/>
  <c r="AF29"/>
  <c r="AG29"/>
  <c r="T30"/>
  <c r="U30"/>
  <c r="V30"/>
  <c r="W30"/>
  <c r="X30"/>
  <c r="Y30"/>
  <c r="Z30"/>
  <c r="AA30"/>
  <c r="AB30"/>
  <c r="AC30"/>
  <c r="AD30"/>
  <c r="AE30"/>
  <c r="AF30"/>
  <c r="AG30"/>
  <c r="T32"/>
  <c r="U32"/>
  <c r="V32"/>
  <c r="W32"/>
  <c r="X32"/>
  <c r="Y32"/>
  <c r="Z32"/>
  <c r="AA32"/>
  <c r="AB32"/>
  <c r="AC32"/>
  <c r="AD32"/>
  <c r="AE32"/>
  <c r="AF32"/>
  <c r="AG32"/>
  <c r="T33"/>
  <c r="U33"/>
  <c r="V33"/>
  <c r="W33"/>
  <c r="X33"/>
  <c r="Y33"/>
  <c r="Z33"/>
  <c r="AA33"/>
  <c r="AB33"/>
  <c r="AC33"/>
  <c r="AD33"/>
  <c r="AE33"/>
  <c r="AF33"/>
  <c r="AG33"/>
  <c r="T34"/>
  <c r="U34"/>
  <c r="V34"/>
  <c r="W34"/>
  <c r="X34"/>
  <c r="Y34"/>
  <c r="Z34"/>
  <c r="AA34"/>
  <c r="AB34"/>
  <c r="AC34"/>
  <c r="AD34"/>
  <c r="AE34"/>
  <c r="AF34"/>
  <c r="AG34"/>
  <c r="T35"/>
  <c r="U35"/>
  <c r="V35"/>
  <c r="W35"/>
  <c r="X35"/>
  <c r="Y35"/>
  <c r="Z35"/>
  <c r="AA35"/>
  <c r="AB35"/>
  <c r="AC35"/>
  <c r="AD35"/>
  <c r="AE35"/>
  <c r="AF35"/>
  <c r="AG35"/>
  <c r="T36"/>
  <c r="U36"/>
  <c r="V36"/>
  <c r="W36"/>
  <c r="X36"/>
  <c r="Y36"/>
  <c r="Z36"/>
  <c r="AA36"/>
  <c r="AB36"/>
  <c r="AC36"/>
  <c r="AD36"/>
  <c r="AE36"/>
  <c r="AF36"/>
  <c r="AG36"/>
  <c r="T37"/>
  <c r="U37"/>
  <c r="V37"/>
  <c r="W37"/>
  <c r="X37"/>
  <c r="Y37"/>
  <c r="Z37"/>
  <c r="AA37"/>
  <c r="AB37"/>
  <c r="AC37"/>
  <c r="AD37"/>
  <c r="AE37"/>
  <c r="AF37"/>
  <c r="AG37"/>
  <c r="T39"/>
  <c r="U39"/>
  <c r="V39"/>
  <c r="W39"/>
  <c r="X39"/>
  <c r="Y39"/>
  <c r="Z39"/>
  <c r="AA39"/>
  <c r="AB39"/>
  <c r="AC39"/>
  <c r="AD39"/>
  <c r="AE39"/>
  <c r="AF39"/>
  <c r="AG39"/>
  <c r="T40"/>
  <c r="U40"/>
  <c r="V40"/>
  <c r="W40"/>
  <c r="X40"/>
  <c r="Y40"/>
  <c r="Z40"/>
  <c r="AA40"/>
  <c r="AB40"/>
  <c r="AC40"/>
  <c r="AD40"/>
  <c r="AE40"/>
  <c r="AF40"/>
  <c r="AG40"/>
  <c r="T41"/>
  <c r="U41"/>
  <c r="V41"/>
  <c r="W41"/>
  <c r="X41"/>
  <c r="Y41"/>
  <c r="Z41"/>
  <c r="AA41"/>
  <c r="AB41"/>
  <c r="AC41"/>
  <c r="AD41"/>
  <c r="AE41"/>
  <c r="AF41"/>
  <c r="AG41"/>
  <c r="T42"/>
  <c r="U42"/>
  <c r="V42"/>
  <c r="W42"/>
  <c r="X42"/>
  <c r="Y42"/>
  <c r="Z42"/>
  <c r="AA42"/>
  <c r="AB42"/>
  <c r="AC42"/>
  <c r="AD42"/>
  <c r="AE42"/>
  <c r="AF42"/>
  <c r="AG42"/>
  <c r="T44"/>
  <c r="U44"/>
  <c r="V44"/>
  <c r="W44"/>
  <c r="X44"/>
  <c r="Y44"/>
  <c r="Z44"/>
  <c r="AA44"/>
  <c r="AB44"/>
  <c r="AC44"/>
  <c r="AD44"/>
  <c r="AE44"/>
  <c r="AF44"/>
  <c r="AG44"/>
  <c r="T45"/>
  <c r="U45"/>
  <c r="V45"/>
  <c r="W45"/>
  <c r="X45"/>
  <c r="Y45"/>
  <c r="Z45"/>
  <c r="AA45"/>
  <c r="AB45"/>
  <c r="AC45"/>
  <c r="AD45"/>
  <c r="AE45"/>
  <c r="AF45"/>
  <c r="AG45"/>
  <c r="T46"/>
  <c r="U46"/>
  <c r="V46"/>
  <c r="W46"/>
  <c r="X46"/>
  <c r="Y46"/>
  <c r="Z46"/>
  <c r="AA46"/>
  <c r="AB46"/>
  <c r="AC46"/>
  <c r="AD46"/>
  <c r="AE46"/>
  <c r="AF46"/>
  <c r="AG46"/>
  <c r="T47"/>
  <c r="U47"/>
  <c r="V47"/>
  <c r="W47"/>
  <c r="X47"/>
  <c r="Y47"/>
  <c r="Z47"/>
  <c r="AA47"/>
  <c r="AB47"/>
  <c r="AC47"/>
  <c r="AD47"/>
  <c r="AE47"/>
  <c r="AF47"/>
  <c r="AG47"/>
  <c r="T49"/>
  <c r="U49"/>
  <c r="V49"/>
  <c r="W49"/>
  <c r="X49"/>
  <c r="Y49"/>
  <c r="Z49"/>
  <c r="AA49"/>
  <c r="AB49"/>
  <c r="AC49"/>
  <c r="AD49"/>
  <c r="AE49"/>
  <c r="AF49"/>
  <c r="AG49"/>
  <c r="T50"/>
  <c r="U50"/>
  <c r="V50"/>
  <c r="W50"/>
  <c r="X50"/>
  <c r="Y50"/>
  <c r="Z50"/>
  <c r="AA50"/>
  <c r="AB50"/>
  <c r="AC50"/>
  <c r="AD50"/>
  <c r="AE50"/>
  <c r="AF50"/>
  <c r="AG50"/>
  <c r="T51"/>
  <c r="U51"/>
  <c r="V51"/>
  <c r="W51"/>
  <c r="X51"/>
  <c r="Y51"/>
  <c r="Z51"/>
  <c r="AA51"/>
  <c r="AB51"/>
  <c r="AC51"/>
  <c r="AD51"/>
  <c r="AE51"/>
  <c r="AF51"/>
  <c r="AG51"/>
  <c r="T52"/>
  <c r="U52"/>
  <c r="V52"/>
  <c r="W52"/>
  <c r="X52"/>
  <c r="Y52"/>
  <c r="Z52"/>
  <c r="AA52"/>
  <c r="AB52"/>
  <c r="AC52"/>
  <c r="AD52"/>
  <c r="AE52"/>
  <c r="AF52"/>
  <c r="AG52"/>
  <c r="T53"/>
  <c r="U53"/>
  <c r="V53"/>
  <c r="W53"/>
  <c r="X53"/>
  <c r="Y53"/>
  <c r="Z53"/>
  <c r="AA53"/>
  <c r="AB53"/>
  <c r="AC53"/>
  <c r="AD53"/>
  <c r="AE53"/>
  <c r="AF53"/>
  <c r="AG53"/>
  <c r="T55"/>
  <c r="U55"/>
  <c r="V55"/>
  <c r="W55"/>
  <c r="X55"/>
  <c r="Y55"/>
  <c r="Z55"/>
  <c r="AA55"/>
  <c r="AB55"/>
  <c r="AC55"/>
  <c r="AD55"/>
  <c r="AE55"/>
  <c r="AF55"/>
  <c r="AG55"/>
  <c r="T56"/>
  <c r="U56"/>
  <c r="V56"/>
  <c r="W56"/>
  <c r="X56"/>
  <c r="Y56"/>
  <c r="Z56"/>
  <c r="AA56"/>
  <c r="AB56"/>
  <c r="AC56"/>
  <c r="AD56"/>
  <c r="AE56"/>
  <c r="AF56"/>
  <c r="AG56"/>
  <c r="T57"/>
  <c r="U57"/>
  <c r="V57"/>
  <c r="W57"/>
  <c r="X57"/>
  <c r="Y57"/>
  <c r="Z57"/>
  <c r="AA57"/>
  <c r="AB57"/>
  <c r="AC57"/>
  <c r="AD57"/>
  <c r="AE57"/>
  <c r="AF57"/>
  <c r="AG57"/>
  <c r="T58"/>
  <c r="U58"/>
  <c r="V58"/>
  <c r="W58"/>
  <c r="X58"/>
  <c r="Y58"/>
  <c r="Z58"/>
  <c r="AA58"/>
  <c r="AB58"/>
  <c r="AC58"/>
  <c r="AD58"/>
  <c r="AE58"/>
  <c r="AF58"/>
  <c r="AG58"/>
  <c r="T59"/>
  <c r="U59"/>
  <c r="V59"/>
  <c r="W59"/>
  <c r="X59"/>
  <c r="Y59"/>
  <c r="Z59"/>
  <c r="AA59"/>
  <c r="AB59"/>
  <c r="AC59"/>
  <c r="AD59"/>
  <c r="AE59"/>
  <c r="AF59"/>
  <c r="AG59"/>
  <c r="T60"/>
  <c r="U60"/>
  <c r="V60"/>
  <c r="W60"/>
  <c r="X60"/>
  <c r="Y60"/>
  <c r="Z60"/>
  <c r="AA60"/>
  <c r="AB60"/>
  <c r="AC60"/>
  <c r="AD60"/>
  <c r="AE60"/>
  <c r="AF60"/>
  <c r="AG60"/>
  <c r="T61"/>
  <c r="U61"/>
  <c r="V61"/>
  <c r="W61"/>
  <c r="X61"/>
  <c r="Y61"/>
  <c r="Z61"/>
  <c r="AA61"/>
  <c r="AB61"/>
  <c r="AC61"/>
  <c r="AD61"/>
  <c r="AE61"/>
  <c r="AF61"/>
  <c r="AG61"/>
  <c r="T62"/>
  <c r="U62"/>
  <c r="V62"/>
  <c r="W62"/>
  <c r="X62"/>
  <c r="Y62"/>
  <c r="Z62"/>
  <c r="AA62"/>
  <c r="AB62"/>
  <c r="AC62"/>
  <c r="AD62"/>
  <c r="AE62"/>
  <c r="AF62"/>
  <c r="AG62"/>
  <c r="T63"/>
  <c r="U63"/>
  <c r="V63"/>
  <c r="W63"/>
  <c r="X63"/>
  <c r="Y63"/>
  <c r="Z63"/>
  <c r="AA63"/>
  <c r="AB63"/>
  <c r="AC63"/>
  <c r="AD63"/>
  <c r="AE63"/>
  <c r="AF63"/>
  <c r="AG63"/>
  <c r="T64"/>
  <c r="U64"/>
  <c r="V64"/>
  <c r="W64"/>
  <c r="X64"/>
  <c r="Y64"/>
  <c r="Z64"/>
  <c r="AA64"/>
  <c r="AB64"/>
  <c r="AC64"/>
  <c r="AD64"/>
  <c r="AE64"/>
  <c r="AF64"/>
  <c r="AG64"/>
  <c r="T65"/>
  <c r="U65"/>
  <c r="V65"/>
  <c r="W65"/>
  <c r="X65"/>
  <c r="Y65"/>
  <c r="Z65"/>
  <c r="AA65"/>
  <c r="AB65"/>
  <c r="AC65"/>
  <c r="AD65"/>
  <c r="AE65"/>
  <c r="AF65"/>
  <c r="AG65"/>
  <c r="T67"/>
  <c r="U67"/>
  <c r="V67"/>
  <c r="W67"/>
  <c r="X67"/>
  <c r="Y67"/>
  <c r="Z67"/>
  <c r="AA67"/>
  <c r="AB67"/>
  <c r="AC67"/>
  <c r="AD67"/>
  <c r="AE67"/>
  <c r="AF67"/>
  <c r="AG67"/>
  <c r="T68"/>
  <c r="U68"/>
  <c r="V68"/>
  <c r="W68"/>
  <c r="X68"/>
  <c r="Y68"/>
  <c r="Z68"/>
  <c r="AA68"/>
  <c r="AB68"/>
  <c r="AC68"/>
  <c r="AD68"/>
  <c r="AE68"/>
  <c r="AF68"/>
  <c r="AG68"/>
  <c r="T69"/>
  <c r="U69"/>
  <c r="V69"/>
  <c r="W69"/>
  <c r="X69"/>
  <c r="Y69"/>
  <c r="Z69"/>
  <c r="AA69"/>
  <c r="AB69"/>
  <c r="AC69"/>
  <c r="AD69"/>
  <c r="AE69"/>
  <c r="AF69"/>
  <c r="AG69"/>
  <c r="T70"/>
  <c r="U70"/>
  <c r="V70"/>
  <c r="W70"/>
  <c r="X70"/>
  <c r="Y70"/>
  <c r="Z70"/>
  <c r="AA70"/>
  <c r="AB70"/>
  <c r="AC70"/>
  <c r="AD70"/>
  <c r="AE70"/>
  <c r="AF70"/>
  <c r="AG70"/>
  <c r="T71"/>
  <c r="U71"/>
  <c r="V71"/>
  <c r="W71"/>
  <c r="X71"/>
  <c r="Y71"/>
  <c r="Z71"/>
  <c r="AA71"/>
  <c r="AB71"/>
  <c r="AC71"/>
  <c r="AD71"/>
  <c r="AE71"/>
  <c r="AF71"/>
  <c r="AG71"/>
  <c r="T72"/>
  <c r="U72"/>
  <c r="V72"/>
  <c r="W72"/>
  <c r="X72"/>
  <c r="Y72"/>
  <c r="Z72"/>
  <c r="AA72"/>
  <c r="AB72"/>
  <c r="AC72"/>
  <c r="AD72"/>
  <c r="AE72"/>
  <c r="AF72"/>
  <c r="AG72"/>
  <c r="T74"/>
  <c r="U74"/>
  <c r="V74"/>
  <c r="W74"/>
  <c r="X74"/>
  <c r="Y74"/>
  <c r="Z74"/>
  <c r="AA74"/>
  <c r="AB74"/>
  <c r="AC74"/>
  <c r="AD74"/>
  <c r="AE74"/>
  <c r="AF74"/>
  <c r="AG74"/>
  <c r="T75"/>
  <c r="U75"/>
  <c r="V75"/>
  <c r="W75"/>
  <c r="X75"/>
  <c r="Y75"/>
  <c r="Z75"/>
  <c r="AA75"/>
  <c r="AB75"/>
  <c r="AC75"/>
  <c r="AD75"/>
  <c r="AE75"/>
  <c r="AF75"/>
  <c r="AG75"/>
  <c r="T76"/>
  <c r="U76"/>
  <c r="V76"/>
  <c r="W76"/>
  <c r="X76"/>
  <c r="Y76"/>
  <c r="Z76"/>
  <c r="AA76"/>
  <c r="AB76"/>
  <c r="AC76"/>
  <c r="AD76"/>
  <c r="AE76"/>
  <c r="AF76"/>
  <c r="AG76"/>
  <c r="T77"/>
  <c r="U77"/>
  <c r="V77"/>
  <c r="W77"/>
  <c r="X77"/>
  <c r="Y77"/>
  <c r="Z77"/>
  <c r="AA77"/>
  <c r="AB77"/>
  <c r="AC77"/>
  <c r="AD77"/>
  <c r="AE77"/>
  <c r="AF77"/>
  <c r="AG77"/>
  <c r="T78"/>
  <c r="U78"/>
  <c r="V78"/>
  <c r="W78"/>
  <c r="X78"/>
  <c r="Y78"/>
  <c r="Z78"/>
  <c r="AA78"/>
  <c r="AB78"/>
  <c r="AC78"/>
  <c r="AD78"/>
  <c r="AE78"/>
  <c r="AF78"/>
  <c r="AG78"/>
  <c r="T79"/>
  <c r="U79"/>
  <c r="V79"/>
  <c r="W79"/>
  <c r="X79"/>
  <c r="Y79"/>
  <c r="Z79"/>
  <c r="AA79"/>
  <c r="AB79"/>
  <c r="AC79"/>
  <c r="AD79"/>
  <c r="AE79"/>
  <c r="AF79"/>
  <c r="AG79"/>
  <c r="T80"/>
  <c r="U80"/>
  <c r="V80"/>
  <c r="W80"/>
  <c r="X80"/>
  <c r="Y80"/>
  <c r="Z80"/>
  <c r="AA80"/>
  <c r="AB80"/>
  <c r="AC80"/>
  <c r="AD80"/>
  <c r="AE80"/>
  <c r="AF80"/>
  <c r="AG80"/>
  <c r="T81"/>
  <c r="U81"/>
  <c r="V81"/>
  <c r="W81"/>
  <c r="X81"/>
  <c r="Y81"/>
  <c r="Z81"/>
  <c r="AA81"/>
  <c r="AB81"/>
  <c r="AC81"/>
  <c r="AD81"/>
  <c r="AE81"/>
  <c r="AF81"/>
  <c r="AG81"/>
  <c r="T82"/>
  <c r="U82"/>
  <c r="V82"/>
  <c r="W82"/>
  <c r="X82"/>
  <c r="Y82"/>
  <c r="Z82"/>
  <c r="AA82"/>
  <c r="AB82"/>
  <c r="AC82"/>
  <c r="AD82"/>
  <c r="AE82"/>
  <c r="AF82"/>
  <c r="AG82"/>
  <c r="T83"/>
  <c r="U83"/>
  <c r="V83"/>
  <c r="W83"/>
  <c r="X83"/>
  <c r="Y83"/>
  <c r="Z83"/>
  <c r="AA83"/>
  <c r="AB83"/>
  <c r="AC83"/>
  <c r="AD83"/>
  <c r="AE83"/>
  <c r="AF83"/>
  <c r="AG83"/>
  <c r="T84"/>
  <c r="U84"/>
  <c r="V84"/>
  <c r="W84"/>
  <c r="X84"/>
  <c r="Y84"/>
  <c r="Z84"/>
  <c r="AA84"/>
  <c r="AB84"/>
  <c r="AC84"/>
  <c r="AD84"/>
  <c r="AE84"/>
  <c r="AF84"/>
  <c r="AG84"/>
  <c r="T85"/>
  <c r="U85"/>
  <c r="V85"/>
  <c r="W85"/>
  <c r="X85"/>
  <c r="Y85"/>
  <c r="Z85"/>
  <c r="AA85"/>
  <c r="AB85"/>
  <c r="AC85"/>
  <c r="AD85"/>
  <c r="AE85"/>
  <c r="AF85"/>
  <c r="AG85"/>
  <c r="T86"/>
  <c r="U86"/>
  <c r="V86"/>
  <c r="W86"/>
  <c r="X86"/>
  <c r="Y86"/>
  <c r="Z86"/>
  <c r="AA86"/>
  <c r="AB86"/>
  <c r="AC86"/>
  <c r="AD86"/>
  <c r="AE86"/>
  <c r="AF86"/>
  <c r="AG86"/>
  <c r="T87"/>
  <c r="U87"/>
  <c r="V87"/>
  <c r="W87"/>
  <c r="X87"/>
  <c r="Y87"/>
  <c r="Z87"/>
  <c r="AA87"/>
  <c r="AB87"/>
  <c r="AC87"/>
  <c r="AD87"/>
  <c r="AE87"/>
  <c r="AF87"/>
  <c r="AG87"/>
  <c r="T88"/>
  <c r="U88"/>
  <c r="V88"/>
  <c r="W88"/>
  <c r="X88"/>
  <c r="Y88"/>
  <c r="Z88"/>
  <c r="AA88"/>
  <c r="AB88"/>
  <c r="AC88"/>
  <c r="AD88"/>
  <c r="AE88"/>
  <c r="AF88"/>
  <c r="AG88"/>
  <c r="T90"/>
  <c r="U90"/>
  <c r="V90"/>
  <c r="W90"/>
  <c r="X90"/>
  <c r="Y90"/>
  <c r="Z90"/>
  <c r="AA90"/>
  <c r="AB90"/>
  <c r="AC90"/>
  <c r="AD90"/>
  <c r="AE90"/>
  <c r="AF90"/>
  <c r="AG90"/>
  <c r="T92"/>
  <c r="U92"/>
  <c r="V92"/>
  <c r="W92"/>
  <c r="X92"/>
  <c r="Y92"/>
  <c r="Z92"/>
  <c r="AA92"/>
  <c r="AB92"/>
  <c r="AC92"/>
  <c r="AD92"/>
  <c r="AE92"/>
  <c r="AF92"/>
  <c r="AG92"/>
  <c r="T93"/>
  <c r="U93"/>
  <c r="V93"/>
  <c r="W93"/>
  <c r="X93"/>
  <c r="Y93"/>
  <c r="Z93"/>
  <c r="AA93"/>
  <c r="AB93"/>
  <c r="AC93"/>
  <c r="AD93"/>
  <c r="AE93"/>
  <c r="AF93"/>
  <c r="AG93"/>
  <c r="T94"/>
  <c r="U94"/>
  <c r="V94"/>
  <c r="W94"/>
  <c r="X94"/>
  <c r="Y94"/>
  <c r="Z94"/>
  <c r="AA94"/>
  <c r="AB94"/>
  <c r="AC94"/>
  <c r="AD94"/>
  <c r="AE94"/>
  <c r="AF94"/>
  <c r="AG94"/>
  <c r="T95"/>
  <c r="U95"/>
  <c r="V95"/>
  <c r="W95"/>
  <c r="X95"/>
  <c r="Y95"/>
  <c r="Z95"/>
  <c r="AA95"/>
  <c r="AB95"/>
  <c r="AC95"/>
  <c r="AD95"/>
  <c r="AE95"/>
  <c r="AF95"/>
  <c r="AG95"/>
  <c r="T96"/>
  <c r="U96"/>
  <c r="V96"/>
  <c r="W96"/>
  <c r="X96"/>
  <c r="Y96"/>
  <c r="Z96"/>
  <c r="AA96"/>
  <c r="AB96"/>
  <c r="AC96"/>
  <c r="AD96"/>
  <c r="AE96"/>
  <c r="AF96"/>
  <c r="AG96"/>
  <c r="T97"/>
  <c r="U97"/>
  <c r="V97"/>
  <c r="W97"/>
  <c r="X97"/>
  <c r="Y97"/>
  <c r="Z97"/>
  <c r="AA97"/>
  <c r="AB97"/>
  <c r="AC97"/>
  <c r="AD97"/>
  <c r="AE97"/>
  <c r="AF97"/>
  <c r="AG97"/>
  <c r="T98"/>
  <c r="U98"/>
  <c r="V98"/>
  <c r="W98"/>
  <c r="X98"/>
  <c r="Y98"/>
  <c r="Z98"/>
  <c r="AA98"/>
  <c r="AB98"/>
  <c r="AC98"/>
  <c r="AD98"/>
  <c r="AE98"/>
  <c r="AF98"/>
  <c r="AG98"/>
  <c r="T99"/>
  <c r="U99"/>
  <c r="V99"/>
  <c r="W99"/>
  <c r="X99"/>
  <c r="Y99"/>
  <c r="Z99"/>
  <c r="AA99"/>
  <c r="AB99"/>
  <c r="AC99"/>
  <c r="AD99"/>
  <c r="AE99"/>
  <c r="AF99"/>
  <c r="AG99"/>
  <c r="T100"/>
  <c r="U100"/>
  <c r="V100"/>
  <c r="W100"/>
  <c r="X100"/>
  <c r="Y100"/>
  <c r="Z100"/>
  <c r="AA100"/>
  <c r="AB100"/>
  <c r="AC100"/>
  <c r="AD100"/>
  <c r="AE100"/>
  <c r="AF100"/>
  <c r="AG100"/>
  <c r="T101"/>
  <c r="U101"/>
  <c r="V101"/>
  <c r="W101"/>
  <c r="X101"/>
  <c r="Y101"/>
  <c r="Z101"/>
  <c r="AA101"/>
  <c r="AB101"/>
  <c r="AC101"/>
  <c r="AD101"/>
  <c r="AE101"/>
  <c r="AF101"/>
  <c r="AG101"/>
  <c r="T102"/>
  <c r="U102"/>
  <c r="V102"/>
  <c r="W102"/>
  <c r="X102"/>
  <c r="Y102"/>
  <c r="Z102"/>
  <c r="AA102"/>
  <c r="AB102"/>
  <c r="AC102"/>
  <c r="AD102"/>
  <c r="AE102"/>
  <c r="AF102"/>
  <c r="AG102"/>
  <c r="T103"/>
  <c r="U103"/>
  <c r="V103"/>
  <c r="W103"/>
  <c r="X103"/>
  <c r="Y103"/>
  <c r="Z103"/>
  <c r="AA103"/>
  <c r="AB103"/>
  <c r="AC103"/>
  <c r="AD103"/>
  <c r="AE103"/>
  <c r="AF103"/>
  <c r="AG103"/>
  <c r="T104"/>
  <c r="U104"/>
  <c r="V104"/>
  <c r="W104"/>
  <c r="X104"/>
  <c r="Y104"/>
  <c r="Z104"/>
  <c r="AA104"/>
  <c r="AB104"/>
  <c r="AC104"/>
  <c r="AD104"/>
  <c r="AE104"/>
  <c r="AF104"/>
  <c r="AG104"/>
  <c r="T106"/>
  <c r="U106"/>
  <c r="V106"/>
  <c r="W106"/>
  <c r="X106"/>
  <c r="Y106"/>
  <c r="Z106"/>
  <c r="AA106"/>
  <c r="AB106"/>
  <c r="AC106"/>
  <c r="AD106"/>
  <c r="AE106"/>
  <c r="AF106"/>
  <c r="AG106"/>
  <c r="T107"/>
  <c r="U107"/>
  <c r="V107"/>
  <c r="W107"/>
  <c r="X107"/>
  <c r="Y107"/>
  <c r="Z107"/>
  <c r="AA107"/>
  <c r="AB107"/>
  <c r="AC107"/>
  <c r="AD107"/>
  <c r="AE107"/>
  <c r="AF107"/>
  <c r="AG107"/>
  <c r="T108"/>
  <c r="U108"/>
  <c r="V108"/>
  <c r="W108"/>
  <c r="X108"/>
  <c r="Y108"/>
  <c r="Z108"/>
  <c r="AA108"/>
  <c r="AB108"/>
  <c r="AC108"/>
  <c r="AD108"/>
  <c r="AE108"/>
  <c r="AF108"/>
  <c r="AG108"/>
  <c r="T109"/>
  <c r="U109"/>
  <c r="V109"/>
  <c r="W109"/>
  <c r="X109"/>
  <c r="Y109"/>
  <c r="Z109"/>
  <c r="AA109"/>
  <c r="AB109"/>
  <c r="AC109"/>
  <c r="AD109"/>
  <c r="AE109"/>
  <c r="AF109"/>
  <c r="AG109"/>
  <c r="T110"/>
  <c r="U110"/>
  <c r="V110"/>
  <c r="W110"/>
  <c r="X110"/>
  <c r="Y110"/>
  <c r="Z110"/>
  <c r="AA110"/>
  <c r="AB110"/>
  <c r="AC110"/>
  <c r="AD110"/>
  <c r="AE110"/>
  <c r="AF110"/>
  <c r="AG110"/>
  <c r="T112"/>
  <c r="U112"/>
  <c r="V112"/>
  <c r="W112"/>
  <c r="X112"/>
  <c r="Y112"/>
  <c r="Z112"/>
  <c r="AA112"/>
  <c r="AB112"/>
  <c r="AC112"/>
  <c r="AD112"/>
  <c r="AE112"/>
  <c r="AF112"/>
  <c r="AG112"/>
  <c r="T113"/>
  <c r="U113"/>
  <c r="V113"/>
  <c r="W113"/>
  <c r="X113"/>
  <c r="Y113"/>
  <c r="Z113"/>
  <c r="AA113"/>
  <c r="AB113"/>
  <c r="AC113"/>
  <c r="AD113"/>
  <c r="AE113"/>
  <c r="AF113"/>
  <c r="AG113"/>
  <c r="T114"/>
  <c r="U114"/>
  <c r="V114"/>
  <c r="W114"/>
  <c r="X114"/>
  <c r="Y114"/>
  <c r="Z114"/>
  <c r="AA114"/>
  <c r="AB114"/>
  <c r="AC114"/>
  <c r="AD114"/>
  <c r="AE114"/>
  <c r="AF114"/>
  <c r="AG114"/>
  <c r="T115"/>
  <c r="U115"/>
  <c r="V115"/>
  <c r="W115"/>
  <c r="X115"/>
  <c r="Y115"/>
  <c r="Z115"/>
  <c r="AA115"/>
  <c r="AB115"/>
  <c r="AC115"/>
  <c r="AD115"/>
  <c r="AE115"/>
  <c r="AF115"/>
  <c r="AG115"/>
  <c r="T116"/>
  <c r="U116"/>
  <c r="V116"/>
  <c r="W116"/>
  <c r="X116"/>
  <c r="Y116"/>
  <c r="Z116"/>
  <c r="AA116"/>
  <c r="AB116"/>
  <c r="AC116"/>
  <c r="AD116"/>
  <c r="AE116"/>
  <c r="AF116"/>
  <c r="AG116"/>
  <c r="T117"/>
  <c r="U117"/>
  <c r="V117"/>
  <c r="W117"/>
  <c r="X117"/>
  <c r="Y117"/>
  <c r="Z117"/>
  <c r="AA117"/>
  <c r="AB117"/>
  <c r="AC117"/>
  <c r="AD117"/>
  <c r="AE117"/>
  <c r="AF117"/>
  <c r="AG117"/>
  <c r="T118"/>
  <c r="U118"/>
  <c r="V118"/>
  <c r="W118"/>
  <c r="X118"/>
  <c r="Y118"/>
  <c r="Z118"/>
  <c r="AA118"/>
  <c r="AB118"/>
  <c r="AC118"/>
  <c r="AD118"/>
  <c r="AE118"/>
  <c r="AF118"/>
  <c r="AG118"/>
  <c r="T119"/>
  <c r="U119"/>
  <c r="V119"/>
  <c r="W119"/>
  <c r="X119"/>
  <c r="Y119"/>
  <c r="Z119"/>
  <c r="AA119"/>
  <c r="AB119"/>
  <c r="AC119"/>
  <c r="AD119"/>
  <c r="AE119"/>
  <c r="AF119"/>
  <c r="AG119"/>
  <c r="T120"/>
  <c r="U120"/>
  <c r="V120"/>
  <c r="W120"/>
  <c r="X120"/>
  <c r="Y120"/>
  <c r="Z120"/>
  <c r="AA120"/>
  <c r="AB120"/>
  <c r="AC120"/>
  <c r="AD120"/>
  <c r="AE120"/>
  <c r="AF120"/>
  <c r="AG120"/>
  <c r="T121"/>
  <c r="U121"/>
  <c r="V121"/>
  <c r="W121"/>
  <c r="X121"/>
  <c r="Y121"/>
  <c r="Z121"/>
  <c r="AA121"/>
  <c r="AB121"/>
  <c r="AC121"/>
  <c r="AD121"/>
  <c r="AE121"/>
  <c r="AF121"/>
  <c r="AG121"/>
  <c r="T122"/>
  <c r="U122"/>
  <c r="V122"/>
  <c r="W122"/>
  <c r="X122"/>
  <c r="Y122"/>
  <c r="Z122"/>
  <c r="AA122"/>
  <c r="AB122"/>
  <c r="AC122"/>
  <c r="AD122"/>
  <c r="AE122"/>
  <c r="AF122"/>
  <c r="AG122"/>
  <c r="T123"/>
  <c r="U123"/>
  <c r="V123"/>
  <c r="W123"/>
  <c r="X123"/>
  <c r="Y123"/>
  <c r="Z123"/>
  <c r="AA123"/>
  <c r="AB123"/>
  <c r="AC123"/>
  <c r="AD123"/>
  <c r="AE123"/>
  <c r="AF123"/>
  <c r="AG123"/>
  <c r="T124"/>
  <c r="U124"/>
  <c r="V124"/>
  <c r="W124"/>
  <c r="X124"/>
  <c r="Y124"/>
  <c r="Z124"/>
  <c r="AA124"/>
  <c r="AB124"/>
  <c r="AC124"/>
  <c r="AD124"/>
  <c r="AE124"/>
  <c r="AF124"/>
  <c r="AG124"/>
  <c r="T126"/>
  <c r="U126"/>
  <c r="V126"/>
  <c r="W126"/>
  <c r="X126"/>
  <c r="Y126"/>
  <c r="Z126"/>
  <c r="AA126"/>
  <c r="AB126"/>
  <c r="AC126"/>
  <c r="AD126"/>
  <c r="AE126"/>
  <c r="AF126"/>
  <c r="AG126"/>
  <c r="T127"/>
  <c r="U127"/>
  <c r="V127"/>
  <c r="W127"/>
  <c r="X127"/>
  <c r="Y127"/>
  <c r="Z127"/>
  <c r="AA127"/>
  <c r="AB127"/>
  <c r="AC127"/>
  <c r="AD127"/>
  <c r="AE127"/>
  <c r="AF127"/>
  <c r="AG127"/>
  <c r="T128"/>
  <c r="U128"/>
  <c r="V128"/>
  <c r="W128"/>
  <c r="X128"/>
  <c r="Y128"/>
  <c r="Z128"/>
  <c r="AA128"/>
  <c r="AB128"/>
  <c r="AC128"/>
  <c r="AD128"/>
  <c r="AE128"/>
  <c r="AF128"/>
  <c r="AG128"/>
  <c r="T129"/>
  <c r="U129"/>
  <c r="V129"/>
  <c r="W129"/>
  <c r="X129"/>
  <c r="Y129"/>
  <c r="Z129"/>
  <c r="AA129"/>
  <c r="AB129"/>
  <c r="AC129"/>
  <c r="AD129"/>
  <c r="AE129"/>
  <c r="AF129"/>
  <c r="AG129"/>
  <c r="T130"/>
  <c r="U130"/>
  <c r="V130"/>
  <c r="W130"/>
  <c r="X130"/>
  <c r="Y130"/>
  <c r="Z130"/>
  <c r="AA130"/>
  <c r="AB130"/>
  <c r="AC130"/>
  <c r="AD130"/>
  <c r="AE130"/>
  <c r="AF130"/>
  <c r="AG130"/>
  <c r="T131"/>
  <c r="U131"/>
  <c r="V131"/>
  <c r="W131"/>
  <c r="X131"/>
  <c r="Y131"/>
  <c r="Z131"/>
  <c r="AA131"/>
  <c r="AB131"/>
  <c r="AC131"/>
  <c r="AD131"/>
  <c r="AE131"/>
  <c r="AF131"/>
  <c r="AG131"/>
  <c r="T132"/>
  <c r="U132"/>
  <c r="V132"/>
  <c r="W132"/>
  <c r="X132"/>
  <c r="Y132"/>
  <c r="Z132"/>
  <c r="AA132"/>
  <c r="AB132"/>
  <c r="AC132"/>
  <c r="AD132"/>
  <c r="AE132"/>
  <c r="AF132"/>
  <c r="AG132"/>
  <c r="T133"/>
  <c r="U133"/>
  <c r="V133"/>
  <c r="W133"/>
  <c r="X133"/>
  <c r="Y133"/>
  <c r="Z133"/>
  <c r="AA133"/>
  <c r="AB133"/>
  <c r="AC133"/>
  <c r="AD133"/>
  <c r="AE133"/>
  <c r="AF133"/>
  <c r="AG133"/>
  <c r="T134"/>
  <c r="U134"/>
  <c r="V134"/>
  <c r="W134"/>
  <c r="X134"/>
  <c r="Y134"/>
  <c r="Z134"/>
  <c r="AA134"/>
  <c r="AB134"/>
  <c r="AC134"/>
  <c r="AD134"/>
  <c r="AE134"/>
  <c r="AF134"/>
  <c r="AG134"/>
  <c r="T135"/>
  <c r="U135"/>
  <c r="V135"/>
  <c r="W135"/>
  <c r="X135"/>
  <c r="Y135"/>
  <c r="Z135"/>
  <c r="AA135"/>
  <c r="AB135"/>
  <c r="AC135"/>
  <c r="AD135"/>
  <c r="AE135"/>
  <c r="AF135"/>
  <c r="AG135"/>
  <c r="T136"/>
  <c r="U136"/>
  <c r="V136"/>
  <c r="W136"/>
  <c r="X136"/>
  <c r="Y136"/>
  <c r="Z136"/>
  <c r="AA136"/>
  <c r="AB136"/>
  <c r="AC136"/>
  <c r="AD136"/>
  <c r="AE136"/>
  <c r="AF136"/>
  <c r="AG136"/>
  <c r="T137"/>
  <c r="U137"/>
  <c r="V137"/>
  <c r="W137"/>
  <c r="X137"/>
  <c r="Y137"/>
  <c r="Z137"/>
  <c r="AA137"/>
  <c r="AB137"/>
  <c r="AC137"/>
  <c r="AD137"/>
  <c r="AE137"/>
  <c r="AF137"/>
  <c r="AG137"/>
  <c r="T139"/>
  <c r="U139"/>
  <c r="V139"/>
  <c r="W139"/>
  <c r="X139"/>
  <c r="Y139"/>
  <c r="Z139"/>
  <c r="AA139"/>
  <c r="AB139"/>
  <c r="AC139"/>
  <c r="AD139"/>
  <c r="AE139"/>
  <c r="AF139"/>
  <c r="AG139"/>
  <c r="T140"/>
  <c r="U140"/>
  <c r="V140"/>
  <c r="W140"/>
  <c r="X140"/>
  <c r="Y140"/>
  <c r="Z140"/>
  <c r="AA140"/>
  <c r="AB140"/>
  <c r="AC140"/>
  <c r="AD140"/>
  <c r="AE140"/>
  <c r="AF140"/>
  <c r="AG140"/>
  <c r="T141"/>
  <c r="U141"/>
  <c r="V141"/>
  <c r="W141"/>
  <c r="X141"/>
  <c r="Y141"/>
  <c r="Z141"/>
  <c r="AA141"/>
  <c r="AB141"/>
  <c r="AC141"/>
  <c r="AD141"/>
  <c r="AE141"/>
  <c r="AF141"/>
  <c r="AG141"/>
  <c r="T142"/>
  <c r="U142"/>
  <c r="V142"/>
  <c r="W142"/>
  <c r="X142"/>
  <c r="Y142"/>
  <c r="Z142"/>
  <c r="AA142"/>
  <c r="AB142"/>
  <c r="AC142"/>
  <c r="AD142"/>
  <c r="AE142"/>
  <c r="AF142"/>
  <c r="AG142"/>
  <c r="T143"/>
  <c r="U143"/>
  <c r="V143"/>
  <c r="W143"/>
  <c r="X143"/>
  <c r="Y143"/>
  <c r="Z143"/>
  <c r="AA143"/>
  <c r="AB143"/>
  <c r="AC143"/>
  <c r="AD143"/>
  <c r="AE143"/>
  <c r="AF143"/>
  <c r="AG143"/>
  <c r="T144"/>
  <c r="U144"/>
  <c r="V144"/>
  <c r="W144"/>
  <c r="X144"/>
  <c r="Y144"/>
  <c r="Z144"/>
  <c r="AA144"/>
  <c r="AB144"/>
  <c r="AC144"/>
  <c r="AD144"/>
  <c r="AE144"/>
  <c r="AF144"/>
  <c r="AG144"/>
  <c r="T145"/>
  <c r="U145"/>
  <c r="V145"/>
  <c r="W145"/>
  <c r="X145"/>
  <c r="Y145"/>
  <c r="Z145"/>
  <c r="AA145"/>
  <c r="AB145"/>
  <c r="AC145"/>
  <c r="AD145"/>
  <c r="AE145"/>
  <c r="AF145"/>
  <c r="AG145"/>
  <c r="T146"/>
  <c r="U146"/>
  <c r="V146"/>
  <c r="W146"/>
  <c r="X146"/>
  <c r="Y146"/>
  <c r="Z146"/>
  <c r="AA146"/>
  <c r="AB146"/>
  <c r="AC146"/>
  <c r="AD146"/>
  <c r="AE146"/>
  <c r="AF146"/>
  <c r="AG146"/>
  <c r="T147"/>
  <c r="U147"/>
  <c r="V147"/>
  <c r="W147"/>
  <c r="X147"/>
  <c r="Y147"/>
  <c r="Z147"/>
  <c r="AA147"/>
  <c r="AB147"/>
  <c r="AC147"/>
  <c r="AD147"/>
  <c r="AE147"/>
  <c r="AF147"/>
  <c r="AG147"/>
  <c r="T148"/>
  <c r="U148"/>
  <c r="V148"/>
  <c r="W148"/>
  <c r="X148"/>
  <c r="Y148"/>
  <c r="Z148"/>
  <c r="AA148"/>
  <c r="AB148"/>
  <c r="AC148"/>
  <c r="AD148"/>
  <c r="AE148"/>
  <c r="AF148"/>
  <c r="AG148"/>
  <c r="T149"/>
  <c r="U149"/>
  <c r="V149"/>
  <c r="W149"/>
  <c r="X149"/>
  <c r="Y149"/>
  <c r="Z149"/>
  <c r="AA149"/>
  <c r="AB149"/>
  <c r="AC149"/>
  <c r="AD149"/>
  <c r="AE149"/>
  <c r="AF149"/>
  <c r="AG149"/>
  <c r="T150"/>
  <c r="U150"/>
  <c r="V150"/>
  <c r="W150"/>
  <c r="X150"/>
  <c r="Y150"/>
  <c r="Z150"/>
  <c r="AA150"/>
  <c r="AB150"/>
  <c r="AC150"/>
  <c r="AD150"/>
  <c r="AE150"/>
  <c r="AF150"/>
  <c r="AG150"/>
  <c r="T151"/>
  <c r="U151"/>
  <c r="V151"/>
  <c r="W151"/>
  <c r="X151"/>
  <c r="Y151"/>
  <c r="Z151"/>
  <c r="AA151"/>
  <c r="AB151"/>
  <c r="AC151"/>
  <c r="AD151"/>
  <c r="AE151"/>
  <c r="AF151"/>
  <c r="AG151"/>
  <c r="T152"/>
  <c r="U152"/>
  <c r="V152"/>
  <c r="W152"/>
  <c r="X152"/>
  <c r="Y152"/>
  <c r="Z152"/>
  <c r="AA152"/>
  <c r="AB152"/>
  <c r="AC152"/>
  <c r="AD152"/>
  <c r="AE152"/>
  <c r="AF152"/>
  <c r="AG152"/>
  <c r="T153"/>
  <c r="U153"/>
  <c r="V153"/>
  <c r="W153"/>
  <c r="X153"/>
  <c r="Y153"/>
  <c r="Z153"/>
  <c r="AA153"/>
  <c r="AB153"/>
  <c r="AC153"/>
  <c r="AD153"/>
  <c r="AE153"/>
  <c r="AF153"/>
  <c r="AG153"/>
  <c r="T154"/>
  <c r="U154"/>
  <c r="V154"/>
  <c r="W154"/>
  <c r="X154"/>
  <c r="Y154"/>
  <c r="Z154"/>
  <c r="AA154"/>
  <c r="AB154"/>
  <c r="AC154"/>
  <c r="AD154"/>
  <c r="AE154"/>
  <c r="AF154"/>
  <c r="AG154"/>
  <c r="T155"/>
  <c r="U155"/>
  <c r="V155"/>
  <c r="W155"/>
  <c r="X155"/>
  <c r="Y155"/>
  <c r="Z155"/>
  <c r="AA155"/>
  <c r="AB155"/>
  <c r="AC155"/>
  <c r="AD155"/>
  <c r="AE155"/>
  <c r="AF155"/>
  <c r="AG155"/>
  <c r="T156"/>
  <c r="U156"/>
  <c r="V156"/>
  <c r="W156"/>
  <c r="X156"/>
  <c r="Y156"/>
  <c r="Z156"/>
  <c r="AA156"/>
  <c r="AB156"/>
  <c r="AC156"/>
  <c r="AD156"/>
  <c r="AE156"/>
  <c r="AF156"/>
  <c r="AG156"/>
  <c r="T157"/>
  <c r="U157"/>
  <c r="V157"/>
  <c r="W157"/>
  <c r="X157"/>
  <c r="Y157"/>
  <c r="Z157"/>
  <c r="AA157"/>
  <c r="AB157"/>
  <c r="AC157"/>
  <c r="AD157"/>
  <c r="AE157"/>
  <c r="AF157"/>
  <c r="AG157"/>
  <c r="T158"/>
  <c r="U158"/>
  <c r="V158"/>
  <c r="W158"/>
  <c r="X158"/>
  <c r="Y158"/>
  <c r="Z158"/>
  <c r="AA158"/>
  <c r="AB158"/>
  <c r="AC158"/>
  <c r="AD158"/>
  <c r="AE158"/>
  <c r="AF158"/>
  <c r="AG158"/>
  <c r="T159"/>
  <c r="U159"/>
  <c r="V159"/>
  <c r="W159"/>
  <c r="X159"/>
  <c r="Y159"/>
  <c r="Z159"/>
  <c r="AA159"/>
  <c r="AB159"/>
  <c r="AC159"/>
  <c r="AD159"/>
  <c r="AE159"/>
  <c r="AF159"/>
  <c r="AG159"/>
  <c r="T160"/>
  <c r="U160"/>
  <c r="V160"/>
  <c r="W160"/>
  <c r="X160"/>
  <c r="Y160"/>
  <c r="Z160"/>
  <c r="AA160"/>
  <c r="AB160"/>
  <c r="AC160"/>
  <c r="AD160"/>
  <c r="AE160"/>
  <c r="AF160"/>
  <c r="AG160"/>
  <c r="T161"/>
  <c r="U161"/>
  <c r="V161"/>
  <c r="W161"/>
  <c r="X161"/>
  <c r="Y161"/>
  <c r="Z161"/>
  <c r="AA161"/>
  <c r="AB161"/>
  <c r="AC161"/>
  <c r="AD161"/>
  <c r="AE161"/>
  <c r="AF161"/>
  <c r="AG161"/>
  <c r="T162"/>
  <c r="U162"/>
  <c r="V162"/>
  <c r="W162"/>
  <c r="X162"/>
  <c r="Y162"/>
  <c r="Z162"/>
  <c r="AA162"/>
  <c r="AB162"/>
  <c r="AC162"/>
  <c r="AD162"/>
  <c r="AE162"/>
  <c r="AF162"/>
  <c r="AG162"/>
  <c r="T163"/>
  <c r="U163"/>
  <c r="V163"/>
  <c r="W163"/>
  <c r="X163"/>
  <c r="Y163"/>
  <c r="Z163"/>
  <c r="AA163"/>
  <c r="AB163"/>
  <c r="AC163"/>
  <c r="AD163"/>
  <c r="AE163"/>
  <c r="AF163"/>
  <c r="AG163"/>
  <c r="T164"/>
  <c r="U164"/>
  <c r="V164"/>
  <c r="W164"/>
  <c r="X164"/>
  <c r="Y164"/>
  <c r="Z164"/>
  <c r="AA164"/>
  <c r="AB164"/>
  <c r="AC164"/>
  <c r="AD164"/>
  <c r="AE164"/>
  <c r="AF164"/>
  <c r="AG164"/>
  <c r="T165"/>
  <c r="U165"/>
  <c r="V165"/>
  <c r="W165"/>
  <c r="X165"/>
  <c r="Y165"/>
  <c r="Z165"/>
  <c r="AA165"/>
  <c r="AB165"/>
  <c r="AC165"/>
  <c r="AD165"/>
  <c r="AE165"/>
  <c r="AF165"/>
  <c r="AG165"/>
  <c r="T166"/>
  <c r="U166"/>
  <c r="V166"/>
  <c r="W166"/>
  <c r="X166"/>
  <c r="Y166"/>
  <c r="Z166"/>
  <c r="AA166"/>
  <c r="AB166"/>
  <c r="AC166"/>
  <c r="AD166"/>
  <c r="AE166"/>
  <c r="AF166"/>
  <c r="AG166"/>
  <c r="T167"/>
  <c r="U167"/>
  <c r="V167"/>
  <c r="W167"/>
  <c r="X167"/>
  <c r="Y167"/>
  <c r="Z167"/>
  <c r="AA167"/>
  <c r="AB167"/>
  <c r="AC167"/>
  <c r="AD167"/>
  <c r="AE167"/>
  <c r="AF167"/>
  <c r="AG167"/>
  <c r="T168"/>
  <c r="U168"/>
  <c r="V168"/>
  <c r="W168"/>
  <c r="X168"/>
  <c r="Y168"/>
  <c r="Z168"/>
  <c r="AA168"/>
  <c r="AB168"/>
  <c r="AC168"/>
  <c r="AD168"/>
  <c r="AE168"/>
  <c r="AF168"/>
  <c r="AG168"/>
  <c r="T169"/>
  <c r="U169"/>
  <c r="V169"/>
  <c r="W169"/>
  <c r="X169"/>
  <c r="Y169"/>
  <c r="Z169"/>
  <c r="AA169"/>
  <c r="AB169"/>
  <c r="AC169"/>
  <c r="AD169"/>
  <c r="AE169"/>
  <c r="AF169"/>
  <c r="AG169"/>
  <c r="T170"/>
  <c r="U170"/>
  <c r="V170"/>
  <c r="W170"/>
  <c r="X170"/>
  <c r="Y170"/>
  <c r="Z170"/>
  <c r="AA170"/>
  <c r="AB170"/>
  <c r="AC170"/>
  <c r="AD170"/>
  <c r="AE170"/>
  <c r="AF170"/>
  <c r="AG170"/>
  <c r="T171"/>
  <c r="U171"/>
  <c r="V171"/>
  <c r="W171"/>
  <c r="X171"/>
  <c r="Y171"/>
  <c r="Z171"/>
  <c r="AA171"/>
  <c r="AB171"/>
  <c r="AC171"/>
  <c r="AD171"/>
  <c r="AE171"/>
  <c r="AF171"/>
  <c r="AG171"/>
  <c r="T172"/>
  <c r="U172"/>
  <c r="V172"/>
  <c r="W172"/>
  <c r="X172"/>
  <c r="Y172"/>
  <c r="Z172"/>
  <c r="AA172"/>
  <c r="AB172"/>
  <c r="AC172"/>
  <c r="AD172"/>
  <c r="AE172"/>
  <c r="AF172"/>
  <c r="AG172"/>
  <c r="T173"/>
  <c r="U173"/>
  <c r="V173"/>
  <c r="W173"/>
  <c r="X173"/>
  <c r="Y173"/>
  <c r="Z173"/>
  <c r="AA173"/>
  <c r="AB173"/>
  <c r="AC173"/>
  <c r="AD173"/>
  <c r="AE173"/>
  <c r="AF173"/>
  <c r="AG173"/>
  <c r="T174"/>
  <c r="U174"/>
  <c r="V174"/>
  <c r="W174"/>
  <c r="X174"/>
  <c r="Y174"/>
  <c r="Z174"/>
  <c r="AA174"/>
  <c r="AB174"/>
  <c r="AC174"/>
  <c r="AD174"/>
  <c r="AE174"/>
  <c r="AF174"/>
  <c r="AG174"/>
  <c r="T175"/>
  <c r="U175"/>
  <c r="V175"/>
  <c r="W175"/>
  <c r="X175"/>
  <c r="Y175"/>
  <c r="Z175"/>
  <c r="AA175"/>
  <c r="AB175"/>
  <c r="AC175"/>
  <c r="AD175"/>
  <c r="AE175"/>
  <c r="AF175"/>
  <c r="AG175"/>
  <c r="T176"/>
  <c r="U176"/>
  <c r="V176"/>
  <c r="W176"/>
  <c r="X176"/>
  <c r="Y176"/>
  <c r="Z176"/>
  <c r="AA176"/>
  <c r="AB176"/>
  <c r="AC176"/>
  <c r="AD176"/>
  <c r="AE176"/>
  <c r="AF176"/>
  <c r="AG176"/>
  <c r="T177"/>
  <c r="U177"/>
  <c r="V177"/>
  <c r="W177"/>
  <c r="X177"/>
  <c r="Y177"/>
  <c r="Z177"/>
  <c r="AA177"/>
  <c r="AB177"/>
  <c r="AC177"/>
  <c r="AD177"/>
  <c r="AE177"/>
  <c r="AF177"/>
  <c r="AG177"/>
  <c r="T178"/>
  <c r="U178"/>
  <c r="V178"/>
  <c r="W178"/>
  <c r="X178"/>
  <c r="Y178"/>
  <c r="Z178"/>
  <c r="AA178"/>
  <c r="AB178"/>
  <c r="AC178"/>
  <c r="AD178"/>
  <c r="AE178"/>
  <c r="AF178"/>
  <c r="AG178"/>
  <c r="T179"/>
  <c r="U179"/>
  <c r="V179"/>
  <c r="W179"/>
  <c r="X179"/>
  <c r="Y179"/>
  <c r="Z179"/>
  <c r="AA179"/>
  <c r="AB179"/>
  <c r="AC179"/>
  <c r="AD179"/>
  <c r="AE179"/>
  <c r="AF179"/>
  <c r="AG179"/>
  <c r="T180"/>
  <c r="U180"/>
  <c r="V180"/>
  <c r="W180"/>
  <c r="X180"/>
  <c r="Y180"/>
  <c r="Z180"/>
  <c r="AA180"/>
  <c r="AB180"/>
  <c r="AC180"/>
  <c r="AD180"/>
  <c r="AE180"/>
  <c r="AF180"/>
  <c r="AG180"/>
  <c r="T181"/>
  <c r="U181"/>
  <c r="V181"/>
  <c r="W181"/>
  <c r="X181"/>
  <c r="Y181"/>
  <c r="Z181"/>
  <c r="AA181"/>
  <c r="AB181"/>
  <c r="AC181"/>
  <c r="AD181"/>
  <c r="AE181"/>
  <c r="AF181"/>
  <c r="AG181"/>
  <c r="T182"/>
  <c r="U182"/>
  <c r="V182"/>
  <c r="W182"/>
  <c r="X182"/>
  <c r="Y182"/>
  <c r="Z182"/>
  <c r="AA182"/>
  <c r="AB182"/>
  <c r="AC182"/>
  <c r="AD182"/>
  <c r="AE182"/>
  <c r="AF182"/>
  <c r="AG182"/>
  <c r="T183"/>
  <c r="U183"/>
  <c r="V183"/>
  <c r="W183"/>
  <c r="X183"/>
  <c r="Y183"/>
  <c r="Z183"/>
  <c r="AA183"/>
  <c r="AB183"/>
  <c r="AC183"/>
  <c r="AD183"/>
  <c r="AE183"/>
  <c r="AF183"/>
  <c r="AG183"/>
  <c r="T184"/>
  <c r="U184"/>
  <c r="V184"/>
  <c r="W184"/>
  <c r="X184"/>
  <c r="Y184"/>
  <c r="Z184"/>
  <c r="AA184"/>
  <c r="AB184"/>
  <c r="AC184"/>
  <c r="AD184"/>
  <c r="AE184"/>
  <c r="AF184"/>
  <c r="AG184"/>
  <c r="T186"/>
  <c r="U186"/>
  <c r="V186"/>
  <c r="W186"/>
  <c r="X186"/>
  <c r="Y186"/>
  <c r="Z186"/>
  <c r="AA186"/>
  <c r="AB186"/>
  <c r="AC186"/>
  <c r="AD186"/>
  <c r="AE186"/>
  <c r="AF186"/>
  <c r="AG186"/>
  <c r="T187"/>
  <c r="U187"/>
  <c r="V187"/>
  <c r="W187"/>
  <c r="X187"/>
  <c r="Y187"/>
  <c r="Z187"/>
  <c r="AA187"/>
  <c r="AB187"/>
  <c r="AC187"/>
  <c r="AD187"/>
  <c r="AE187"/>
  <c r="AF187"/>
  <c r="AG187"/>
  <c r="T188"/>
  <c r="U188"/>
  <c r="V188"/>
  <c r="W188"/>
  <c r="X188"/>
  <c r="Y188"/>
  <c r="Z188"/>
  <c r="AA188"/>
  <c r="AB188"/>
  <c r="AC188"/>
  <c r="AD188"/>
  <c r="AE188"/>
  <c r="AF188"/>
  <c r="AG188"/>
  <c r="T189"/>
  <c r="U189"/>
  <c r="V189"/>
  <c r="W189"/>
  <c r="X189"/>
  <c r="Y189"/>
  <c r="Z189"/>
  <c r="AA189"/>
  <c r="AB189"/>
  <c r="AC189"/>
  <c r="AD189"/>
  <c r="AE189"/>
  <c r="AF189"/>
  <c r="AG189"/>
  <c r="T190"/>
  <c r="U190"/>
  <c r="V190"/>
  <c r="W190"/>
  <c r="X190"/>
  <c r="Y190"/>
  <c r="Z190"/>
  <c r="AA190"/>
  <c r="AB190"/>
  <c r="AC190"/>
  <c r="AD190"/>
  <c r="AE190"/>
  <c r="AF190"/>
  <c r="AG190"/>
  <c r="T191"/>
  <c r="U191"/>
  <c r="V191"/>
  <c r="W191"/>
  <c r="X191"/>
  <c r="Y191"/>
  <c r="Z191"/>
  <c r="AA191"/>
  <c r="AB191"/>
  <c r="AC191"/>
  <c r="AD191"/>
  <c r="AE191"/>
  <c r="AF191"/>
  <c r="AG191"/>
  <c r="T192"/>
  <c r="U192"/>
  <c r="V192"/>
  <c r="W192"/>
  <c r="X192"/>
  <c r="Y192"/>
  <c r="Z192"/>
  <c r="AA192"/>
  <c r="AB192"/>
  <c r="AC192"/>
  <c r="AD192"/>
  <c r="AE192"/>
  <c r="AF192"/>
  <c r="AG192"/>
  <c r="T193"/>
  <c r="U193"/>
  <c r="V193"/>
  <c r="W193"/>
  <c r="X193"/>
  <c r="Y193"/>
  <c r="Z193"/>
  <c r="AA193"/>
  <c r="AB193"/>
  <c r="AC193"/>
  <c r="AD193"/>
  <c r="AE193"/>
  <c r="AF193"/>
  <c r="AG193"/>
  <c r="T194"/>
  <c r="U194"/>
  <c r="V194"/>
  <c r="W194"/>
  <c r="X194"/>
  <c r="Y194"/>
  <c r="Z194"/>
  <c r="AA194"/>
  <c r="AB194"/>
  <c r="AC194"/>
  <c r="AD194"/>
  <c r="AE194"/>
  <c r="AF194"/>
  <c r="AG194"/>
  <c r="T195"/>
  <c r="U195"/>
  <c r="V195"/>
  <c r="W195"/>
  <c r="X195"/>
  <c r="Y195"/>
  <c r="Z195"/>
  <c r="AA195"/>
  <c r="AB195"/>
  <c r="AC195"/>
  <c r="AD195"/>
  <c r="AE195"/>
  <c r="AF195"/>
  <c r="AG195"/>
  <c r="T196"/>
  <c r="U196"/>
  <c r="V196"/>
  <c r="W196"/>
  <c r="X196"/>
  <c r="Y196"/>
  <c r="Z196"/>
  <c r="AA196"/>
  <c r="AB196"/>
  <c r="AC196"/>
  <c r="AD196"/>
  <c r="AE196"/>
  <c r="AF196"/>
  <c r="AG196"/>
  <c r="T197"/>
  <c r="U197"/>
  <c r="V197"/>
  <c r="W197"/>
  <c r="X197"/>
  <c r="Y197"/>
  <c r="Z197"/>
  <c r="AA197"/>
  <c r="AB197"/>
  <c r="AC197"/>
  <c r="AD197"/>
  <c r="AE197"/>
  <c r="AF197"/>
  <c r="AG197"/>
  <c r="T198"/>
  <c r="U198"/>
  <c r="V198"/>
  <c r="W198"/>
  <c r="X198"/>
  <c r="Y198"/>
  <c r="Z198"/>
  <c r="AA198"/>
  <c r="AB198"/>
  <c r="AC198"/>
  <c r="AD198"/>
  <c r="AE198"/>
  <c r="AF198"/>
  <c r="AG198"/>
  <c r="T199"/>
  <c r="U199"/>
  <c r="V199"/>
  <c r="W199"/>
  <c r="X199"/>
  <c r="Y199"/>
  <c r="Z199"/>
  <c r="AA199"/>
  <c r="AB199"/>
  <c r="AC199"/>
  <c r="AD199"/>
  <c r="AE199"/>
  <c r="AF199"/>
  <c r="AG199"/>
  <c r="T200"/>
  <c r="U200"/>
  <c r="V200"/>
  <c r="W200"/>
  <c r="X200"/>
  <c r="Y200"/>
  <c r="Z200"/>
  <c r="AA200"/>
  <c r="AB200"/>
  <c r="AC200"/>
  <c r="AD200"/>
  <c r="AE200"/>
  <c r="AF200"/>
  <c r="AG200"/>
  <c r="S317"/>
  <c r="S90"/>
  <c r="Q413"/>
  <c r="P413"/>
  <c r="O413"/>
  <c r="N413"/>
  <c r="M413"/>
  <c r="L413"/>
  <c r="K413"/>
  <c r="J413"/>
  <c r="I413"/>
  <c r="H413"/>
  <c r="G413"/>
  <c r="F413"/>
  <c r="E413"/>
  <c r="D413"/>
  <c r="C413"/>
  <c r="S411" s="1"/>
  <c r="Q396"/>
  <c r="P396"/>
  <c r="O396"/>
  <c r="N396"/>
  <c r="M396"/>
  <c r="L396"/>
  <c r="K396"/>
  <c r="J396"/>
  <c r="I396"/>
  <c r="H396"/>
  <c r="G396"/>
  <c r="F396"/>
  <c r="E396"/>
  <c r="D396"/>
  <c r="C396"/>
  <c r="S394" s="1"/>
  <c r="Q386"/>
  <c r="P386"/>
  <c r="O386"/>
  <c r="N386"/>
  <c r="M386"/>
  <c r="L386"/>
  <c r="K386"/>
  <c r="J386"/>
  <c r="I386"/>
  <c r="H386"/>
  <c r="G386"/>
  <c r="F386"/>
  <c r="E386"/>
  <c r="D386"/>
  <c r="C386"/>
  <c r="S385" s="1"/>
  <c r="Q375"/>
  <c r="P375"/>
  <c r="O375"/>
  <c r="N375"/>
  <c r="M375"/>
  <c r="L375"/>
  <c r="K375"/>
  <c r="J375"/>
  <c r="I375"/>
  <c r="H375"/>
  <c r="G375"/>
  <c r="F375"/>
  <c r="E375"/>
  <c r="D375"/>
  <c r="C375"/>
  <c r="S368" s="1"/>
  <c r="Q367"/>
  <c r="P367"/>
  <c r="O367"/>
  <c r="N367"/>
  <c r="M367"/>
  <c r="L367"/>
  <c r="K367"/>
  <c r="J367"/>
  <c r="I367"/>
  <c r="H367"/>
  <c r="G367"/>
  <c r="F367"/>
  <c r="E367"/>
  <c r="D367"/>
  <c r="C367"/>
  <c r="S365" s="1"/>
  <c r="Q364"/>
  <c r="P364"/>
  <c r="O364"/>
  <c r="N364"/>
  <c r="M364"/>
  <c r="L364"/>
  <c r="K364"/>
  <c r="J364"/>
  <c r="I364"/>
  <c r="H364"/>
  <c r="G364"/>
  <c r="F364"/>
  <c r="E364"/>
  <c r="D364"/>
  <c r="C364"/>
  <c r="S358" s="1"/>
  <c r="Q356"/>
  <c r="P356"/>
  <c r="O356"/>
  <c r="N356"/>
  <c r="M356"/>
  <c r="L356"/>
  <c r="K356"/>
  <c r="J356"/>
  <c r="I356"/>
  <c r="H356"/>
  <c r="G356"/>
  <c r="F356"/>
  <c r="E356"/>
  <c r="D356"/>
  <c r="C356"/>
  <c r="S349" s="1"/>
  <c r="Q341"/>
  <c r="P341"/>
  <c r="O341"/>
  <c r="N341"/>
  <c r="M341"/>
  <c r="L341"/>
  <c r="K341"/>
  <c r="J341"/>
  <c r="I341"/>
  <c r="H341"/>
  <c r="G341"/>
  <c r="F341"/>
  <c r="E341"/>
  <c r="D341"/>
  <c r="C341"/>
  <c r="S340" s="1"/>
  <c r="Q330"/>
  <c r="P330"/>
  <c r="O330"/>
  <c r="N330"/>
  <c r="M330"/>
  <c r="L330"/>
  <c r="K330"/>
  <c r="J330"/>
  <c r="I330"/>
  <c r="H330"/>
  <c r="G330"/>
  <c r="F330"/>
  <c r="E330"/>
  <c r="D330"/>
  <c r="C330"/>
  <c r="S323" s="1"/>
  <c r="Q318"/>
  <c r="P318"/>
  <c r="O318"/>
  <c r="N318"/>
  <c r="M318"/>
  <c r="L318"/>
  <c r="K318"/>
  <c r="J318"/>
  <c r="I318"/>
  <c r="H318"/>
  <c r="G318"/>
  <c r="F318"/>
  <c r="E318"/>
  <c r="D318"/>
  <c r="C318"/>
  <c r="Q316"/>
  <c r="P316"/>
  <c r="O316"/>
  <c r="N316"/>
  <c r="M316"/>
  <c r="L316"/>
  <c r="K316"/>
  <c r="J316"/>
  <c r="I316"/>
  <c r="H316"/>
  <c r="G316"/>
  <c r="F316"/>
  <c r="E316"/>
  <c r="D316"/>
  <c r="C316"/>
  <c r="S313" s="1"/>
  <c r="Q296"/>
  <c r="P296"/>
  <c r="O296"/>
  <c r="N296"/>
  <c r="M296"/>
  <c r="L296"/>
  <c r="K296"/>
  <c r="J296"/>
  <c r="I296"/>
  <c r="H296"/>
  <c r="G296"/>
  <c r="F296"/>
  <c r="E296"/>
  <c r="D296"/>
  <c r="C296"/>
  <c r="S288" s="1"/>
  <c r="Q279"/>
  <c r="P279"/>
  <c r="O279"/>
  <c r="N279"/>
  <c r="M279"/>
  <c r="L279"/>
  <c r="K279"/>
  <c r="J279"/>
  <c r="I279"/>
  <c r="H279"/>
  <c r="G279"/>
  <c r="F279"/>
  <c r="E279"/>
  <c r="D279"/>
  <c r="C279"/>
  <c r="S271" s="1"/>
  <c r="Q265"/>
  <c r="P265"/>
  <c r="O265"/>
  <c r="N265"/>
  <c r="M265"/>
  <c r="L265"/>
  <c r="K265"/>
  <c r="J265"/>
  <c r="I265"/>
  <c r="H265"/>
  <c r="G265"/>
  <c r="F265"/>
  <c r="E265"/>
  <c r="D265"/>
  <c r="C265"/>
  <c r="S262" s="1"/>
  <c r="Q236"/>
  <c r="P236"/>
  <c r="O236"/>
  <c r="N236"/>
  <c r="M236"/>
  <c r="L236"/>
  <c r="K236"/>
  <c r="J236"/>
  <c r="I236"/>
  <c r="H236"/>
  <c r="G236"/>
  <c r="F236"/>
  <c r="E236"/>
  <c r="D236"/>
  <c r="C236"/>
  <c r="S233" s="1"/>
  <c r="Q232"/>
  <c r="P232"/>
  <c r="O232"/>
  <c r="N232"/>
  <c r="M232"/>
  <c r="L232"/>
  <c r="K232"/>
  <c r="J232"/>
  <c r="I232"/>
  <c r="H232"/>
  <c r="G232"/>
  <c r="F232"/>
  <c r="E232"/>
  <c r="D232"/>
  <c r="C232"/>
  <c r="S228" s="1"/>
  <c r="Q201"/>
  <c r="P201"/>
  <c r="O201"/>
  <c r="N201"/>
  <c r="M201"/>
  <c r="L201"/>
  <c r="K201"/>
  <c r="J201"/>
  <c r="I201"/>
  <c r="H201"/>
  <c r="G201"/>
  <c r="F201"/>
  <c r="E201"/>
  <c r="D201"/>
  <c r="C201"/>
  <c r="S195" s="1"/>
  <c r="Q185"/>
  <c r="P185"/>
  <c r="O185"/>
  <c r="N185"/>
  <c r="M185"/>
  <c r="L185"/>
  <c r="K185"/>
  <c r="J185"/>
  <c r="I185"/>
  <c r="H185"/>
  <c r="G185"/>
  <c r="F185"/>
  <c r="E185"/>
  <c r="D185"/>
  <c r="C185"/>
  <c r="S178" s="1"/>
  <c r="Q138"/>
  <c r="P138"/>
  <c r="O138"/>
  <c r="N138"/>
  <c r="M138"/>
  <c r="L138"/>
  <c r="K138"/>
  <c r="J138"/>
  <c r="I138"/>
  <c r="H138"/>
  <c r="G138"/>
  <c r="F138"/>
  <c r="E138"/>
  <c r="D138"/>
  <c r="C138"/>
  <c r="S137" s="1"/>
  <c r="Q125"/>
  <c r="P125"/>
  <c r="O125"/>
  <c r="N125"/>
  <c r="M125"/>
  <c r="L125"/>
  <c r="K125"/>
  <c r="J125"/>
  <c r="I125"/>
  <c r="H125"/>
  <c r="G125"/>
  <c r="F125"/>
  <c r="E125"/>
  <c r="D125"/>
  <c r="C125"/>
  <c r="S120" s="1"/>
  <c r="Q111"/>
  <c r="P111"/>
  <c r="O111"/>
  <c r="N111"/>
  <c r="M111"/>
  <c r="L111"/>
  <c r="K111"/>
  <c r="J111"/>
  <c r="I111"/>
  <c r="H111"/>
  <c r="G111"/>
  <c r="F111"/>
  <c r="E111"/>
  <c r="D111"/>
  <c r="C111"/>
  <c r="S106" s="1"/>
  <c r="Q105"/>
  <c r="P105"/>
  <c r="O105"/>
  <c r="N105"/>
  <c r="M105"/>
  <c r="L105"/>
  <c r="K105"/>
  <c r="J105"/>
  <c r="I105"/>
  <c r="H105"/>
  <c r="G105"/>
  <c r="F105"/>
  <c r="E105"/>
  <c r="D105"/>
  <c r="C105"/>
  <c r="S102" s="1"/>
  <c r="Q91"/>
  <c r="P91"/>
  <c r="O91"/>
  <c r="N91"/>
  <c r="M91"/>
  <c r="L91"/>
  <c r="K91"/>
  <c r="J91"/>
  <c r="I91"/>
  <c r="H91"/>
  <c r="G91"/>
  <c r="F91"/>
  <c r="E91"/>
  <c r="D91"/>
  <c r="C91"/>
  <c r="Q89"/>
  <c r="P89"/>
  <c r="O89"/>
  <c r="N89"/>
  <c r="M89"/>
  <c r="L89"/>
  <c r="K89"/>
  <c r="J89"/>
  <c r="I89"/>
  <c r="H89"/>
  <c r="G89"/>
  <c r="F89"/>
  <c r="E89"/>
  <c r="D89"/>
  <c r="C89"/>
  <c r="S84" s="1"/>
  <c r="Q73"/>
  <c r="P73"/>
  <c r="O73"/>
  <c r="N73"/>
  <c r="M73"/>
  <c r="L73"/>
  <c r="K73"/>
  <c r="J73"/>
  <c r="I73"/>
  <c r="H73"/>
  <c r="G73"/>
  <c r="F73"/>
  <c r="E73"/>
  <c r="D73"/>
  <c r="C73"/>
  <c r="S67" s="1"/>
  <c r="Q66"/>
  <c r="P66"/>
  <c r="O66"/>
  <c r="N66"/>
  <c r="M66"/>
  <c r="L66"/>
  <c r="K66"/>
  <c r="J66"/>
  <c r="I66"/>
  <c r="H66"/>
  <c r="G66"/>
  <c r="F66"/>
  <c r="E66"/>
  <c r="D66"/>
  <c r="C66"/>
  <c r="S58" s="1"/>
  <c r="Q54"/>
  <c r="P54"/>
  <c r="O54"/>
  <c r="N54"/>
  <c r="M54"/>
  <c r="L54"/>
  <c r="K54"/>
  <c r="J54"/>
  <c r="I54"/>
  <c r="H54"/>
  <c r="G54"/>
  <c r="F54"/>
  <c r="E54"/>
  <c r="D54"/>
  <c r="C54"/>
  <c r="S49" s="1"/>
  <c r="Q48"/>
  <c r="P48"/>
  <c r="O48"/>
  <c r="N48"/>
  <c r="M48"/>
  <c r="L48"/>
  <c r="K48"/>
  <c r="J48"/>
  <c r="I48"/>
  <c r="H48"/>
  <c r="G48"/>
  <c r="F48"/>
  <c r="E48"/>
  <c r="D48"/>
  <c r="C48"/>
  <c r="S44" s="1"/>
  <c r="Q43"/>
  <c r="P43"/>
  <c r="O43"/>
  <c r="N43"/>
  <c r="M43"/>
  <c r="L43"/>
  <c r="K43"/>
  <c r="J43"/>
  <c r="I43"/>
  <c r="H43"/>
  <c r="G43"/>
  <c r="F43"/>
  <c r="E43"/>
  <c r="D43"/>
  <c r="C43"/>
  <c r="S39" s="1"/>
  <c r="Q38"/>
  <c r="P38"/>
  <c r="O38"/>
  <c r="N38"/>
  <c r="M38"/>
  <c r="L38"/>
  <c r="K38"/>
  <c r="J38"/>
  <c r="I38"/>
  <c r="H38"/>
  <c r="G38"/>
  <c r="F38"/>
  <c r="E38"/>
  <c r="D38"/>
  <c r="C38"/>
  <c r="S32" s="1"/>
  <c r="Q31"/>
  <c r="P31"/>
  <c r="O31"/>
  <c r="N31"/>
  <c r="M31"/>
  <c r="L31"/>
  <c r="K31"/>
  <c r="J31"/>
  <c r="I31"/>
  <c r="H31"/>
  <c r="G31"/>
  <c r="F31"/>
  <c r="E31"/>
  <c r="D31"/>
  <c r="C31"/>
  <c r="S24" s="1"/>
  <c r="Q19"/>
  <c r="P19"/>
  <c r="O19"/>
  <c r="N19"/>
  <c r="M19"/>
  <c r="L19"/>
  <c r="K19"/>
  <c r="J19"/>
  <c r="I19"/>
  <c r="H19"/>
  <c r="G19"/>
  <c r="F19"/>
  <c r="E19"/>
  <c r="D19"/>
  <c r="C19"/>
  <c r="S4" s="1"/>
  <c r="U18" i="4"/>
  <c r="S5"/>
  <c r="Y421" i="5"/>
  <c r="X421"/>
  <c r="W421"/>
  <c r="V421"/>
  <c r="U421"/>
  <c r="T421"/>
  <c r="S421"/>
  <c r="R421"/>
  <c r="Q421"/>
  <c r="P421"/>
  <c r="Y420"/>
  <c r="X420"/>
  <c r="W420"/>
  <c r="V420"/>
  <c r="U420"/>
  <c r="T420"/>
  <c r="S420"/>
  <c r="R420"/>
  <c r="Q420"/>
  <c r="P420"/>
  <c r="Y419"/>
  <c r="X419"/>
  <c r="W419"/>
  <c r="V419"/>
  <c r="U419"/>
  <c r="T419"/>
  <c r="S419"/>
  <c r="R419"/>
  <c r="Q419"/>
  <c r="P419"/>
  <c r="Y418"/>
  <c r="X418"/>
  <c r="W418"/>
  <c r="V418"/>
  <c r="U418"/>
  <c r="T418"/>
  <c r="S418"/>
  <c r="R418"/>
  <c r="Q418"/>
  <c r="P418"/>
  <c r="Y417"/>
  <c r="X417"/>
  <c r="W417"/>
  <c r="V417"/>
  <c r="U417"/>
  <c r="T417"/>
  <c r="S417"/>
  <c r="R417"/>
  <c r="Q417"/>
  <c r="P417"/>
  <c r="Y416"/>
  <c r="X416"/>
  <c r="W416"/>
  <c r="V416"/>
  <c r="U416"/>
  <c r="T416"/>
  <c r="S416"/>
  <c r="R416"/>
  <c r="Q416"/>
  <c r="P416"/>
  <c r="Y415"/>
  <c r="X415"/>
  <c r="W415"/>
  <c r="V415"/>
  <c r="U415"/>
  <c r="T415"/>
  <c r="S415"/>
  <c r="R415"/>
  <c r="Q415"/>
  <c r="P415"/>
  <c r="Y414"/>
  <c r="X414"/>
  <c r="W414"/>
  <c r="V414"/>
  <c r="U414"/>
  <c r="T414"/>
  <c r="S414"/>
  <c r="R414"/>
  <c r="Q414"/>
  <c r="P414"/>
  <c r="Y413"/>
  <c r="X413"/>
  <c r="W413"/>
  <c r="V413"/>
  <c r="U413"/>
  <c r="T413"/>
  <c r="S413"/>
  <c r="R413"/>
  <c r="Q413"/>
  <c r="P413"/>
  <c r="N467"/>
  <c r="M467"/>
  <c r="L467"/>
  <c r="K467"/>
  <c r="J467"/>
  <c r="I467"/>
  <c r="H467"/>
  <c r="G467"/>
  <c r="F467"/>
  <c r="E467"/>
  <c r="N456"/>
  <c r="M456"/>
  <c r="L456"/>
  <c r="K456"/>
  <c r="J456"/>
  <c r="I456"/>
  <c r="H456"/>
  <c r="G456"/>
  <c r="F456"/>
  <c r="E456"/>
  <c r="N443"/>
  <c r="M443"/>
  <c r="L443"/>
  <c r="K443"/>
  <c r="J443"/>
  <c r="I443"/>
  <c r="H443"/>
  <c r="G443"/>
  <c r="F443"/>
  <c r="E443"/>
  <c r="N430"/>
  <c r="M430"/>
  <c r="L430"/>
  <c r="K430"/>
  <c r="J430"/>
  <c r="I430"/>
  <c r="H430"/>
  <c r="G430"/>
  <c r="F430"/>
  <c r="E430"/>
  <c r="N422"/>
  <c r="M422"/>
  <c r="L422"/>
  <c r="K422"/>
  <c r="J422"/>
  <c r="I422"/>
  <c r="H422"/>
  <c r="G422"/>
  <c r="F422"/>
  <c r="E422"/>
  <c r="N412"/>
  <c r="Y406" s="1"/>
  <c r="M412"/>
  <c r="L412"/>
  <c r="W403" s="1"/>
  <c r="K412"/>
  <c r="J412"/>
  <c r="U408" s="1"/>
  <c r="I412"/>
  <c r="H412"/>
  <c r="S397" s="1"/>
  <c r="G412"/>
  <c r="F412"/>
  <c r="Q394" s="1"/>
  <c r="E412"/>
  <c r="N389"/>
  <c r="Y382" s="1"/>
  <c r="M389"/>
  <c r="X387" s="1"/>
  <c r="L389"/>
  <c r="W386" s="1"/>
  <c r="K389"/>
  <c r="V368" s="1"/>
  <c r="J389"/>
  <c r="U384" s="1"/>
  <c r="I389"/>
  <c r="T373" s="1"/>
  <c r="H389"/>
  <c r="S373" s="1"/>
  <c r="G389"/>
  <c r="R370" s="1"/>
  <c r="F389"/>
  <c r="Q370" s="1"/>
  <c r="E389"/>
  <c r="P367" s="1"/>
  <c r="N366"/>
  <c r="M366"/>
  <c r="X362" s="1"/>
  <c r="L366"/>
  <c r="W365" s="1"/>
  <c r="K366"/>
  <c r="V359" s="1"/>
  <c r="J366"/>
  <c r="U359" s="1"/>
  <c r="I366"/>
  <c r="T356" s="1"/>
  <c r="H366"/>
  <c r="S356" s="1"/>
  <c r="G366"/>
  <c r="R353" s="1"/>
  <c r="F366"/>
  <c r="Q360" s="1"/>
  <c r="E366"/>
  <c r="N351"/>
  <c r="Y343" s="1"/>
  <c r="M351"/>
  <c r="X345" s="1"/>
  <c r="L351"/>
  <c r="W345" s="1"/>
  <c r="K351"/>
  <c r="V342" s="1"/>
  <c r="J351"/>
  <c r="U342" s="1"/>
  <c r="I351"/>
  <c r="T339" s="1"/>
  <c r="H351"/>
  <c r="S346" s="1"/>
  <c r="G351"/>
  <c r="R340" s="1"/>
  <c r="F351"/>
  <c r="Q344" s="1"/>
  <c r="E351"/>
  <c r="P349" s="1"/>
  <c r="N337"/>
  <c r="Y336" s="1"/>
  <c r="M337"/>
  <c r="X336" s="1"/>
  <c r="L337"/>
  <c r="W336" s="1"/>
  <c r="K337"/>
  <c r="V336" s="1"/>
  <c r="J337"/>
  <c r="U336" s="1"/>
  <c r="I337"/>
  <c r="T336" s="1"/>
  <c r="H337"/>
  <c r="S336" s="1"/>
  <c r="G337"/>
  <c r="R336" s="1"/>
  <c r="F337"/>
  <c r="Q336" s="1"/>
  <c r="E337"/>
  <c r="P336" s="1"/>
  <c r="N335"/>
  <c r="Y322" s="1"/>
  <c r="M335"/>
  <c r="X319" s="1"/>
  <c r="L335"/>
  <c r="W318" s="1"/>
  <c r="K335"/>
  <c r="V324" s="1"/>
  <c r="J335"/>
  <c r="U316" s="1"/>
  <c r="I335"/>
  <c r="T321" s="1"/>
  <c r="H335"/>
  <c r="S328" s="1"/>
  <c r="G335"/>
  <c r="R318" s="1"/>
  <c r="F335"/>
  <c r="Q325" s="1"/>
  <c r="E335"/>
  <c r="P323" s="1"/>
  <c r="N315"/>
  <c r="Y304" s="1"/>
  <c r="M315"/>
  <c r="X314" s="1"/>
  <c r="L315"/>
  <c r="W302" s="1"/>
  <c r="K315"/>
  <c r="V307" s="1"/>
  <c r="J315"/>
  <c r="U314" s="1"/>
  <c r="I315"/>
  <c r="T296" s="1"/>
  <c r="H315"/>
  <c r="S311" s="1"/>
  <c r="G315"/>
  <c r="R301" s="1"/>
  <c r="F315"/>
  <c r="E315"/>
  <c r="P306" s="1"/>
  <c r="N293"/>
  <c r="Y288" s="1"/>
  <c r="M293"/>
  <c r="X277" s="1"/>
  <c r="L293"/>
  <c r="W277" s="1"/>
  <c r="K293"/>
  <c r="V274" s="1"/>
  <c r="J293"/>
  <c r="U274" s="1"/>
  <c r="I293"/>
  <c r="T279" s="1"/>
  <c r="H293"/>
  <c r="S278" s="1"/>
  <c r="G293"/>
  <c r="R280" s="1"/>
  <c r="F293"/>
  <c r="Q276" s="1"/>
  <c r="E293"/>
  <c r="P281" s="1"/>
  <c r="N273"/>
  <c r="Y263" s="1"/>
  <c r="M273"/>
  <c r="X268" s="1"/>
  <c r="L273"/>
  <c r="W268" s="1"/>
  <c r="K273"/>
  <c r="V265" s="1"/>
  <c r="J273"/>
  <c r="U264" s="1"/>
  <c r="I273"/>
  <c r="H273"/>
  <c r="S257" s="1"/>
  <c r="G273"/>
  <c r="R262" s="1"/>
  <c r="F273"/>
  <c r="Q255" s="1"/>
  <c r="E273"/>
  <c r="P260" s="1"/>
  <c r="N244"/>
  <c r="Y243" s="1"/>
  <c r="M244"/>
  <c r="X243" s="1"/>
  <c r="L244"/>
  <c r="W243" s="1"/>
  <c r="K244"/>
  <c r="V243" s="1"/>
  <c r="J244"/>
  <c r="U243" s="1"/>
  <c r="I244"/>
  <c r="T243" s="1"/>
  <c r="H244"/>
  <c r="S243" s="1"/>
  <c r="G244"/>
  <c r="R243" s="1"/>
  <c r="F244"/>
  <c r="Q243" s="1"/>
  <c r="E244"/>
  <c r="P243" s="1"/>
  <c r="N242"/>
  <c r="Y216" s="1"/>
  <c r="M242"/>
  <c r="X241" s="1"/>
  <c r="L242"/>
  <c r="W238" s="1"/>
  <c r="K242"/>
  <c r="V234" s="1"/>
  <c r="J242"/>
  <c r="U239" s="1"/>
  <c r="I242"/>
  <c r="T239" s="1"/>
  <c r="H242"/>
  <c r="S240" s="1"/>
  <c r="G242"/>
  <c r="R212" s="1"/>
  <c r="F242"/>
  <c r="Q236" s="1"/>
  <c r="E242"/>
  <c r="P217" s="1"/>
  <c r="N211"/>
  <c r="Y205" s="1"/>
  <c r="M211"/>
  <c r="L211"/>
  <c r="W209" s="1"/>
  <c r="K211"/>
  <c r="V197" s="1"/>
  <c r="J211"/>
  <c r="U208" s="1"/>
  <c r="I211"/>
  <c r="T198" s="1"/>
  <c r="H211"/>
  <c r="S203" s="1"/>
  <c r="G211"/>
  <c r="R203" s="1"/>
  <c r="F211"/>
  <c r="Q202" s="1"/>
  <c r="E211"/>
  <c r="P208" s="1"/>
  <c r="N196"/>
  <c r="Y195" s="1"/>
  <c r="M196"/>
  <c r="X179" s="1"/>
  <c r="L196"/>
  <c r="W194" s="1"/>
  <c r="K196"/>
  <c r="V180" s="1"/>
  <c r="J196"/>
  <c r="U181" s="1"/>
  <c r="I196"/>
  <c r="T189" s="1"/>
  <c r="H196"/>
  <c r="S178" s="1"/>
  <c r="G196"/>
  <c r="R194" s="1"/>
  <c r="F196"/>
  <c r="Q191" s="1"/>
  <c r="E196"/>
  <c r="P183" s="1"/>
  <c r="N147"/>
  <c r="Y146" s="1"/>
  <c r="M147"/>
  <c r="X146" s="1"/>
  <c r="L147"/>
  <c r="W146" s="1"/>
  <c r="K147"/>
  <c r="J147"/>
  <c r="U146" s="1"/>
  <c r="I147"/>
  <c r="H147"/>
  <c r="S145" s="1"/>
  <c r="G147"/>
  <c r="R145" s="1"/>
  <c r="F147"/>
  <c r="Q142" s="1"/>
  <c r="E147"/>
  <c r="P146" s="1"/>
  <c r="N138"/>
  <c r="Y137" s="1"/>
  <c r="M138"/>
  <c r="X127" s="1"/>
  <c r="L138"/>
  <c r="W134" s="1"/>
  <c r="K138"/>
  <c r="V134" s="1"/>
  <c r="J138"/>
  <c r="U131" s="1"/>
  <c r="I138"/>
  <c r="T137" s="1"/>
  <c r="H138"/>
  <c r="S128" s="1"/>
  <c r="G138"/>
  <c r="R136" s="1"/>
  <c r="F138"/>
  <c r="Q137" s="1"/>
  <c r="E138"/>
  <c r="P135" s="1"/>
  <c r="N125"/>
  <c r="Y122" s="1"/>
  <c r="M125"/>
  <c r="X123" s="1"/>
  <c r="L125"/>
  <c r="W124" s="1"/>
  <c r="K125"/>
  <c r="V123" s="1"/>
  <c r="J125"/>
  <c r="U124" s="1"/>
  <c r="I125"/>
  <c r="T123" s="1"/>
  <c r="H125"/>
  <c r="S124" s="1"/>
  <c r="G125"/>
  <c r="F125"/>
  <c r="Q124" s="1"/>
  <c r="E125"/>
  <c r="P123" s="1"/>
  <c r="N121"/>
  <c r="Y119" s="1"/>
  <c r="M121"/>
  <c r="X112" s="1"/>
  <c r="L121"/>
  <c r="W116" s="1"/>
  <c r="K121"/>
  <c r="V112" s="1"/>
  <c r="J121"/>
  <c r="U112" s="1"/>
  <c r="I121"/>
  <c r="H121"/>
  <c r="S113" s="1"/>
  <c r="G121"/>
  <c r="R112" s="1"/>
  <c r="F121"/>
  <c r="Q120" s="1"/>
  <c r="E121"/>
  <c r="P112" s="1"/>
  <c r="N108"/>
  <c r="Y107" s="1"/>
  <c r="M108"/>
  <c r="X107" s="1"/>
  <c r="L108"/>
  <c r="W107" s="1"/>
  <c r="K108"/>
  <c r="V107" s="1"/>
  <c r="J108"/>
  <c r="U107" s="1"/>
  <c r="I108"/>
  <c r="T107" s="1"/>
  <c r="H108"/>
  <c r="S107" s="1"/>
  <c r="G108"/>
  <c r="R107" s="1"/>
  <c r="F108"/>
  <c r="Q107" s="1"/>
  <c r="E108"/>
  <c r="P107" s="1"/>
  <c r="N106"/>
  <c r="Y104" s="1"/>
  <c r="M106"/>
  <c r="X104" s="1"/>
  <c r="L106"/>
  <c r="W105" s="1"/>
  <c r="K106"/>
  <c r="V105" s="1"/>
  <c r="J106"/>
  <c r="U102" s="1"/>
  <c r="I106"/>
  <c r="T102" s="1"/>
  <c r="H106"/>
  <c r="S103" s="1"/>
  <c r="G106"/>
  <c r="R103" s="1"/>
  <c r="F106"/>
  <c r="Q104" s="1"/>
  <c r="E106"/>
  <c r="P104" s="1"/>
  <c r="N87"/>
  <c r="Y83" s="1"/>
  <c r="M87"/>
  <c r="X83" s="1"/>
  <c r="L87"/>
  <c r="W84" s="1"/>
  <c r="K87"/>
  <c r="V84" s="1"/>
  <c r="J87"/>
  <c r="U85" s="1"/>
  <c r="I87"/>
  <c r="T85" s="1"/>
  <c r="H87"/>
  <c r="S86" s="1"/>
  <c r="G87"/>
  <c r="R86" s="1"/>
  <c r="F87"/>
  <c r="Q83" s="1"/>
  <c r="E87"/>
  <c r="P83" s="1"/>
  <c r="N81"/>
  <c r="Y78" s="1"/>
  <c r="M81"/>
  <c r="X78" s="1"/>
  <c r="L81"/>
  <c r="W79" s="1"/>
  <c r="K81"/>
  <c r="V79" s="1"/>
  <c r="J81"/>
  <c r="U80" s="1"/>
  <c r="I81"/>
  <c r="T80" s="1"/>
  <c r="H81"/>
  <c r="S77" s="1"/>
  <c r="G81"/>
  <c r="R77" s="1"/>
  <c r="F81"/>
  <c r="Q78" s="1"/>
  <c r="E81"/>
  <c r="P78" s="1"/>
  <c r="N64"/>
  <c r="Y61" s="1"/>
  <c r="M64"/>
  <c r="X61" s="1"/>
  <c r="L64"/>
  <c r="W62" s="1"/>
  <c r="K64"/>
  <c r="V62" s="1"/>
  <c r="J64"/>
  <c r="U63" s="1"/>
  <c r="I64"/>
  <c r="T63" s="1"/>
  <c r="H64"/>
  <c r="S60" s="1"/>
  <c r="G64"/>
  <c r="R60" s="1"/>
  <c r="F64"/>
  <c r="Q61" s="1"/>
  <c r="E64"/>
  <c r="P61" s="1"/>
  <c r="N47"/>
  <c r="Y43" s="1"/>
  <c r="M47"/>
  <c r="X43" s="1"/>
  <c r="L47"/>
  <c r="W44" s="1"/>
  <c r="K47"/>
  <c r="V44" s="1"/>
  <c r="J47"/>
  <c r="U45" s="1"/>
  <c r="I47"/>
  <c r="T45" s="1"/>
  <c r="H47"/>
  <c r="S46" s="1"/>
  <c r="G47"/>
  <c r="R46" s="1"/>
  <c r="F47"/>
  <c r="Q43" s="1"/>
  <c r="E47"/>
  <c r="P43" s="1"/>
  <c r="N42"/>
  <c r="Y38" s="1"/>
  <c r="M42"/>
  <c r="X38" s="1"/>
  <c r="L42"/>
  <c r="W39" s="1"/>
  <c r="K42"/>
  <c r="V39" s="1"/>
  <c r="J42"/>
  <c r="U40" s="1"/>
  <c r="I42"/>
  <c r="T40" s="1"/>
  <c r="H42"/>
  <c r="S41" s="1"/>
  <c r="G42"/>
  <c r="R41" s="1"/>
  <c r="F42"/>
  <c r="Q38" s="1"/>
  <c r="E42"/>
  <c r="P38" s="1"/>
  <c r="N37"/>
  <c r="Y33" s="1"/>
  <c r="M37"/>
  <c r="X33" s="1"/>
  <c r="L37"/>
  <c r="W34" s="1"/>
  <c r="K37"/>
  <c r="V34" s="1"/>
  <c r="J37"/>
  <c r="U35" s="1"/>
  <c r="I37"/>
  <c r="T35" s="1"/>
  <c r="H37"/>
  <c r="S36" s="1"/>
  <c r="G37"/>
  <c r="R36" s="1"/>
  <c r="F37"/>
  <c r="Q33" s="1"/>
  <c r="E37"/>
  <c r="P33" s="1"/>
  <c r="N30"/>
  <c r="Y28" s="1"/>
  <c r="M30"/>
  <c r="X28" s="1"/>
  <c r="L30"/>
  <c r="W29" s="1"/>
  <c r="K30"/>
  <c r="V29" s="1"/>
  <c r="J30"/>
  <c r="U26" s="1"/>
  <c r="I30"/>
  <c r="T26" s="1"/>
  <c r="H30"/>
  <c r="S27" s="1"/>
  <c r="G30"/>
  <c r="R27" s="1"/>
  <c r="F30"/>
  <c r="Q28" s="1"/>
  <c r="E30"/>
  <c r="P28" s="1"/>
  <c r="N19"/>
  <c r="M19"/>
  <c r="L19"/>
  <c r="K19"/>
  <c r="J19"/>
  <c r="J468" s="1"/>
  <c r="I19"/>
  <c r="T16" s="1"/>
  <c r="H19"/>
  <c r="G19"/>
  <c r="R16" s="1"/>
  <c r="F19"/>
  <c r="E19"/>
  <c r="AE435" i="4"/>
  <c r="AD435"/>
  <c r="AC435"/>
  <c r="AB435"/>
  <c r="AA435"/>
  <c r="Z435"/>
  <c r="Y435"/>
  <c r="X435"/>
  <c r="W435"/>
  <c r="V435"/>
  <c r="U435"/>
  <c r="T435"/>
  <c r="S435"/>
  <c r="AE434"/>
  <c r="AD434"/>
  <c r="AC434"/>
  <c r="AB434"/>
  <c r="AA434"/>
  <c r="Z434"/>
  <c r="Y434"/>
  <c r="X434"/>
  <c r="W434"/>
  <c r="V434"/>
  <c r="U434"/>
  <c r="T434"/>
  <c r="S434"/>
  <c r="AE433"/>
  <c r="AD433"/>
  <c r="AC433"/>
  <c r="AB433"/>
  <c r="AA433"/>
  <c r="Z433"/>
  <c r="Y433"/>
  <c r="X433"/>
  <c r="W433"/>
  <c r="V433"/>
  <c r="U433"/>
  <c r="T433"/>
  <c r="S433"/>
  <c r="AE432"/>
  <c r="AD432"/>
  <c r="AC432"/>
  <c r="AB432"/>
  <c r="AA432"/>
  <c r="Z432"/>
  <c r="Y432"/>
  <c r="X432"/>
  <c r="W432"/>
  <c r="V432"/>
  <c r="U432"/>
  <c r="T432"/>
  <c r="S432"/>
  <c r="AE431"/>
  <c r="AD431"/>
  <c r="AC431"/>
  <c r="AB431"/>
  <c r="AA431"/>
  <c r="Z431"/>
  <c r="Y431"/>
  <c r="X431"/>
  <c r="W431"/>
  <c r="V431"/>
  <c r="U431"/>
  <c r="T431"/>
  <c r="S431"/>
  <c r="AE430"/>
  <c r="AD430"/>
  <c r="AC430"/>
  <c r="AB430"/>
  <c r="AA430"/>
  <c r="Z430"/>
  <c r="Y430"/>
  <c r="X430"/>
  <c r="W430"/>
  <c r="V430"/>
  <c r="U430"/>
  <c r="T430"/>
  <c r="S430"/>
  <c r="AE429"/>
  <c r="AD429"/>
  <c r="AC429"/>
  <c r="AB429"/>
  <c r="AA429"/>
  <c r="Z429"/>
  <c r="Y429"/>
  <c r="X429"/>
  <c r="W429"/>
  <c r="V429"/>
  <c r="U429"/>
  <c r="T429"/>
  <c r="S429"/>
  <c r="AE428"/>
  <c r="AD428"/>
  <c r="AC428"/>
  <c r="AB428"/>
  <c r="AA428"/>
  <c r="Z428"/>
  <c r="Y428"/>
  <c r="X428"/>
  <c r="W428"/>
  <c r="V428"/>
  <c r="U428"/>
  <c r="T428"/>
  <c r="S428"/>
  <c r="AE427"/>
  <c r="AD427"/>
  <c r="AC427"/>
  <c r="AB427"/>
  <c r="AA427"/>
  <c r="Z427"/>
  <c r="Y427"/>
  <c r="X427"/>
  <c r="W427"/>
  <c r="V427"/>
  <c r="U427"/>
  <c r="T427"/>
  <c r="S427"/>
  <c r="AE426"/>
  <c r="AD426"/>
  <c r="AC426"/>
  <c r="AB426"/>
  <c r="AA426"/>
  <c r="Z426"/>
  <c r="Y426"/>
  <c r="X426"/>
  <c r="W426"/>
  <c r="V426"/>
  <c r="U426"/>
  <c r="T426"/>
  <c r="S426"/>
  <c r="AE425"/>
  <c r="AD425"/>
  <c r="AC425"/>
  <c r="AB425"/>
  <c r="AA425"/>
  <c r="Z425"/>
  <c r="Y425"/>
  <c r="X425"/>
  <c r="W425"/>
  <c r="V425"/>
  <c r="U425"/>
  <c r="T425"/>
  <c r="S425"/>
  <c r="AE424"/>
  <c r="AD424"/>
  <c r="AC424"/>
  <c r="AB424"/>
  <c r="AA424"/>
  <c r="Z424"/>
  <c r="Y424"/>
  <c r="X424"/>
  <c r="W424"/>
  <c r="V424"/>
  <c r="U424"/>
  <c r="T424"/>
  <c r="S424"/>
  <c r="AE423"/>
  <c r="AD423"/>
  <c r="AC423"/>
  <c r="AB423"/>
  <c r="AA423"/>
  <c r="Z423"/>
  <c r="Y423"/>
  <c r="X423"/>
  <c r="W423"/>
  <c r="V423"/>
  <c r="U423"/>
  <c r="T423"/>
  <c r="S423"/>
  <c r="AE422"/>
  <c r="AD422"/>
  <c r="AC422"/>
  <c r="AB422"/>
  <c r="AA422"/>
  <c r="Z422"/>
  <c r="Y422"/>
  <c r="X422"/>
  <c r="W422"/>
  <c r="V422"/>
  <c r="U422"/>
  <c r="T422"/>
  <c r="S422"/>
  <c r="AE421"/>
  <c r="AD421"/>
  <c r="AC421"/>
  <c r="AB421"/>
  <c r="AA421"/>
  <c r="Z421"/>
  <c r="Y421"/>
  <c r="X421"/>
  <c r="W421"/>
  <c r="V421"/>
  <c r="U421"/>
  <c r="T421"/>
  <c r="S421"/>
  <c r="AE420"/>
  <c r="AD420"/>
  <c r="AC420"/>
  <c r="AB420"/>
  <c r="AA420"/>
  <c r="Z420"/>
  <c r="Y420"/>
  <c r="X420"/>
  <c r="W420"/>
  <c r="V420"/>
  <c r="U420"/>
  <c r="T420"/>
  <c r="S420"/>
  <c r="AE419"/>
  <c r="AD419"/>
  <c r="AC419"/>
  <c r="AB419"/>
  <c r="AA419"/>
  <c r="Z419"/>
  <c r="Y419"/>
  <c r="X419"/>
  <c r="W419"/>
  <c r="V419"/>
  <c r="U419"/>
  <c r="T419"/>
  <c r="S419"/>
  <c r="AE418"/>
  <c r="AD418"/>
  <c r="AC418"/>
  <c r="AB418"/>
  <c r="AA418"/>
  <c r="Z418"/>
  <c r="Y418"/>
  <c r="X418"/>
  <c r="W418"/>
  <c r="V418"/>
  <c r="U418"/>
  <c r="T418"/>
  <c r="S418"/>
  <c r="AE417"/>
  <c r="AD417"/>
  <c r="AC417"/>
  <c r="AB417"/>
  <c r="AA417"/>
  <c r="Z417"/>
  <c r="Y417"/>
  <c r="X417"/>
  <c r="W417"/>
  <c r="V417"/>
  <c r="U417"/>
  <c r="T417"/>
  <c r="S417"/>
  <c r="AE416"/>
  <c r="AD416"/>
  <c r="AC416"/>
  <c r="AB416"/>
  <c r="AA416"/>
  <c r="Z416"/>
  <c r="Y416"/>
  <c r="X416"/>
  <c r="W416"/>
  <c r="V416"/>
  <c r="U416"/>
  <c r="T416"/>
  <c r="S416"/>
  <c r="AE415"/>
  <c r="AD415"/>
  <c r="AC415"/>
  <c r="AB415"/>
  <c r="AA415"/>
  <c r="Z415"/>
  <c r="Y415"/>
  <c r="X415"/>
  <c r="W415"/>
  <c r="V415"/>
  <c r="U415"/>
  <c r="T415"/>
  <c r="S415"/>
  <c r="AE414"/>
  <c r="AD414"/>
  <c r="AC414"/>
  <c r="AB414"/>
  <c r="AA414"/>
  <c r="Z414"/>
  <c r="Y414"/>
  <c r="X414"/>
  <c r="W414"/>
  <c r="V414"/>
  <c r="U414"/>
  <c r="T414"/>
  <c r="S414"/>
  <c r="AE413"/>
  <c r="AD413"/>
  <c r="AC413"/>
  <c r="AB413"/>
  <c r="AA413"/>
  <c r="Z413"/>
  <c r="Y413"/>
  <c r="X413"/>
  <c r="W413"/>
  <c r="V413"/>
  <c r="U413"/>
  <c r="T413"/>
  <c r="S413"/>
  <c r="AE412"/>
  <c r="AD412"/>
  <c r="AC412"/>
  <c r="AB412"/>
  <c r="AA412"/>
  <c r="Z412"/>
  <c r="Y412"/>
  <c r="X412"/>
  <c r="W412"/>
  <c r="V412"/>
  <c r="U412"/>
  <c r="T412"/>
  <c r="S412"/>
  <c r="AE411"/>
  <c r="AD411"/>
  <c r="AC411"/>
  <c r="AB411"/>
  <c r="AA411"/>
  <c r="Z411"/>
  <c r="Y411"/>
  <c r="X411"/>
  <c r="W411"/>
  <c r="V411"/>
  <c r="U411"/>
  <c r="T411"/>
  <c r="S411"/>
  <c r="AE410"/>
  <c r="AD410"/>
  <c r="AC410"/>
  <c r="AB410"/>
  <c r="AA410"/>
  <c r="Z410"/>
  <c r="Y410"/>
  <c r="X410"/>
  <c r="W410"/>
  <c r="V410"/>
  <c r="U410"/>
  <c r="T410"/>
  <c r="S410"/>
  <c r="AE409"/>
  <c r="AD409"/>
  <c r="AC409"/>
  <c r="AB409"/>
  <c r="AA409"/>
  <c r="Z409"/>
  <c r="Y409"/>
  <c r="X409"/>
  <c r="W409"/>
  <c r="V409"/>
  <c r="U409"/>
  <c r="T409"/>
  <c r="S409"/>
  <c r="AE408"/>
  <c r="AD408"/>
  <c r="AC408"/>
  <c r="AB408"/>
  <c r="AA408"/>
  <c r="Z408"/>
  <c r="Y408"/>
  <c r="X408"/>
  <c r="W408"/>
  <c r="V408"/>
  <c r="U408"/>
  <c r="T408"/>
  <c r="S408"/>
  <c r="AE407"/>
  <c r="AD407"/>
  <c r="AC407"/>
  <c r="AB407"/>
  <c r="AA407"/>
  <c r="Z407"/>
  <c r="Y407"/>
  <c r="X407"/>
  <c r="W407"/>
  <c r="V407"/>
  <c r="U407"/>
  <c r="T407"/>
  <c r="S407"/>
  <c r="AE406"/>
  <c r="AD406"/>
  <c r="AC406"/>
  <c r="AB406"/>
  <c r="AA406"/>
  <c r="Z406"/>
  <c r="Y406"/>
  <c r="X406"/>
  <c r="W406"/>
  <c r="V406"/>
  <c r="U406"/>
  <c r="T406"/>
  <c r="S406"/>
  <c r="AE405"/>
  <c r="AD405"/>
  <c r="AC405"/>
  <c r="AB405"/>
  <c r="AA405"/>
  <c r="Z405"/>
  <c r="Y405"/>
  <c r="X405"/>
  <c r="W405"/>
  <c r="V405"/>
  <c r="U405"/>
  <c r="T405"/>
  <c r="S405"/>
  <c r="AE404"/>
  <c r="AD404"/>
  <c r="AC404"/>
  <c r="AB404"/>
  <c r="AA404"/>
  <c r="Z404"/>
  <c r="Y404"/>
  <c r="X404"/>
  <c r="W404"/>
  <c r="V404"/>
  <c r="U404"/>
  <c r="T404"/>
  <c r="S404"/>
  <c r="AE403"/>
  <c r="AD403"/>
  <c r="AC403"/>
  <c r="AB403"/>
  <c r="AA403"/>
  <c r="Z403"/>
  <c r="Y403"/>
  <c r="X403"/>
  <c r="W403"/>
  <c r="V403"/>
  <c r="U403"/>
  <c r="T403"/>
  <c r="S403"/>
  <c r="AE402"/>
  <c r="AD402"/>
  <c r="AC402"/>
  <c r="AB402"/>
  <c r="AA402"/>
  <c r="Z402"/>
  <c r="Y402"/>
  <c r="X402"/>
  <c r="W402"/>
  <c r="V402"/>
  <c r="U402"/>
  <c r="T402"/>
  <c r="S402"/>
  <c r="AE401"/>
  <c r="AD401"/>
  <c r="AC401"/>
  <c r="AB401"/>
  <c r="AA401"/>
  <c r="Z401"/>
  <c r="Y401"/>
  <c r="X401"/>
  <c r="W401"/>
  <c r="V401"/>
  <c r="U401"/>
  <c r="T401"/>
  <c r="S401"/>
  <c r="AE400"/>
  <c r="AD400"/>
  <c r="AC400"/>
  <c r="AB400"/>
  <c r="AA400"/>
  <c r="Z400"/>
  <c r="Y400"/>
  <c r="X400"/>
  <c r="W400"/>
  <c r="V400"/>
  <c r="U400"/>
  <c r="T400"/>
  <c r="S400"/>
  <c r="AE399"/>
  <c r="AD399"/>
  <c r="AC399"/>
  <c r="AB399"/>
  <c r="AA399"/>
  <c r="Z399"/>
  <c r="Y399"/>
  <c r="X399"/>
  <c r="W399"/>
  <c r="V399"/>
  <c r="U399"/>
  <c r="T399"/>
  <c r="S399"/>
  <c r="AE398"/>
  <c r="AD398"/>
  <c r="AC398"/>
  <c r="AB398"/>
  <c r="AA398"/>
  <c r="Z398"/>
  <c r="Y398"/>
  <c r="X398"/>
  <c r="W398"/>
  <c r="V398"/>
  <c r="U398"/>
  <c r="T398"/>
  <c r="S398"/>
  <c r="AE397"/>
  <c r="AD397"/>
  <c r="AC397"/>
  <c r="AB397"/>
  <c r="AA397"/>
  <c r="Z397"/>
  <c r="Y397"/>
  <c r="X397"/>
  <c r="W397"/>
  <c r="V397"/>
  <c r="U397"/>
  <c r="T397"/>
  <c r="S397"/>
  <c r="AE396"/>
  <c r="AD396"/>
  <c r="AC396"/>
  <c r="AB396"/>
  <c r="AA396"/>
  <c r="Z396"/>
  <c r="Y396"/>
  <c r="X396"/>
  <c r="W396"/>
  <c r="V396"/>
  <c r="U396"/>
  <c r="T396"/>
  <c r="S396"/>
  <c r="AE395"/>
  <c r="AD395"/>
  <c r="AC395"/>
  <c r="AB395"/>
  <c r="AA395"/>
  <c r="Z395"/>
  <c r="Y395"/>
  <c r="X395"/>
  <c r="W395"/>
  <c r="V395"/>
  <c r="U395"/>
  <c r="T395"/>
  <c r="S395"/>
  <c r="AE394"/>
  <c r="AD394"/>
  <c r="AC394"/>
  <c r="AB394"/>
  <c r="AA394"/>
  <c r="Z394"/>
  <c r="Y394"/>
  <c r="X394"/>
  <c r="W394"/>
  <c r="V394"/>
  <c r="U394"/>
  <c r="T394"/>
  <c r="S394"/>
  <c r="AE393"/>
  <c r="AD393"/>
  <c r="AC393"/>
  <c r="AB393"/>
  <c r="AA393"/>
  <c r="Z393"/>
  <c r="Y393"/>
  <c r="X393"/>
  <c r="W393"/>
  <c r="V393"/>
  <c r="U393"/>
  <c r="T393"/>
  <c r="S393"/>
  <c r="AE392"/>
  <c r="AD392"/>
  <c r="AC392"/>
  <c r="AB392"/>
  <c r="AA392"/>
  <c r="Z392"/>
  <c r="Y392"/>
  <c r="X392"/>
  <c r="W392"/>
  <c r="V392"/>
  <c r="U392"/>
  <c r="T392"/>
  <c r="S392"/>
  <c r="AE391"/>
  <c r="AD391"/>
  <c r="AC391"/>
  <c r="AB391"/>
  <c r="AA391"/>
  <c r="Z391"/>
  <c r="Y391"/>
  <c r="X391"/>
  <c r="W391"/>
  <c r="V391"/>
  <c r="U391"/>
  <c r="T391"/>
  <c r="S391"/>
  <c r="AE390"/>
  <c r="AD390"/>
  <c r="AC390"/>
  <c r="AB390"/>
  <c r="AA390"/>
  <c r="Z390"/>
  <c r="Y390"/>
  <c r="X390"/>
  <c r="W390"/>
  <c r="V390"/>
  <c r="U390"/>
  <c r="T390"/>
  <c r="S390"/>
  <c r="AE389"/>
  <c r="AD389"/>
  <c r="AC389"/>
  <c r="AB389"/>
  <c r="AA389"/>
  <c r="Z389"/>
  <c r="Y389"/>
  <c r="X389"/>
  <c r="W389"/>
  <c r="V389"/>
  <c r="U389"/>
  <c r="T389"/>
  <c r="S389"/>
  <c r="AE388"/>
  <c r="AD388"/>
  <c r="AC388"/>
  <c r="AB388"/>
  <c r="AA388"/>
  <c r="Z388"/>
  <c r="Y388"/>
  <c r="X388"/>
  <c r="W388"/>
  <c r="V388"/>
  <c r="U388"/>
  <c r="T388"/>
  <c r="S388"/>
  <c r="AE387"/>
  <c r="AD387"/>
  <c r="AC387"/>
  <c r="AB387"/>
  <c r="AA387"/>
  <c r="Z387"/>
  <c r="Y387"/>
  <c r="X387"/>
  <c r="W387"/>
  <c r="V387"/>
  <c r="U387"/>
  <c r="T387"/>
  <c r="S387"/>
  <c r="AE386"/>
  <c r="AD386"/>
  <c r="AC386"/>
  <c r="AB386"/>
  <c r="AA386"/>
  <c r="Z386"/>
  <c r="Y386"/>
  <c r="X386"/>
  <c r="W386"/>
  <c r="V386"/>
  <c r="U386"/>
  <c r="T386"/>
  <c r="S386"/>
  <c r="AE385"/>
  <c r="AD385"/>
  <c r="AC385"/>
  <c r="AB385"/>
  <c r="AA385"/>
  <c r="Z385"/>
  <c r="Y385"/>
  <c r="X385"/>
  <c r="W385"/>
  <c r="V385"/>
  <c r="U385"/>
  <c r="T385"/>
  <c r="S385"/>
  <c r="AE384"/>
  <c r="AD384"/>
  <c r="AC384"/>
  <c r="AB384"/>
  <c r="AA384"/>
  <c r="Z384"/>
  <c r="Y384"/>
  <c r="X384"/>
  <c r="W384"/>
  <c r="V384"/>
  <c r="U384"/>
  <c r="T384"/>
  <c r="S384"/>
  <c r="AE383"/>
  <c r="AD383"/>
  <c r="AC383"/>
  <c r="AB383"/>
  <c r="AA383"/>
  <c r="Z383"/>
  <c r="Y383"/>
  <c r="X383"/>
  <c r="W383"/>
  <c r="V383"/>
  <c r="U383"/>
  <c r="T383"/>
  <c r="S383"/>
  <c r="AE382"/>
  <c r="AD382"/>
  <c r="AC382"/>
  <c r="AB382"/>
  <c r="AA382"/>
  <c r="Z382"/>
  <c r="Y382"/>
  <c r="X382"/>
  <c r="W382"/>
  <c r="V382"/>
  <c r="U382"/>
  <c r="T382"/>
  <c r="S382"/>
  <c r="AE381"/>
  <c r="AD381"/>
  <c r="AC381"/>
  <c r="AB381"/>
  <c r="AA381"/>
  <c r="Z381"/>
  <c r="Y381"/>
  <c r="X381"/>
  <c r="W381"/>
  <c r="V381"/>
  <c r="U381"/>
  <c r="T381"/>
  <c r="S381"/>
  <c r="AE380"/>
  <c r="AD380"/>
  <c r="AC380"/>
  <c r="AB380"/>
  <c r="AA380"/>
  <c r="Z380"/>
  <c r="Y380"/>
  <c r="X380"/>
  <c r="W380"/>
  <c r="V380"/>
  <c r="U380"/>
  <c r="T380"/>
  <c r="S380"/>
  <c r="AE379"/>
  <c r="AD379"/>
  <c r="AC379"/>
  <c r="AB379"/>
  <c r="AA379"/>
  <c r="Z379"/>
  <c r="Y379"/>
  <c r="X379"/>
  <c r="W379"/>
  <c r="V379"/>
  <c r="U379"/>
  <c r="T379"/>
  <c r="S379"/>
  <c r="AE378"/>
  <c r="AD378"/>
  <c r="AC378"/>
  <c r="AB378"/>
  <c r="AA378"/>
  <c r="Z378"/>
  <c r="Y378"/>
  <c r="X378"/>
  <c r="W378"/>
  <c r="V378"/>
  <c r="U378"/>
  <c r="T378"/>
  <c r="S378"/>
  <c r="AE377"/>
  <c r="AD377"/>
  <c r="AC377"/>
  <c r="AB377"/>
  <c r="AA377"/>
  <c r="Z377"/>
  <c r="Y377"/>
  <c r="X377"/>
  <c r="W377"/>
  <c r="V377"/>
  <c r="U377"/>
  <c r="T377"/>
  <c r="S377"/>
  <c r="AE376"/>
  <c r="AD376"/>
  <c r="AC376"/>
  <c r="AB376"/>
  <c r="AA376"/>
  <c r="Z376"/>
  <c r="Y376"/>
  <c r="X376"/>
  <c r="W376"/>
  <c r="V376"/>
  <c r="U376"/>
  <c r="T376"/>
  <c r="S376"/>
  <c r="AE375"/>
  <c r="AD375"/>
  <c r="AC375"/>
  <c r="AB375"/>
  <c r="AA375"/>
  <c r="Z375"/>
  <c r="Y375"/>
  <c r="X375"/>
  <c r="W375"/>
  <c r="V375"/>
  <c r="U375"/>
  <c r="T375"/>
  <c r="S375"/>
  <c r="AE374"/>
  <c r="AD374"/>
  <c r="AC374"/>
  <c r="AB374"/>
  <c r="AA374"/>
  <c r="Z374"/>
  <c r="Y374"/>
  <c r="X374"/>
  <c r="W374"/>
  <c r="V374"/>
  <c r="U374"/>
  <c r="T374"/>
  <c r="S374"/>
  <c r="AE373"/>
  <c r="AD373"/>
  <c r="AC373"/>
  <c r="AB373"/>
  <c r="AA373"/>
  <c r="Z373"/>
  <c r="Y373"/>
  <c r="X373"/>
  <c r="W373"/>
  <c r="V373"/>
  <c r="U373"/>
  <c r="T373"/>
  <c r="S373"/>
  <c r="AE372"/>
  <c r="AD372"/>
  <c r="AC372"/>
  <c r="AB372"/>
  <c r="AA372"/>
  <c r="Z372"/>
  <c r="Y372"/>
  <c r="X372"/>
  <c r="W372"/>
  <c r="V372"/>
  <c r="U372"/>
  <c r="T372"/>
  <c r="S372"/>
  <c r="AE371"/>
  <c r="AD371"/>
  <c r="AC371"/>
  <c r="AB371"/>
  <c r="AA371"/>
  <c r="Z371"/>
  <c r="Y371"/>
  <c r="X371"/>
  <c r="W371"/>
  <c r="V371"/>
  <c r="U371"/>
  <c r="T371"/>
  <c r="S371"/>
  <c r="AE370"/>
  <c r="AD370"/>
  <c r="AC370"/>
  <c r="AB370"/>
  <c r="AA370"/>
  <c r="Z370"/>
  <c r="Y370"/>
  <c r="X370"/>
  <c r="W370"/>
  <c r="V370"/>
  <c r="U370"/>
  <c r="T370"/>
  <c r="S370"/>
  <c r="AE369"/>
  <c r="AD369"/>
  <c r="AC369"/>
  <c r="AB369"/>
  <c r="AA369"/>
  <c r="Z369"/>
  <c r="Y369"/>
  <c r="X369"/>
  <c r="W369"/>
  <c r="V369"/>
  <c r="U369"/>
  <c r="T369"/>
  <c r="S369"/>
  <c r="AE368"/>
  <c r="AD368"/>
  <c r="AC368"/>
  <c r="AB368"/>
  <c r="AA368"/>
  <c r="Z368"/>
  <c r="Y368"/>
  <c r="X368"/>
  <c r="W368"/>
  <c r="V368"/>
  <c r="U368"/>
  <c r="T368"/>
  <c r="S368"/>
  <c r="AE367"/>
  <c r="AD367"/>
  <c r="AC367"/>
  <c r="AB367"/>
  <c r="AA367"/>
  <c r="Z367"/>
  <c r="Y367"/>
  <c r="X367"/>
  <c r="W367"/>
  <c r="V367"/>
  <c r="U367"/>
  <c r="T367"/>
  <c r="S367"/>
  <c r="AE366"/>
  <c r="AD366"/>
  <c r="AC366"/>
  <c r="AB366"/>
  <c r="AA366"/>
  <c r="Z366"/>
  <c r="Y366"/>
  <c r="X366"/>
  <c r="W366"/>
  <c r="V366"/>
  <c r="U366"/>
  <c r="T366"/>
  <c r="S366"/>
  <c r="AE365"/>
  <c r="AD365"/>
  <c r="AC365"/>
  <c r="AB365"/>
  <c r="AA365"/>
  <c r="Z365"/>
  <c r="Y365"/>
  <c r="X365"/>
  <c r="W365"/>
  <c r="V365"/>
  <c r="U365"/>
  <c r="T365"/>
  <c r="S365"/>
  <c r="AE364"/>
  <c r="AD364"/>
  <c r="AC364"/>
  <c r="AB364"/>
  <c r="AA364"/>
  <c r="Z364"/>
  <c r="Y364"/>
  <c r="X364"/>
  <c r="W364"/>
  <c r="V364"/>
  <c r="U364"/>
  <c r="T364"/>
  <c r="S364"/>
  <c r="AE363"/>
  <c r="AD363"/>
  <c r="AC363"/>
  <c r="AB363"/>
  <c r="AA363"/>
  <c r="Z363"/>
  <c r="Y363"/>
  <c r="X363"/>
  <c r="W363"/>
  <c r="V363"/>
  <c r="U363"/>
  <c r="T363"/>
  <c r="S363"/>
  <c r="AE362"/>
  <c r="AD362"/>
  <c r="AC362"/>
  <c r="AB362"/>
  <c r="AA362"/>
  <c r="Z362"/>
  <c r="Y362"/>
  <c r="X362"/>
  <c r="W362"/>
  <c r="V362"/>
  <c r="U362"/>
  <c r="T362"/>
  <c r="S362"/>
  <c r="AE361"/>
  <c r="AD361"/>
  <c r="AC361"/>
  <c r="AB361"/>
  <c r="AA361"/>
  <c r="Z361"/>
  <c r="Y361"/>
  <c r="X361"/>
  <c r="W361"/>
  <c r="V361"/>
  <c r="U361"/>
  <c r="T361"/>
  <c r="S361"/>
  <c r="AE360"/>
  <c r="AD360"/>
  <c r="AC360"/>
  <c r="AB360"/>
  <c r="AA360"/>
  <c r="Z360"/>
  <c r="Y360"/>
  <c r="X360"/>
  <c r="W360"/>
  <c r="V360"/>
  <c r="U360"/>
  <c r="T360"/>
  <c r="S360"/>
  <c r="AE359"/>
  <c r="AD359"/>
  <c r="AC359"/>
  <c r="AB359"/>
  <c r="AA359"/>
  <c r="Z359"/>
  <c r="Y359"/>
  <c r="X359"/>
  <c r="W359"/>
  <c r="V359"/>
  <c r="U359"/>
  <c r="T359"/>
  <c r="S359"/>
  <c r="AE358"/>
  <c r="AD358"/>
  <c r="AC358"/>
  <c r="AB358"/>
  <c r="AA358"/>
  <c r="Z358"/>
  <c r="Y358"/>
  <c r="X358"/>
  <c r="W358"/>
  <c r="V358"/>
  <c r="U358"/>
  <c r="T358"/>
  <c r="S358"/>
  <c r="AE357"/>
  <c r="AD357"/>
  <c r="AC357"/>
  <c r="AB357"/>
  <c r="AA357"/>
  <c r="Z357"/>
  <c r="Y357"/>
  <c r="X357"/>
  <c r="W357"/>
  <c r="V357"/>
  <c r="U357"/>
  <c r="T357"/>
  <c r="S357"/>
  <c r="AE356"/>
  <c r="AD356"/>
  <c r="AC356"/>
  <c r="AB356"/>
  <c r="AA356"/>
  <c r="Z356"/>
  <c r="Y356"/>
  <c r="X356"/>
  <c r="W356"/>
  <c r="V356"/>
  <c r="U356"/>
  <c r="T356"/>
  <c r="S356"/>
  <c r="AE355"/>
  <c r="AD355"/>
  <c r="AC355"/>
  <c r="AB355"/>
  <c r="AA355"/>
  <c r="Z355"/>
  <c r="Y355"/>
  <c r="X355"/>
  <c r="W355"/>
  <c r="V355"/>
  <c r="U355"/>
  <c r="T355"/>
  <c r="S355"/>
  <c r="AE354"/>
  <c r="AD354"/>
  <c r="AC354"/>
  <c r="AB354"/>
  <c r="AA354"/>
  <c r="Z354"/>
  <c r="Y354"/>
  <c r="X354"/>
  <c r="W354"/>
  <c r="V354"/>
  <c r="U354"/>
  <c r="T354"/>
  <c r="S354"/>
  <c r="AE353"/>
  <c r="AD353"/>
  <c r="AC353"/>
  <c r="AB353"/>
  <c r="AA353"/>
  <c r="Z353"/>
  <c r="Y353"/>
  <c r="X353"/>
  <c r="W353"/>
  <c r="V353"/>
  <c r="U353"/>
  <c r="T353"/>
  <c r="S353"/>
  <c r="AE352"/>
  <c r="AD352"/>
  <c r="AC352"/>
  <c r="AB352"/>
  <c r="AA352"/>
  <c r="Z352"/>
  <c r="Y352"/>
  <c r="X352"/>
  <c r="W352"/>
  <c r="V352"/>
  <c r="U352"/>
  <c r="T352"/>
  <c r="S352"/>
  <c r="AE351"/>
  <c r="AD351"/>
  <c r="AC351"/>
  <c r="AB351"/>
  <c r="AA351"/>
  <c r="Z351"/>
  <c r="Y351"/>
  <c r="X351"/>
  <c r="W351"/>
  <c r="V351"/>
  <c r="U351"/>
  <c r="T351"/>
  <c r="S351"/>
  <c r="AE350"/>
  <c r="AD350"/>
  <c r="AC350"/>
  <c r="AB350"/>
  <c r="AA350"/>
  <c r="Z350"/>
  <c r="Y350"/>
  <c r="X350"/>
  <c r="W350"/>
  <c r="V350"/>
  <c r="U350"/>
  <c r="T350"/>
  <c r="S350"/>
  <c r="AE349"/>
  <c r="AD349"/>
  <c r="AC349"/>
  <c r="AB349"/>
  <c r="AA349"/>
  <c r="Z349"/>
  <c r="Y349"/>
  <c r="X349"/>
  <c r="W349"/>
  <c r="V349"/>
  <c r="U349"/>
  <c r="T349"/>
  <c r="S349"/>
  <c r="AE348"/>
  <c r="AD348"/>
  <c r="AC348"/>
  <c r="AB348"/>
  <c r="AA348"/>
  <c r="Z348"/>
  <c r="Y348"/>
  <c r="X348"/>
  <c r="W348"/>
  <c r="V348"/>
  <c r="U348"/>
  <c r="T348"/>
  <c r="S348"/>
  <c r="AE347"/>
  <c r="AD347"/>
  <c r="AC347"/>
  <c r="AB347"/>
  <c r="AA347"/>
  <c r="Z347"/>
  <c r="Y347"/>
  <c r="X347"/>
  <c r="W347"/>
  <c r="V347"/>
  <c r="U347"/>
  <c r="T347"/>
  <c r="S347"/>
  <c r="AE346"/>
  <c r="AD346"/>
  <c r="AC346"/>
  <c r="AB346"/>
  <c r="AA346"/>
  <c r="Z346"/>
  <c r="Y346"/>
  <c r="X346"/>
  <c r="W346"/>
  <c r="V346"/>
  <c r="U346"/>
  <c r="T346"/>
  <c r="S346"/>
  <c r="AE345"/>
  <c r="AD345"/>
  <c r="AC345"/>
  <c r="AB345"/>
  <c r="AA345"/>
  <c r="Z345"/>
  <c r="Y345"/>
  <c r="X345"/>
  <c r="W345"/>
  <c r="V345"/>
  <c r="U345"/>
  <c r="T345"/>
  <c r="S345"/>
  <c r="AE344"/>
  <c r="AD344"/>
  <c r="AC344"/>
  <c r="AB344"/>
  <c r="AA344"/>
  <c r="Z344"/>
  <c r="Y344"/>
  <c r="X344"/>
  <c r="W344"/>
  <c r="V344"/>
  <c r="U344"/>
  <c r="T344"/>
  <c r="S344"/>
  <c r="AE343"/>
  <c r="AD343"/>
  <c r="AC343"/>
  <c r="AB343"/>
  <c r="AA343"/>
  <c r="Z343"/>
  <c r="Y343"/>
  <c r="X343"/>
  <c r="W343"/>
  <c r="V343"/>
  <c r="U343"/>
  <c r="T343"/>
  <c r="S343"/>
  <c r="AE342"/>
  <c r="AD342"/>
  <c r="AC342"/>
  <c r="AB342"/>
  <c r="AA342"/>
  <c r="Z342"/>
  <c r="Y342"/>
  <c r="X342"/>
  <c r="W342"/>
  <c r="V342"/>
  <c r="U342"/>
  <c r="T342"/>
  <c r="S342"/>
  <c r="AE341"/>
  <c r="AD341"/>
  <c r="AC341"/>
  <c r="AB341"/>
  <c r="AA341"/>
  <c r="Z341"/>
  <c r="Y341"/>
  <c r="X341"/>
  <c r="W341"/>
  <c r="V341"/>
  <c r="U341"/>
  <c r="T341"/>
  <c r="S341"/>
  <c r="AE340"/>
  <c r="AD340"/>
  <c r="AC340"/>
  <c r="AB340"/>
  <c r="AA340"/>
  <c r="Z340"/>
  <c r="Y340"/>
  <c r="X340"/>
  <c r="W340"/>
  <c r="V340"/>
  <c r="U340"/>
  <c r="T340"/>
  <c r="S340"/>
  <c r="AE339"/>
  <c r="AD339"/>
  <c r="AC339"/>
  <c r="AB339"/>
  <c r="AA339"/>
  <c r="Z339"/>
  <c r="Y339"/>
  <c r="X339"/>
  <c r="W339"/>
  <c r="V339"/>
  <c r="U339"/>
  <c r="T339"/>
  <c r="S339"/>
  <c r="AE338"/>
  <c r="AD338"/>
  <c r="AC338"/>
  <c r="AB338"/>
  <c r="AA338"/>
  <c r="Z338"/>
  <c r="Y338"/>
  <c r="X338"/>
  <c r="W338"/>
  <c r="V338"/>
  <c r="U338"/>
  <c r="T338"/>
  <c r="S338"/>
  <c r="AE337"/>
  <c r="AD337"/>
  <c r="AC337"/>
  <c r="AB337"/>
  <c r="AA337"/>
  <c r="Z337"/>
  <c r="Y337"/>
  <c r="X337"/>
  <c r="W337"/>
  <c r="V337"/>
  <c r="U337"/>
  <c r="T337"/>
  <c r="S337"/>
  <c r="AE336"/>
  <c r="AD336"/>
  <c r="AC336"/>
  <c r="AB336"/>
  <c r="AA336"/>
  <c r="Z336"/>
  <c r="Y336"/>
  <c r="X336"/>
  <c r="W336"/>
  <c r="V336"/>
  <c r="U336"/>
  <c r="T336"/>
  <c r="S336"/>
  <c r="AE335"/>
  <c r="AD335"/>
  <c r="AC335"/>
  <c r="AB335"/>
  <c r="AA335"/>
  <c r="Z335"/>
  <c r="Y335"/>
  <c r="X335"/>
  <c r="W335"/>
  <c r="V335"/>
  <c r="U335"/>
  <c r="T335"/>
  <c r="S335"/>
  <c r="AE334"/>
  <c r="AD334"/>
  <c r="AC334"/>
  <c r="AB334"/>
  <c r="AA334"/>
  <c r="Z334"/>
  <c r="Y334"/>
  <c r="X334"/>
  <c r="W334"/>
  <c r="V334"/>
  <c r="U334"/>
  <c r="T334"/>
  <c r="S334"/>
  <c r="AE333"/>
  <c r="AD333"/>
  <c r="AC333"/>
  <c r="AB333"/>
  <c r="AA333"/>
  <c r="Z333"/>
  <c r="Y333"/>
  <c r="X333"/>
  <c r="W333"/>
  <c r="V333"/>
  <c r="U333"/>
  <c r="T333"/>
  <c r="S333"/>
  <c r="AE332"/>
  <c r="AD332"/>
  <c r="AC332"/>
  <c r="AB332"/>
  <c r="AA332"/>
  <c r="Z332"/>
  <c r="Y332"/>
  <c r="X332"/>
  <c r="W332"/>
  <c r="V332"/>
  <c r="U332"/>
  <c r="T332"/>
  <c r="S332"/>
  <c r="AE331"/>
  <c r="AD331"/>
  <c r="AC331"/>
  <c r="AB331"/>
  <c r="AA331"/>
  <c r="Z331"/>
  <c r="Y331"/>
  <c r="X331"/>
  <c r="W331"/>
  <c r="V331"/>
  <c r="U331"/>
  <c r="T331"/>
  <c r="S331"/>
  <c r="AE330"/>
  <c r="AD330"/>
  <c r="AC330"/>
  <c r="AB330"/>
  <c r="AA330"/>
  <c r="Z330"/>
  <c r="Y330"/>
  <c r="X330"/>
  <c r="W330"/>
  <c r="V330"/>
  <c r="U330"/>
  <c r="T330"/>
  <c r="S330"/>
  <c r="AE329"/>
  <c r="AD329"/>
  <c r="AC329"/>
  <c r="AB329"/>
  <c r="AA329"/>
  <c r="Z329"/>
  <c r="Y329"/>
  <c r="X329"/>
  <c r="W329"/>
  <c r="V329"/>
  <c r="U329"/>
  <c r="T329"/>
  <c r="S329"/>
  <c r="AE328"/>
  <c r="AD328"/>
  <c r="AC328"/>
  <c r="AB328"/>
  <c r="AA328"/>
  <c r="Z328"/>
  <c r="Y328"/>
  <c r="X328"/>
  <c r="W328"/>
  <c r="V328"/>
  <c r="U328"/>
  <c r="T328"/>
  <c r="S328"/>
  <c r="AE327"/>
  <c r="AD327"/>
  <c r="AC327"/>
  <c r="AB327"/>
  <c r="AA327"/>
  <c r="Z327"/>
  <c r="Y327"/>
  <c r="X327"/>
  <c r="W327"/>
  <c r="V327"/>
  <c r="U327"/>
  <c r="T327"/>
  <c r="S327"/>
  <c r="AE326"/>
  <c r="AD326"/>
  <c r="AC326"/>
  <c r="AB326"/>
  <c r="AA326"/>
  <c r="Z326"/>
  <c r="Y326"/>
  <c r="X326"/>
  <c r="W326"/>
  <c r="V326"/>
  <c r="U326"/>
  <c r="T326"/>
  <c r="S326"/>
  <c r="AE325"/>
  <c r="AD325"/>
  <c r="AC325"/>
  <c r="AB325"/>
  <c r="AA325"/>
  <c r="Z325"/>
  <c r="Y325"/>
  <c r="X325"/>
  <c r="W325"/>
  <c r="V325"/>
  <c r="U325"/>
  <c r="T325"/>
  <c r="S325"/>
  <c r="AE324"/>
  <c r="AD324"/>
  <c r="AC324"/>
  <c r="AB324"/>
  <c r="AA324"/>
  <c r="Z324"/>
  <c r="Y324"/>
  <c r="X324"/>
  <c r="W324"/>
  <c r="V324"/>
  <c r="U324"/>
  <c r="T324"/>
  <c r="S324"/>
  <c r="AE323"/>
  <c r="AD323"/>
  <c r="AC323"/>
  <c r="AB323"/>
  <c r="AA323"/>
  <c r="Z323"/>
  <c r="Y323"/>
  <c r="X323"/>
  <c r="W323"/>
  <c r="V323"/>
  <c r="U323"/>
  <c r="T323"/>
  <c r="S323"/>
  <c r="AE322"/>
  <c r="AD322"/>
  <c r="AC322"/>
  <c r="AB322"/>
  <c r="AA322"/>
  <c r="Z322"/>
  <c r="Y322"/>
  <c r="X322"/>
  <c r="W322"/>
  <c r="V322"/>
  <c r="U322"/>
  <c r="T322"/>
  <c r="S322"/>
  <c r="AE321"/>
  <c r="AD321"/>
  <c r="AC321"/>
  <c r="AB321"/>
  <c r="AA321"/>
  <c r="Z321"/>
  <c r="Y321"/>
  <c r="X321"/>
  <c r="W321"/>
  <c r="V321"/>
  <c r="U321"/>
  <c r="T321"/>
  <c r="S321"/>
  <c r="AE320"/>
  <c r="AD320"/>
  <c r="AC320"/>
  <c r="AB320"/>
  <c r="AA320"/>
  <c r="Z320"/>
  <c r="Y320"/>
  <c r="X320"/>
  <c r="W320"/>
  <c r="V320"/>
  <c r="U320"/>
  <c r="T320"/>
  <c r="S320"/>
  <c r="AE319"/>
  <c r="AD319"/>
  <c r="AC319"/>
  <c r="AB319"/>
  <c r="AA319"/>
  <c r="Z319"/>
  <c r="Y319"/>
  <c r="X319"/>
  <c r="W319"/>
  <c r="V319"/>
  <c r="U319"/>
  <c r="T319"/>
  <c r="S319"/>
  <c r="AE318"/>
  <c r="AD318"/>
  <c r="AC318"/>
  <c r="AB318"/>
  <c r="AA318"/>
  <c r="Z318"/>
  <c r="Y318"/>
  <c r="X318"/>
  <c r="W318"/>
  <c r="V318"/>
  <c r="U318"/>
  <c r="T318"/>
  <c r="S318"/>
  <c r="AE317"/>
  <c r="AD317"/>
  <c r="AC317"/>
  <c r="AB317"/>
  <c r="AA317"/>
  <c r="Z317"/>
  <c r="Y317"/>
  <c r="X317"/>
  <c r="W317"/>
  <c r="V317"/>
  <c r="U317"/>
  <c r="T317"/>
  <c r="S317"/>
  <c r="AE316"/>
  <c r="AD316"/>
  <c r="AC316"/>
  <c r="AB316"/>
  <c r="AA316"/>
  <c r="Z316"/>
  <c r="Y316"/>
  <c r="X316"/>
  <c r="W316"/>
  <c r="V316"/>
  <c r="U316"/>
  <c r="T316"/>
  <c r="S316"/>
  <c r="AE315"/>
  <c r="AD315"/>
  <c r="AC315"/>
  <c r="AB315"/>
  <c r="AA315"/>
  <c r="Z315"/>
  <c r="Y315"/>
  <c r="X315"/>
  <c r="W315"/>
  <c r="V315"/>
  <c r="U315"/>
  <c r="T315"/>
  <c r="S315"/>
  <c r="AE314"/>
  <c r="AD314"/>
  <c r="AC314"/>
  <c r="AB314"/>
  <c r="AA314"/>
  <c r="Z314"/>
  <c r="Y314"/>
  <c r="X314"/>
  <c r="W314"/>
  <c r="V314"/>
  <c r="U314"/>
  <c r="T314"/>
  <c r="S314"/>
  <c r="AE313"/>
  <c r="AD313"/>
  <c r="AC313"/>
  <c r="AB313"/>
  <c r="AA313"/>
  <c r="Z313"/>
  <c r="Y313"/>
  <c r="X313"/>
  <c r="W313"/>
  <c r="V313"/>
  <c r="U313"/>
  <c r="T313"/>
  <c r="S313"/>
  <c r="AE312"/>
  <c r="AD312"/>
  <c r="AC312"/>
  <c r="AB312"/>
  <c r="AA312"/>
  <c r="Z312"/>
  <c r="Y312"/>
  <c r="X312"/>
  <c r="W312"/>
  <c r="V312"/>
  <c r="U312"/>
  <c r="T312"/>
  <c r="S312"/>
  <c r="AE311"/>
  <c r="AD311"/>
  <c r="AC311"/>
  <c r="AB311"/>
  <c r="AA311"/>
  <c r="Z311"/>
  <c r="Y311"/>
  <c r="X311"/>
  <c r="W311"/>
  <c r="V311"/>
  <c r="U311"/>
  <c r="T311"/>
  <c r="S311"/>
  <c r="AE310"/>
  <c r="AD310"/>
  <c r="AC310"/>
  <c r="AB310"/>
  <c r="AA310"/>
  <c r="Z310"/>
  <c r="Y310"/>
  <c r="X310"/>
  <c r="W310"/>
  <c r="V310"/>
  <c r="U310"/>
  <c r="T310"/>
  <c r="S310"/>
  <c r="AE309"/>
  <c r="AD309"/>
  <c r="AC309"/>
  <c r="AB309"/>
  <c r="AA309"/>
  <c r="Z309"/>
  <c r="Y309"/>
  <c r="X309"/>
  <c r="W309"/>
  <c r="V309"/>
  <c r="U309"/>
  <c r="T309"/>
  <c r="S309"/>
  <c r="AE308"/>
  <c r="AD308"/>
  <c r="AC308"/>
  <c r="AB308"/>
  <c r="AA308"/>
  <c r="Z308"/>
  <c r="Y308"/>
  <c r="X308"/>
  <c r="W308"/>
  <c r="V308"/>
  <c r="U308"/>
  <c r="T308"/>
  <c r="S308"/>
  <c r="AE307"/>
  <c r="AD307"/>
  <c r="AC307"/>
  <c r="AB307"/>
  <c r="AA307"/>
  <c r="Z307"/>
  <c r="Y307"/>
  <c r="X307"/>
  <c r="W307"/>
  <c r="V307"/>
  <c r="U307"/>
  <c r="T307"/>
  <c r="S307"/>
  <c r="AE306"/>
  <c r="AD306"/>
  <c r="AC306"/>
  <c r="AB306"/>
  <c r="AA306"/>
  <c r="Z306"/>
  <c r="Y306"/>
  <c r="X306"/>
  <c r="W306"/>
  <c r="V306"/>
  <c r="U306"/>
  <c r="T306"/>
  <c r="S306"/>
  <c r="AE305"/>
  <c r="AD305"/>
  <c r="AC305"/>
  <c r="AB305"/>
  <c r="AA305"/>
  <c r="Z305"/>
  <c r="Y305"/>
  <c r="X305"/>
  <c r="W305"/>
  <c r="V305"/>
  <c r="U305"/>
  <c r="T305"/>
  <c r="S305"/>
  <c r="AE304"/>
  <c r="AD304"/>
  <c r="AC304"/>
  <c r="AB304"/>
  <c r="AA304"/>
  <c r="Z304"/>
  <c r="Y304"/>
  <c r="X304"/>
  <c r="W304"/>
  <c r="V304"/>
  <c r="U304"/>
  <c r="T304"/>
  <c r="S304"/>
  <c r="AE303"/>
  <c r="AD303"/>
  <c r="AC303"/>
  <c r="AB303"/>
  <c r="AA303"/>
  <c r="Z303"/>
  <c r="Y303"/>
  <c r="X303"/>
  <c r="W303"/>
  <c r="V303"/>
  <c r="U303"/>
  <c r="T303"/>
  <c r="S303"/>
  <c r="AE302"/>
  <c r="AD302"/>
  <c r="AC302"/>
  <c r="AB302"/>
  <c r="AA302"/>
  <c r="Z302"/>
  <c r="Y302"/>
  <c r="X302"/>
  <c r="W302"/>
  <c r="V302"/>
  <c r="U302"/>
  <c r="T302"/>
  <c r="S302"/>
  <c r="AE301"/>
  <c r="AD301"/>
  <c r="AC301"/>
  <c r="AB301"/>
  <c r="AA301"/>
  <c r="Z301"/>
  <c r="Y301"/>
  <c r="X301"/>
  <c r="W301"/>
  <c r="V301"/>
  <c r="U301"/>
  <c r="T301"/>
  <c r="S301"/>
  <c r="AE300"/>
  <c r="AD300"/>
  <c r="AC300"/>
  <c r="AB300"/>
  <c r="AA300"/>
  <c r="Z300"/>
  <c r="Y300"/>
  <c r="X300"/>
  <c r="W300"/>
  <c r="V300"/>
  <c r="U300"/>
  <c r="T300"/>
  <c r="S300"/>
  <c r="AE299"/>
  <c r="AD299"/>
  <c r="AC299"/>
  <c r="AB299"/>
  <c r="AA299"/>
  <c r="Z299"/>
  <c r="Y299"/>
  <c r="X299"/>
  <c r="W299"/>
  <c r="V299"/>
  <c r="U299"/>
  <c r="T299"/>
  <c r="S299"/>
  <c r="AE298"/>
  <c r="AD298"/>
  <c r="AC298"/>
  <c r="AB298"/>
  <c r="AA298"/>
  <c r="Z298"/>
  <c r="Y298"/>
  <c r="X298"/>
  <c r="W298"/>
  <c r="V298"/>
  <c r="U298"/>
  <c r="T298"/>
  <c r="S298"/>
  <c r="AE297"/>
  <c r="AD297"/>
  <c r="AC297"/>
  <c r="AB297"/>
  <c r="AA297"/>
  <c r="Z297"/>
  <c r="Y297"/>
  <c r="X297"/>
  <c r="W297"/>
  <c r="V297"/>
  <c r="U297"/>
  <c r="T297"/>
  <c r="S297"/>
  <c r="AE296"/>
  <c r="AD296"/>
  <c r="AC296"/>
  <c r="AB296"/>
  <c r="AA296"/>
  <c r="Z296"/>
  <c r="Y296"/>
  <c r="X296"/>
  <c r="W296"/>
  <c r="V296"/>
  <c r="U296"/>
  <c r="T296"/>
  <c r="S296"/>
  <c r="AE295"/>
  <c r="AD295"/>
  <c r="AC295"/>
  <c r="AB295"/>
  <c r="AA295"/>
  <c r="Z295"/>
  <c r="Y295"/>
  <c r="X295"/>
  <c r="W295"/>
  <c r="V295"/>
  <c r="U295"/>
  <c r="T295"/>
  <c r="S295"/>
  <c r="AE294"/>
  <c r="AD294"/>
  <c r="AC294"/>
  <c r="AB294"/>
  <c r="AA294"/>
  <c r="Z294"/>
  <c r="Y294"/>
  <c r="X294"/>
  <c r="W294"/>
  <c r="V294"/>
  <c r="U294"/>
  <c r="T294"/>
  <c r="S294"/>
  <c r="AE293"/>
  <c r="AD293"/>
  <c r="AC293"/>
  <c r="AB293"/>
  <c r="AA293"/>
  <c r="Z293"/>
  <c r="Y293"/>
  <c r="X293"/>
  <c r="W293"/>
  <c r="V293"/>
  <c r="U293"/>
  <c r="T293"/>
  <c r="S293"/>
  <c r="AE292"/>
  <c r="AD292"/>
  <c r="AC292"/>
  <c r="AB292"/>
  <c r="AA292"/>
  <c r="Z292"/>
  <c r="Y292"/>
  <c r="X292"/>
  <c r="W292"/>
  <c r="V292"/>
  <c r="U292"/>
  <c r="T292"/>
  <c r="S292"/>
  <c r="AE291"/>
  <c r="AD291"/>
  <c r="AC291"/>
  <c r="AB291"/>
  <c r="AA291"/>
  <c r="Z291"/>
  <c r="Y291"/>
  <c r="X291"/>
  <c r="W291"/>
  <c r="V291"/>
  <c r="U291"/>
  <c r="T291"/>
  <c r="S291"/>
  <c r="AE290"/>
  <c r="AD290"/>
  <c r="AC290"/>
  <c r="AB290"/>
  <c r="AA290"/>
  <c r="Z290"/>
  <c r="Y290"/>
  <c r="X290"/>
  <c r="W290"/>
  <c r="V290"/>
  <c r="U290"/>
  <c r="T290"/>
  <c r="S290"/>
  <c r="AE289"/>
  <c r="AD289"/>
  <c r="AC289"/>
  <c r="AB289"/>
  <c r="AA289"/>
  <c r="Z289"/>
  <c r="Y289"/>
  <c r="X289"/>
  <c r="W289"/>
  <c r="V289"/>
  <c r="U289"/>
  <c r="T289"/>
  <c r="S289"/>
  <c r="AE288"/>
  <c r="AD288"/>
  <c r="AC288"/>
  <c r="AB288"/>
  <c r="AA288"/>
  <c r="Z288"/>
  <c r="Y288"/>
  <c r="X288"/>
  <c r="W288"/>
  <c r="V288"/>
  <c r="U288"/>
  <c r="T288"/>
  <c r="S288"/>
  <c r="AE287"/>
  <c r="AD287"/>
  <c r="AC287"/>
  <c r="AB287"/>
  <c r="AA287"/>
  <c r="Z287"/>
  <c r="Y287"/>
  <c r="X287"/>
  <c r="W287"/>
  <c r="V287"/>
  <c r="U287"/>
  <c r="T287"/>
  <c r="S287"/>
  <c r="AE286"/>
  <c r="AD286"/>
  <c r="AC286"/>
  <c r="AB286"/>
  <c r="AA286"/>
  <c r="Z286"/>
  <c r="Y286"/>
  <c r="X286"/>
  <c r="W286"/>
  <c r="V286"/>
  <c r="U286"/>
  <c r="T286"/>
  <c r="S286"/>
  <c r="AE285"/>
  <c r="AD285"/>
  <c r="AC285"/>
  <c r="AB285"/>
  <c r="AA285"/>
  <c r="Z285"/>
  <c r="Y285"/>
  <c r="X285"/>
  <c r="W285"/>
  <c r="V285"/>
  <c r="U285"/>
  <c r="T285"/>
  <c r="S285"/>
  <c r="AE284"/>
  <c r="AD284"/>
  <c r="AC284"/>
  <c r="AB284"/>
  <c r="AA284"/>
  <c r="Z284"/>
  <c r="Y284"/>
  <c r="X284"/>
  <c r="W284"/>
  <c r="V284"/>
  <c r="U284"/>
  <c r="T284"/>
  <c r="S284"/>
  <c r="AE283"/>
  <c r="AD283"/>
  <c r="AC283"/>
  <c r="AB283"/>
  <c r="AA283"/>
  <c r="Z283"/>
  <c r="Y283"/>
  <c r="X283"/>
  <c r="W283"/>
  <c r="V283"/>
  <c r="U283"/>
  <c r="T283"/>
  <c r="S283"/>
  <c r="AE282"/>
  <c r="AD282"/>
  <c r="AC282"/>
  <c r="AB282"/>
  <c r="AA282"/>
  <c r="Z282"/>
  <c r="Y282"/>
  <c r="X282"/>
  <c r="W282"/>
  <c r="V282"/>
  <c r="U282"/>
  <c r="T282"/>
  <c r="S282"/>
  <c r="AE281"/>
  <c r="AD281"/>
  <c r="AC281"/>
  <c r="AB281"/>
  <c r="AA281"/>
  <c r="Z281"/>
  <c r="Y281"/>
  <c r="X281"/>
  <c r="W281"/>
  <c r="V281"/>
  <c r="U281"/>
  <c r="T281"/>
  <c r="S281"/>
  <c r="AE280"/>
  <c r="AD280"/>
  <c r="AC280"/>
  <c r="AB280"/>
  <c r="AA280"/>
  <c r="Z280"/>
  <c r="Y280"/>
  <c r="X280"/>
  <c r="W280"/>
  <c r="V280"/>
  <c r="U280"/>
  <c r="T280"/>
  <c r="S280"/>
  <c r="AE279"/>
  <c r="AD279"/>
  <c r="AC279"/>
  <c r="AB279"/>
  <c r="AA279"/>
  <c r="Z279"/>
  <c r="Y279"/>
  <c r="X279"/>
  <c r="W279"/>
  <c r="V279"/>
  <c r="U279"/>
  <c r="T279"/>
  <c r="S279"/>
  <c r="AE278"/>
  <c r="AD278"/>
  <c r="AC278"/>
  <c r="AB278"/>
  <c r="AA278"/>
  <c r="Z278"/>
  <c r="Y278"/>
  <c r="X278"/>
  <c r="W278"/>
  <c r="V278"/>
  <c r="U278"/>
  <c r="T278"/>
  <c r="S278"/>
  <c r="AE277"/>
  <c r="AD277"/>
  <c r="AC277"/>
  <c r="AB277"/>
  <c r="AA277"/>
  <c r="Z277"/>
  <c r="Y277"/>
  <c r="X277"/>
  <c r="W277"/>
  <c r="V277"/>
  <c r="U277"/>
  <c r="T277"/>
  <c r="S277"/>
  <c r="AE276"/>
  <c r="AD276"/>
  <c r="AC276"/>
  <c r="AB276"/>
  <c r="AA276"/>
  <c r="Z276"/>
  <c r="Y276"/>
  <c r="X276"/>
  <c r="W276"/>
  <c r="V276"/>
  <c r="U276"/>
  <c r="T276"/>
  <c r="S276"/>
  <c r="AE275"/>
  <c r="AD275"/>
  <c r="AC275"/>
  <c r="AB275"/>
  <c r="AA275"/>
  <c r="Z275"/>
  <c r="Y275"/>
  <c r="X275"/>
  <c r="W275"/>
  <c r="V275"/>
  <c r="U275"/>
  <c r="T275"/>
  <c r="S275"/>
  <c r="AE274"/>
  <c r="AD274"/>
  <c r="AC274"/>
  <c r="AB274"/>
  <c r="AA274"/>
  <c r="Z274"/>
  <c r="Y274"/>
  <c r="X274"/>
  <c r="W274"/>
  <c r="V274"/>
  <c r="U274"/>
  <c r="T274"/>
  <c r="S274"/>
  <c r="AE273"/>
  <c r="AD273"/>
  <c r="AC273"/>
  <c r="AB273"/>
  <c r="AA273"/>
  <c r="Z273"/>
  <c r="Y273"/>
  <c r="X273"/>
  <c r="W273"/>
  <c r="V273"/>
  <c r="U273"/>
  <c r="T273"/>
  <c r="S273"/>
  <c r="AE272"/>
  <c r="AD272"/>
  <c r="AC272"/>
  <c r="AB272"/>
  <c r="AA272"/>
  <c r="Z272"/>
  <c r="Y272"/>
  <c r="X272"/>
  <c r="W272"/>
  <c r="V272"/>
  <c r="U272"/>
  <c r="T272"/>
  <c r="S272"/>
  <c r="AE271"/>
  <c r="AD271"/>
  <c r="AC271"/>
  <c r="AB271"/>
  <c r="AA271"/>
  <c r="Z271"/>
  <c r="Y271"/>
  <c r="X271"/>
  <c r="W271"/>
  <c r="V271"/>
  <c r="U271"/>
  <c r="T271"/>
  <c r="S271"/>
  <c r="AE270"/>
  <c r="AD270"/>
  <c r="AC270"/>
  <c r="AB270"/>
  <c r="AA270"/>
  <c r="Z270"/>
  <c r="Y270"/>
  <c r="X270"/>
  <c r="W270"/>
  <c r="V270"/>
  <c r="U270"/>
  <c r="T270"/>
  <c r="S270"/>
  <c r="AE269"/>
  <c r="AD269"/>
  <c r="AC269"/>
  <c r="AB269"/>
  <c r="AA269"/>
  <c r="Z269"/>
  <c r="Y269"/>
  <c r="X269"/>
  <c r="W269"/>
  <c r="V269"/>
  <c r="U269"/>
  <c r="T269"/>
  <c r="S269"/>
  <c r="AE268"/>
  <c r="AD268"/>
  <c r="AC268"/>
  <c r="AB268"/>
  <c r="AA268"/>
  <c r="Z268"/>
  <c r="Y268"/>
  <c r="X268"/>
  <c r="W268"/>
  <c r="V268"/>
  <c r="U268"/>
  <c r="T268"/>
  <c r="S268"/>
  <c r="AE267"/>
  <c r="AD267"/>
  <c r="AC267"/>
  <c r="AB267"/>
  <c r="AA267"/>
  <c r="Z267"/>
  <c r="Y267"/>
  <c r="X267"/>
  <c r="W267"/>
  <c r="V267"/>
  <c r="U267"/>
  <c r="T267"/>
  <c r="S267"/>
  <c r="AE266"/>
  <c r="AD266"/>
  <c r="AC266"/>
  <c r="AB266"/>
  <c r="AA266"/>
  <c r="Z266"/>
  <c r="Y266"/>
  <c r="X266"/>
  <c r="W266"/>
  <c r="V266"/>
  <c r="U266"/>
  <c r="T266"/>
  <c r="S266"/>
  <c r="AE265"/>
  <c r="AD265"/>
  <c r="AC265"/>
  <c r="AB265"/>
  <c r="AA265"/>
  <c r="Z265"/>
  <c r="Y265"/>
  <c r="X265"/>
  <c r="W265"/>
  <c r="V265"/>
  <c r="U265"/>
  <c r="T265"/>
  <c r="S265"/>
  <c r="AE264"/>
  <c r="AD264"/>
  <c r="AC264"/>
  <c r="AB264"/>
  <c r="AA264"/>
  <c r="Z264"/>
  <c r="Y264"/>
  <c r="X264"/>
  <c r="W264"/>
  <c r="V264"/>
  <c r="U264"/>
  <c r="T264"/>
  <c r="S264"/>
  <c r="AE263"/>
  <c r="AD263"/>
  <c r="AC263"/>
  <c r="AB263"/>
  <c r="AA263"/>
  <c r="Z263"/>
  <c r="Y263"/>
  <c r="X263"/>
  <c r="W263"/>
  <c r="V263"/>
  <c r="U263"/>
  <c r="T263"/>
  <c r="S263"/>
  <c r="AE262"/>
  <c r="AD262"/>
  <c r="AC262"/>
  <c r="AB262"/>
  <c r="AA262"/>
  <c r="Z262"/>
  <c r="Y262"/>
  <c r="X262"/>
  <c r="W262"/>
  <c r="V262"/>
  <c r="U262"/>
  <c r="T262"/>
  <c r="S262"/>
  <c r="AE261"/>
  <c r="AD261"/>
  <c r="AC261"/>
  <c r="AB261"/>
  <c r="AA261"/>
  <c r="Z261"/>
  <c r="Y261"/>
  <c r="X261"/>
  <c r="W261"/>
  <c r="V261"/>
  <c r="U261"/>
  <c r="T261"/>
  <c r="S261"/>
  <c r="AE260"/>
  <c r="AD260"/>
  <c r="AC260"/>
  <c r="AB260"/>
  <c r="AA260"/>
  <c r="Z260"/>
  <c r="Y260"/>
  <c r="X260"/>
  <c r="W260"/>
  <c r="V260"/>
  <c r="U260"/>
  <c r="T260"/>
  <c r="S260"/>
  <c r="AE259"/>
  <c r="AD259"/>
  <c r="AC259"/>
  <c r="AB259"/>
  <c r="AA259"/>
  <c r="Z259"/>
  <c r="Y259"/>
  <c r="X259"/>
  <c r="W259"/>
  <c r="V259"/>
  <c r="U259"/>
  <c r="T259"/>
  <c r="S259"/>
  <c r="AE258"/>
  <c r="AD258"/>
  <c r="AC258"/>
  <c r="AB258"/>
  <c r="AA258"/>
  <c r="Z258"/>
  <c r="Y258"/>
  <c r="X258"/>
  <c r="W258"/>
  <c r="V258"/>
  <c r="U258"/>
  <c r="T258"/>
  <c r="S258"/>
  <c r="AE257"/>
  <c r="AD257"/>
  <c r="AC257"/>
  <c r="AB257"/>
  <c r="AA257"/>
  <c r="Z257"/>
  <c r="Y257"/>
  <c r="X257"/>
  <c r="W257"/>
  <c r="V257"/>
  <c r="U257"/>
  <c r="T257"/>
  <c r="S257"/>
  <c r="AE256"/>
  <c r="AD256"/>
  <c r="AC256"/>
  <c r="AB256"/>
  <c r="AA256"/>
  <c r="Z256"/>
  <c r="Y256"/>
  <c r="X256"/>
  <c r="W256"/>
  <c r="V256"/>
  <c r="U256"/>
  <c r="T256"/>
  <c r="S256"/>
  <c r="AE255"/>
  <c r="AD255"/>
  <c r="AC255"/>
  <c r="AB255"/>
  <c r="AA255"/>
  <c r="Z255"/>
  <c r="Y255"/>
  <c r="X255"/>
  <c r="W255"/>
  <c r="V255"/>
  <c r="U255"/>
  <c r="T255"/>
  <c r="S255"/>
  <c r="AE254"/>
  <c r="AD254"/>
  <c r="AC254"/>
  <c r="AB254"/>
  <c r="AA254"/>
  <c r="Z254"/>
  <c r="Y254"/>
  <c r="X254"/>
  <c r="W254"/>
  <c r="V254"/>
  <c r="U254"/>
  <c r="T254"/>
  <c r="S254"/>
  <c r="AE253"/>
  <c r="AD253"/>
  <c r="AC253"/>
  <c r="AB253"/>
  <c r="AA253"/>
  <c r="Z253"/>
  <c r="Y253"/>
  <c r="X253"/>
  <c r="W253"/>
  <c r="V253"/>
  <c r="U253"/>
  <c r="T253"/>
  <c r="S253"/>
  <c r="AE252"/>
  <c r="AD252"/>
  <c r="AC252"/>
  <c r="AB252"/>
  <c r="AA252"/>
  <c r="Z252"/>
  <c r="Y252"/>
  <c r="X252"/>
  <c r="W252"/>
  <c r="V252"/>
  <c r="U252"/>
  <c r="T252"/>
  <c r="S252"/>
  <c r="AE251"/>
  <c r="AD251"/>
  <c r="AC251"/>
  <c r="AB251"/>
  <c r="AA251"/>
  <c r="Z251"/>
  <c r="Y251"/>
  <c r="X251"/>
  <c r="W251"/>
  <c r="V251"/>
  <c r="U251"/>
  <c r="T251"/>
  <c r="S251"/>
  <c r="AE250"/>
  <c r="AD250"/>
  <c r="AC250"/>
  <c r="AB250"/>
  <c r="AA250"/>
  <c r="Z250"/>
  <c r="Y250"/>
  <c r="X250"/>
  <c r="W250"/>
  <c r="V250"/>
  <c r="U250"/>
  <c r="T250"/>
  <c r="S250"/>
  <c r="AE249"/>
  <c r="AD249"/>
  <c r="AC249"/>
  <c r="AB249"/>
  <c r="AA249"/>
  <c r="Z249"/>
  <c r="Y249"/>
  <c r="X249"/>
  <c r="W249"/>
  <c r="V249"/>
  <c r="U249"/>
  <c r="T249"/>
  <c r="S249"/>
  <c r="AE248"/>
  <c r="AD248"/>
  <c r="AC248"/>
  <c r="AB248"/>
  <c r="AA248"/>
  <c r="Z248"/>
  <c r="Y248"/>
  <c r="X248"/>
  <c r="W248"/>
  <c r="V248"/>
  <c r="U248"/>
  <c r="T248"/>
  <c r="S248"/>
  <c r="AE247"/>
  <c r="AD247"/>
  <c r="AC247"/>
  <c r="AB247"/>
  <c r="AA247"/>
  <c r="Z247"/>
  <c r="Y247"/>
  <c r="X247"/>
  <c r="W247"/>
  <c r="V247"/>
  <c r="U247"/>
  <c r="T247"/>
  <c r="S247"/>
  <c r="AE246"/>
  <c r="AD246"/>
  <c r="AC246"/>
  <c r="AB246"/>
  <c r="AA246"/>
  <c r="Z246"/>
  <c r="Y246"/>
  <c r="X246"/>
  <c r="W246"/>
  <c r="V246"/>
  <c r="U246"/>
  <c r="T246"/>
  <c r="S246"/>
  <c r="AE245"/>
  <c r="AD245"/>
  <c r="AC245"/>
  <c r="AB245"/>
  <c r="AA245"/>
  <c r="Z245"/>
  <c r="Y245"/>
  <c r="X245"/>
  <c r="W245"/>
  <c r="V245"/>
  <c r="U245"/>
  <c r="T245"/>
  <c r="S245"/>
  <c r="AE244"/>
  <c r="AD244"/>
  <c r="AC244"/>
  <c r="AB244"/>
  <c r="AA244"/>
  <c r="Z244"/>
  <c r="Y244"/>
  <c r="X244"/>
  <c r="W244"/>
  <c r="V244"/>
  <c r="U244"/>
  <c r="T244"/>
  <c r="S244"/>
  <c r="AE243"/>
  <c r="AD243"/>
  <c r="AC243"/>
  <c r="AB243"/>
  <c r="AA243"/>
  <c r="Z243"/>
  <c r="Y243"/>
  <c r="X243"/>
  <c r="W243"/>
  <c r="V243"/>
  <c r="U243"/>
  <c r="T243"/>
  <c r="S243"/>
  <c r="AE242"/>
  <c r="AD242"/>
  <c r="AC242"/>
  <c r="AB242"/>
  <c r="AA242"/>
  <c r="Z242"/>
  <c r="Y242"/>
  <c r="X242"/>
  <c r="W242"/>
  <c r="V242"/>
  <c r="U242"/>
  <c r="T242"/>
  <c r="S242"/>
  <c r="AE241"/>
  <c r="AD241"/>
  <c r="AC241"/>
  <c r="AB241"/>
  <c r="AA241"/>
  <c r="Z241"/>
  <c r="Y241"/>
  <c r="X241"/>
  <c r="W241"/>
  <c r="V241"/>
  <c r="U241"/>
  <c r="T241"/>
  <c r="S241"/>
  <c r="AE240"/>
  <c r="AD240"/>
  <c r="AC240"/>
  <c r="AB240"/>
  <c r="AA240"/>
  <c r="Z240"/>
  <c r="Y240"/>
  <c r="X240"/>
  <c r="W240"/>
  <c r="V240"/>
  <c r="U240"/>
  <c r="T240"/>
  <c r="S240"/>
  <c r="AE239"/>
  <c r="AD239"/>
  <c r="AC239"/>
  <c r="AB239"/>
  <c r="AA239"/>
  <c r="Z239"/>
  <c r="Y239"/>
  <c r="X239"/>
  <c r="W239"/>
  <c r="V239"/>
  <c r="U239"/>
  <c r="T239"/>
  <c r="S239"/>
  <c r="AE238"/>
  <c r="AD238"/>
  <c r="AC238"/>
  <c r="AB238"/>
  <c r="AA238"/>
  <c r="Z238"/>
  <c r="Y238"/>
  <c r="X238"/>
  <c r="W238"/>
  <c r="V238"/>
  <c r="U238"/>
  <c r="T238"/>
  <c r="S238"/>
  <c r="AE237"/>
  <c r="AD237"/>
  <c r="AC237"/>
  <c r="AB237"/>
  <c r="AA237"/>
  <c r="Z237"/>
  <c r="Y237"/>
  <c r="X237"/>
  <c r="W237"/>
  <c r="V237"/>
  <c r="U237"/>
  <c r="T237"/>
  <c r="S237"/>
  <c r="AE236"/>
  <c r="AD236"/>
  <c r="AC236"/>
  <c r="AB236"/>
  <c r="AA236"/>
  <c r="Z236"/>
  <c r="Y236"/>
  <c r="X236"/>
  <c r="W236"/>
  <c r="V236"/>
  <c r="U236"/>
  <c r="T236"/>
  <c r="S236"/>
  <c r="AE235"/>
  <c r="AD235"/>
  <c r="AC235"/>
  <c r="AB235"/>
  <c r="AA235"/>
  <c r="Z235"/>
  <c r="Y235"/>
  <c r="X235"/>
  <c r="W235"/>
  <c r="V235"/>
  <c r="U235"/>
  <c r="T235"/>
  <c r="S235"/>
  <c r="AE234"/>
  <c r="AD234"/>
  <c r="AC234"/>
  <c r="AB234"/>
  <c r="AA234"/>
  <c r="Z234"/>
  <c r="Y234"/>
  <c r="X234"/>
  <c r="W234"/>
  <c r="V234"/>
  <c r="U234"/>
  <c r="T234"/>
  <c r="S234"/>
  <c r="AE233"/>
  <c r="AD233"/>
  <c r="AC233"/>
  <c r="AB233"/>
  <c r="AA233"/>
  <c r="Z233"/>
  <c r="Y233"/>
  <c r="X233"/>
  <c r="W233"/>
  <c r="V233"/>
  <c r="U233"/>
  <c r="T233"/>
  <c r="S233"/>
  <c r="AE232"/>
  <c r="AD232"/>
  <c r="AC232"/>
  <c r="AB232"/>
  <c r="AA232"/>
  <c r="Z232"/>
  <c r="Y232"/>
  <c r="X232"/>
  <c r="W232"/>
  <c r="V232"/>
  <c r="U232"/>
  <c r="T232"/>
  <c r="S232"/>
  <c r="AE231"/>
  <c r="AD231"/>
  <c r="AC231"/>
  <c r="AB231"/>
  <c r="AA231"/>
  <c r="Z231"/>
  <c r="Y231"/>
  <c r="X231"/>
  <c r="W231"/>
  <c r="V231"/>
  <c r="U231"/>
  <c r="T231"/>
  <c r="S231"/>
  <c r="AE230"/>
  <c r="AD230"/>
  <c r="AC230"/>
  <c r="AB230"/>
  <c r="AA230"/>
  <c r="Z230"/>
  <c r="Y230"/>
  <c r="X230"/>
  <c r="W230"/>
  <c r="V230"/>
  <c r="U230"/>
  <c r="T230"/>
  <c r="S230"/>
  <c r="AE229"/>
  <c r="AD229"/>
  <c r="AC229"/>
  <c r="AB229"/>
  <c r="AA229"/>
  <c r="Z229"/>
  <c r="Y229"/>
  <c r="X229"/>
  <c r="W229"/>
  <c r="V229"/>
  <c r="U229"/>
  <c r="T229"/>
  <c r="S229"/>
  <c r="AE228"/>
  <c r="AD228"/>
  <c r="AC228"/>
  <c r="AB228"/>
  <c r="AA228"/>
  <c r="Z228"/>
  <c r="Y228"/>
  <c r="X228"/>
  <c r="W228"/>
  <c r="V228"/>
  <c r="U228"/>
  <c r="T228"/>
  <c r="S228"/>
  <c r="AE227"/>
  <c r="AD227"/>
  <c r="AC227"/>
  <c r="AB227"/>
  <c r="AA227"/>
  <c r="Z227"/>
  <c r="Y227"/>
  <c r="X227"/>
  <c r="W227"/>
  <c r="V227"/>
  <c r="U227"/>
  <c r="T227"/>
  <c r="S227"/>
  <c r="AE226"/>
  <c r="AD226"/>
  <c r="AC226"/>
  <c r="AB226"/>
  <c r="AA226"/>
  <c r="Z226"/>
  <c r="Y226"/>
  <c r="X226"/>
  <c r="W226"/>
  <c r="V226"/>
  <c r="U226"/>
  <c r="T226"/>
  <c r="S226"/>
  <c r="AE225"/>
  <c r="AD225"/>
  <c r="AC225"/>
  <c r="AB225"/>
  <c r="AA225"/>
  <c r="Z225"/>
  <c r="Y225"/>
  <c r="X225"/>
  <c r="W225"/>
  <c r="V225"/>
  <c r="U225"/>
  <c r="T225"/>
  <c r="S225"/>
  <c r="AE224"/>
  <c r="AD224"/>
  <c r="AC224"/>
  <c r="AB224"/>
  <c r="AA224"/>
  <c r="Z224"/>
  <c r="Y224"/>
  <c r="X224"/>
  <c r="W224"/>
  <c r="V224"/>
  <c r="U224"/>
  <c r="T224"/>
  <c r="S224"/>
  <c r="AE223"/>
  <c r="AD223"/>
  <c r="AC223"/>
  <c r="AB223"/>
  <c r="AA223"/>
  <c r="Z223"/>
  <c r="Y223"/>
  <c r="X223"/>
  <c r="W223"/>
  <c r="V223"/>
  <c r="U223"/>
  <c r="T223"/>
  <c r="S223"/>
  <c r="AE222"/>
  <c r="AD222"/>
  <c r="AC222"/>
  <c r="AB222"/>
  <c r="AA222"/>
  <c r="Z222"/>
  <c r="Y222"/>
  <c r="X222"/>
  <c r="W222"/>
  <c r="V222"/>
  <c r="U222"/>
  <c r="T222"/>
  <c r="S222"/>
  <c r="AE221"/>
  <c r="AD221"/>
  <c r="AC221"/>
  <c r="AB221"/>
  <c r="AA221"/>
  <c r="Z221"/>
  <c r="Y221"/>
  <c r="X221"/>
  <c r="W221"/>
  <c r="V221"/>
  <c r="U221"/>
  <c r="T221"/>
  <c r="S221"/>
  <c r="AE220"/>
  <c r="AD220"/>
  <c r="AC220"/>
  <c r="AB220"/>
  <c r="AA220"/>
  <c r="Z220"/>
  <c r="Y220"/>
  <c r="X220"/>
  <c r="W220"/>
  <c r="V220"/>
  <c r="U220"/>
  <c r="T220"/>
  <c r="S220"/>
  <c r="AE219"/>
  <c r="AD219"/>
  <c r="AC219"/>
  <c r="AB219"/>
  <c r="AA219"/>
  <c r="Z219"/>
  <c r="Y219"/>
  <c r="X219"/>
  <c r="W219"/>
  <c r="V219"/>
  <c r="U219"/>
  <c r="T219"/>
  <c r="S219"/>
  <c r="AE218"/>
  <c r="AD218"/>
  <c r="AC218"/>
  <c r="AB218"/>
  <c r="AA218"/>
  <c r="Z218"/>
  <c r="Y218"/>
  <c r="X218"/>
  <c r="W218"/>
  <c r="V218"/>
  <c r="U218"/>
  <c r="T218"/>
  <c r="S218"/>
  <c r="AE217"/>
  <c r="AD217"/>
  <c r="AC217"/>
  <c r="AB217"/>
  <c r="AA217"/>
  <c r="Z217"/>
  <c r="Y217"/>
  <c r="X217"/>
  <c r="W217"/>
  <c r="V217"/>
  <c r="U217"/>
  <c r="T217"/>
  <c r="S217"/>
  <c r="AE216"/>
  <c r="AD216"/>
  <c r="AC216"/>
  <c r="AB216"/>
  <c r="AA216"/>
  <c r="Z216"/>
  <c r="Y216"/>
  <c r="X216"/>
  <c r="W216"/>
  <c r="V216"/>
  <c r="U216"/>
  <c r="T216"/>
  <c r="S216"/>
  <c r="AE215"/>
  <c r="AD215"/>
  <c r="AC215"/>
  <c r="AB215"/>
  <c r="AA215"/>
  <c r="Z215"/>
  <c r="Y215"/>
  <c r="X215"/>
  <c r="W215"/>
  <c r="V215"/>
  <c r="U215"/>
  <c r="T215"/>
  <c r="S215"/>
  <c r="AE214"/>
  <c r="AD214"/>
  <c r="AC214"/>
  <c r="AB214"/>
  <c r="AA214"/>
  <c r="Z214"/>
  <c r="Y214"/>
  <c r="X214"/>
  <c r="W214"/>
  <c r="V214"/>
  <c r="U214"/>
  <c r="T214"/>
  <c r="S214"/>
  <c r="AE213"/>
  <c r="AD213"/>
  <c r="AC213"/>
  <c r="AB213"/>
  <c r="AA213"/>
  <c r="Z213"/>
  <c r="Y213"/>
  <c r="X213"/>
  <c r="W213"/>
  <c r="V213"/>
  <c r="U213"/>
  <c r="T213"/>
  <c r="S213"/>
  <c r="AE212"/>
  <c r="AD212"/>
  <c r="AC212"/>
  <c r="AB212"/>
  <c r="AA212"/>
  <c r="Z212"/>
  <c r="Y212"/>
  <c r="X212"/>
  <c r="W212"/>
  <c r="V212"/>
  <c r="U212"/>
  <c r="T212"/>
  <c r="S212"/>
  <c r="AE211"/>
  <c r="AD211"/>
  <c r="AC211"/>
  <c r="AB211"/>
  <c r="AA211"/>
  <c r="Z211"/>
  <c r="Y211"/>
  <c r="X211"/>
  <c r="W211"/>
  <c r="V211"/>
  <c r="U211"/>
  <c r="T211"/>
  <c r="S211"/>
  <c r="AE210"/>
  <c r="AD210"/>
  <c r="AC210"/>
  <c r="AB210"/>
  <c r="AA210"/>
  <c r="Z210"/>
  <c r="Y210"/>
  <c r="X210"/>
  <c r="W210"/>
  <c r="V210"/>
  <c r="U210"/>
  <c r="T210"/>
  <c r="S210"/>
  <c r="AE209"/>
  <c r="AD209"/>
  <c r="AC209"/>
  <c r="AB209"/>
  <c r="AA209"/>
  <c r="Z209"/>
  <c r="Y209"/>
  <c r="X209"/>
  <c r="W209"/>
  <c r="V209"/>
  <c r="U209"/>
  <c r="T209"/>
  <c r="S209"/>
  <c r="AE208"/>
  <c r="AD208"/>
  <c r="AC208"/>
  <c r="AB208"/>
  <c r="AA208"/>
  <c r="Z208"/>
  <c r="Y208"/>
  <c r="X208"/>
  <c r="W208"/>
  <c r="V208"/>
  <c r="U208"/>
  <c r="T208"/>
  <c r="S208"/>
  <c r="AE207"/>
  <c r="AD207"/>
  <c r="AC207"/>
  <c r="AB207"/>
  <c r="AA207"/>
  <c r="Z207"/>
  <c r="Y207"/>
  <c r="X207"/>
  <c r="W207"/>
  <c r="V207"/>
  <c r="U207"/>
  <c r="T207"/>
  <c r="S207"/>
  <c r="AE206"/>
  <c r="AD206"/>
  <c r="AC206"/>
  <c r="AB206"/>
  <c r="AA206"/>
  <c r="Z206"/>
  <c r="Y206"/>
  <c r="X206"/>
  <c r="W206"/>
  <c r="V206"/>
  <c r="U206"/>
  <c r="T206"/>
  <c r="S206"/>
  <c r="AE205"/>
  <c r="AD205"/>
  <c r="AC205"/>
  <c r="AB205"/>
  <c r="AA205"/>
  <c r="Z205"/>
  <c r="Y205"/>
  <c r="X205"/>
  <c r="W205"/>
  <c r="V205"/>
  <c r="U205"/>
  <c r="T205"/>
  <c r="S205"/>
  <c r="AE204"/>
  <c r="AD204"/>
  <c r="AC204"/>
  <c r="AB204"/>
  <c r="AA204"/>
  <c r="Z204"/>
  <c r="Y204"/>
  <c r="X204"/>
  <c r="W204"/>
  <c r="V204"/>
  <c r="U204"/>
  <c r="T204"/>
  <c r="S204"/>
  <c r="AE203"/>
  <c r="AD203"/>
  <c r="AC203"/>
  <c r="AB203"/>
  <c r="AA203"/>
  <c r="Z203"/>
  <c r="Y203"/>
  <c r="X203"/>
  <c r="W203"/>
  <c r="V203"/>
  <c r="U203"/>
  <c r="T203"/>
  <c r="S203"/>
  <c r="AE202"/>
  <c r="AD202"/>
  <c r="AC202"/>
  <c r="AB202"/>
  <c r="AA202"/>
  <c r="Z202"/>
  <c r="Y202"/>
  <c r="X202"/>
  <c r="W202"/>
  <c r="V202"/>
  <c r="U202"/>
  <c r="T202"/>
  <c r="S202"/>
  <c r="AE201"/>
  <c r="AD201"/>
  <c r="AC201"/>
  <c r="AB201"/>
  <c r="AA201"/>
  <c r="Z201"/>
  <c r="Y201"/>
  <c r="X201"/>
  <c r="W201"/>
  <c r="V201"/>
  <c r="U201"/>
  <c r="T201"/>
  <c r="S201"/>
  <c r="AE200"/>
  <c r="AD200"/>
  <c r="AC200"/>
  <c r="AB200"/>
  <c r="AA200"/>
  <c r="Z200"/>
  <c r="Y200"/>
  <c r="X200"/>
  <c r="W200"/>
  <c r="V200"/>
  <c r="U200"/>
  <c r="T200"/>
  <c r="S200"/>
  <c r="AE199"/>
  <c r="AD199"/>
  <c r="AC199"/>
  <c r="AB199"/>
  <c r="AA199"/>
  <c r="Z199"/>
  <c r="Y199"/>
  <c r="X199"/>
  <c r="W199"/>
  <c r="V199"/>
  <c r="U199"/>
  <c r="T199"/>
  <c r="S199"/>
  <c r="AE198"/>
  <c r="AD198"/>
  <c r="AC198"/>
  <c r="AB198"/>
  <c r="AA198"/>
  <c r="Z198"/>
  <c r="Y198"/>
  <c r="X198"/>
  <c r="W198"/>
  <c r="V198"/>
  <c r="U198"/>
  <c r="T198"/>
  <c r="S198"/>
  <c r="AE197"/>
  <c r="AD197"/>
  <c r="AC197"/>
  <c r="AB197"/>
  <c r="AA197"/>
  <c r="Z197"/>
  <c r="Y197"/>
  <c r="X197"/>
  <c r="W197"/>
  <c r="V197"/>
  <c r="U197"/>
  <c r="T197"/>
  <c r="S197"/>
  <c r="AE196"/>
  <c r="AD196"/>
  <c r="AC196"/>
  <c r="AB196"/>
  <c r="AA196"/>
  <c r="Z196"/>
  <c r="Y196"/>
  <c r="X196"/>
  <c r="W196"/>
  <c r="V196"/>
  <c r="U196"/>
  <c r="T196"/>
  <c r="S196"/>
  <c r="AE195"/>
  <c r="AD195"/>
  <c r="AC195"/>
  <c r="AB195"/>
  <c r="AA195"/>
  <c r="Z195"/>
  <c r="Y195"/>
  <c r="X195"/>
  <c r="W195"/>
  <c r="V195"/>
  <c r="U195"/>
  <c r="T195"/>
  <c r="S195"/>
  <c r="AE194"/>
  <c r="AD194"/>
  <c r="AC194"/>
  <c r="AB194"/>
  <c r="AA194"/>
  <c r="Z194"/>
  <c r="Y194"/>
  <c r="X194"/>
  <c r="W194"/>
  <c r="V194"/>
  <c r="U194"/>
  <c r="T194"/>
  <c r="S194"/>
  <c r="AE193"/>
  <c r="AD193"/>
  <c r="AC193"/>
  <c r="AB193"/>
  <c r="AA193"/>
  <c r="Z193"/>
  <c r="Y193"/>
  <c r="X193"/>
  <c r="W193"/>
  <c r="V193"/>
  <c r="U193"/>
  <c r="T193"/>
  <c r="S193"/>
  <c r="AE192"/>
  <c r="AD192"/>
  <c r="AC192"/>
  <c r="AB192"/>
  <c r="AA192"/>
  <c r="Z192"/>
  <c r="Y192"/>
  <c r="X192"/>
  <c r="W192"/>
  <c r="V192"/>
  <c r="U192"/>
  <c r="T192"/>
  <c r="S192"/>
  <c r="AE191"/>
  <c r="AD191"/>
  <c r="AC191"/>
  <c r="AB191"/>
  <c r="AA191"/>
  <c r="Z191"/>
  <c r="Y191"/>
  <c r="X191"/>
  <c r="W191"/>
  <c r="V191"/>
  <c r="U191"/>
  <c r="T191"/>
  <c r="S191"/>
  <c r="AE190"/>
  <c r="AD190"/>
  <c r="AC190"/>
  <c r="AB190"/>
  <c r="AA190"/>
  <c r="Z190"/>
  <c r="Y190"/>
  <c r="X190"/>
  <c r="W190"/>
  <c r="V190"/>
  <c r="U190"/>
  <c r="T190"/>
  <c r="S190"/>
  <c r="AE189"/>
  <c r="AD189"/>
  <c r="AC189"/>
  <c r="AB189"/>
  <c r="AA189"/>
  <c r="Z189"/>
  <c r="Y189"/>
  <c r="X189"/>
  <c r="W189"/>
  <c r="V189"/>
  <c r="U189"/>
  <c r="T189"/>
  <c r="S189"/>
  <c r="AE188"/>
  <c r="AD188"/>
  <c r="AC188"/>
  <c r="AB188"/>
  <c r="AA188"/>
  <c r="Z188"/>
  <c r="Y188"/>
  <c r="X188"/>
  <c r="W188"/>
  <c r="V188"/>
  <c r="U188"/>
  <c r="T188"/>
  <c r="S188"/>
  <c r="AE187"/>
  <c r="AD187"/>
  <c r="AC187"/>
  <c r="AB187"/>
  <c r="AA187"/>
  <c r="Z187"/>
  <c r="Y187"/>
  <c r="X187"/>
  <c r="W187"/>
  <c r="V187"/>
  <c r="U187"/>
  <c r="T187"/>
  <c r="S187"/>
  <c r="AE186"/>
  <c r="AD186"/>
  <c r="AC186"/>
  <c r="AB186"/>
  <c r="AA186"/>
  <c r="Z186"/>
  <c r="Y186"/>
  <c r="X186"/>
  <c r="W186"/>
  <c r="V186"/>
  <c r="U186"/>
  <c r="T186"/>
  <c r="S186"/>
  <c r="AE185"/>
  <c r="AD185"/>
  <c r="AC185"/>
  <c r="AB185"/>
  <c r="AA185"/>
  <c r="Z185"/>
  <c r="Y185"/>
  <c r="X185"/>
  <c r="W185"/>
  <c r="V185"/>
  <c r="U185"/>
  <c r="T185"/>
  <c r="S185"/>
  <c r="AE184"/>
  <c r="AD184"/>
  <c r="AC184"/>
  <c r="AB184"/>
  <c r="AA184"/>
  <c r="Z184"/>
  <c r="Y184"/>
  <c r="X184"/>
  <c r="W184"/>
  <c r="V184"/>
  <c r="U184"/>
  <c r="T184"/>
  <c r="S184"/>
  <c r="AE183"/>
  <c r="AD183"/>
  <c r="AC183"/>
  <c r="AB183"/>
  <c r="AA183"/>
  <c r="Z183"/>
  <c r="Y183"/>
  <c r="X183"/>
  <c r="W183"/>
  <c r="V183"/>
  <c r="U183"/>
  <c r="T183"/>
  <c r="S183"/>
  <c r="AE182"/>
  <c r="AD182"/>
  <c r="AC182"/>
  <c r="AB182"/>
  <c r="AA182"/>
  <c r="Z182"/>
  <c r="Y182"/>
  <c r="X182"/>
  <c r="W182"/>
  <c r="V182"/>
  <c r="U182"/>
  <c r="T182"/>
  <c r="S182"/>
  <c r="AE181"/>
  <c r="AD181"/>
  <c r="AC181"/>
  <c r="AB181"/>
  <c r="AA181"/>
  <c r="Z181"/>
  <c r="Y181"/>
  <c r="X181"/>
  <c r="W181"/>
  <c r="V181"/>
  <c r="U181"/>
  <c r="T181"/>
  <c r="S181"/>
  <c r="AE180"/>
  <c r="AD180"/>
  <c r="AC180"/>
  <c r="AB180"/>
  <c r="AA180"/>
  <c r="Z180"/>
  <c r="Y180"/>
  <c r="X180"/>
  <c r="W180"/>
  <c r="V180"/>
  <c r="U180"/>
  <c r="T180"/>
  <c r="S180"/>
  <c r="AE179"/>
  <c r="AD179"/>
  <c r="AC179"/>
  <c r="AB179"/>
  <c r="AA179"/>
  <c r="Z179"/>
  <c r="Y179"/>
  <c r="X179"/>
  <c r="W179"/>
  <c r="V179"/>
  <c r="U179"/>
  <c r="T179"/>
  <c r="S179"/>
  <c r="AE178"/>
  <c r="AD178"/>
  <c r="AC178"/>
  <c r="AB178"/>
  <c r="AA178"/>
  <c r="Z178"/>
  <c r="Y178"/>
  <c r="X178"/>
  <c r="W178"/>
  <c r="V178"/>
  <c r="U178"/>
  <c r="T178"/>
  <c r="S178"/>
  <c r="AE177"/>
  <c r="AD177"/>
  <c r="AC177"/>
  <c r="AB177"/>
  <c r="AA177"/>
  <c r="Z177"/>
  <c r="Y177"/>
  <c r="X177"/>
  <c r="W177"/>
  <c r="V177"/>
  <c r="U177"/>
  <c r="T177"/>
  <c r="S177"/>
  <c r="AE176"/>
  <c r="AD176"/>
  <c r="AC176"/>
  <c r="AB176"/>
  <c r="AA176"/>
  <c r="Z176"/>
  <c r="Y176"/>
  <c r="X176"/>
  <c r="W176"/>
  <c r="V176"/>
  <c r="U176"/>
  <c r="T176"/>
  <c r="S176"/>
  <c r="AE175"/>
  <c r="AD175"/>
  <c r="AC175"/>
  <c r="AB175"/>
  <c r="AA175"/>
  <c r="Z175"/>
  <c r="Y175"/>
  <c r="X175"/>
  <c r="W175"/>
  <c r="V175"/>
  <c r="U175"/>
  <c r="T175"/>
  <c r="S175"/>
  <c r="AE174"/>
  <c r="AD174"/>
  <c r="AC174"/>
  <c r="AB174"/>
  <c r="AA174"/>
  <c r="Z174"/>
  <c r="Y174"/>
  <c r="X174"/>
  <c r="W174"/>
  <c r="V174"/>
  <c r="U174"/>
  <c r="T174"/>
  <c r="S174"/>
  <c r="AE173"/>
  <c r="AD173"/>
  <c r="AC173"/>
  <c r="AB173"/>
  <c r="AA173"/>
  <c r="Z173"/>
  <c r="Y173"/>
  <c r="X173"/>
  <c r="W173"/>
  <c r="V173"/>
  <c r="U173"/>
  <c r="T173"/>
  <c r="S173"/>
  <c r="AE172"/>
  <c r="AD172"/>
  <c r="AC172"/>
  <c r="AB172"/>
  <c r="AA172"/>
  <c r="Z172"/>
  <c r="Y172"/>
  <c r="X172"/>
  <c r="W172"/>
  <c r="V172"/>
  <c r="U172"/>
  <c r="T172"/>
  <c r="S172"/>
  <c r="AE171"/>
  <c r="AD171"/>
  <c r="AC171"/>
  <c r="AB171"/>
  <c r="AA171"/>
  <c r="Z171"/>
  <c r="Y171"/>
  <c r="X171"/>
  <c r="W171"/>
  <c r="V171"/>
  <c r="U171"/>
  <c r="T171"/>
  <c r="S171"/>
  <c r="AE170"/>
  <c r="AD170"/>
  <c r="AC170"/>
  <c r="AB170"/>
  <c r="AA170"/>
  <c r="Z170"/>
  <c r="Y170"/>
  <c r="X170"/>
  <c r="W170"/>
  <c r="V170"/>
  <c r="U170"/>
  <c r="T170"/>
  <c r="S170"/>
  <c r="AE169"/>
  <c r="AD169"/>
  <c r="AC169"/>
  <c r="AB169"/>
  <c r="AA169"/>
  <c r="Z169"/>
  <c r="Y169"/>
  <c r="X169"/>
  <c r="W169"/>
  <c r="V169"/>
  <c r="U169"/>
  <c r="T169"/>
  <c r="S169"/>
  <c r="AE168"/>
  <c r="AD168"/>
  <c r="AC168"/>
  <c r="AB168"/>
  <c r="AA168"/>
  <c r="Z168"/>
  <c r="Y168"/>
  <c r="X168"/>
  <c r="W168"/>
  <c r="V168"/>
  <c r="U168"/>
  <c r="T168"/>
  <c r="S168"/>
  <c r="AE167"/>
  <c r="AD167"/>
  <c r="AC167"/>
  <c r="AB167"/>
  <c r="AA167"/>
  <c r="Z167"/>
  <c r="Y167"/>
  <c r="X167"/>
  <c r="W167"/>
  <c r="V167"/>
  <c r="U167"/>
  <c r="T167"/>
  <c r="S167"/>
  <c r="AE166"/>
  <c r="AD166"/>
  <c r="AC166"/>
  <c r="AB166"/>
  <c r="AA166"/>
  <c r="Z166"/>
  <c r="Y166"/>
  <c r="X166"/>
  <c r="W166"/>
  <c r="V166"/>
  <c r="U166"/>
  <c r="T166"/>
  <c r="S166"/>
  <c r="AE165"/>
  <c r="AD165"/>
  <c r="AC165"/>
  <c r="AB165"/>
  <c r="AA165"/>
  <c r="Z165"/>
  <c r="Y165"/>
  <c r="X165"/>
  <c r="W165"/>
  <c r="V165"/>
  <c r="U165"/>
  <c r="T165"/>
  <c r="S165"/>
  <c r="AE164"/>
  <c r="AD164"/>
  <c r="AC164"/>
  <c r="AB164"/>
  <c r="AA164"/>
  <c r="Z164"/>
  <c r="Y164"/>
  <c r="X164"/>
  <c r="W164"/>
  <c r="V164"/>
  <c r="U164"/>
  <c r="T164"/>
  <c r="S164"/>
  <c r="AE163"/>
  <c r="AD163"/>
  <c r="AC163"/>
  <c r="AB163"/>
  <c r="AA163"/>
  <c r="Z163"/>
  <c r="Y163"/>
  <c r="X163"/>
  <c r="W163"/>
  <c r="V163"/>
  <c r="U163"/>
  <c r="T163"/>
  <c r="S163"/>
  <c r="AE162"/>
  <c r="AD162"/>
  <c r="AC162"/>
  <c r="AB162"/>
  <c r="AA162"/>
  <c r="Z162"/>
  <c r="Y162"/>
  <c r="X162"/>
  <c r="W162"/>
  <c r="V162"/>
  <c r="U162"/>
  <c r="T162"/>
  <c r="S162"/>
  <c r="AE161"/>
  <c r="AD161"/>
  <c r="AC161"/>
  <c r="AB161"/>
  <c r="AA161"/>
  <c r="Z161"/>
  <c r="Y161"/>
  <c r="X161"/>
  <c r="W161"/>
  <c r="V161"/>
  <c r="U161"/>
  <c r="T161"/>
  <c r="S161"/>
  <c r="AE160"/>
  <c r="AD160"/>
  <c r="AC160"/>
  <c r="AB160"/>
  <c r="AA160"/>
  <c r="Z160"/>
  <c r="Y160"/>
  <c r="X160"/>
  <c r="W160"/>
  <c r="V160"/>
  <c r="U160"/>
  <c r="T160"/>
  <c r="S160"/>
  <c r="AE159"/>
  <c r="AD159"/>
  <c r="AC159"/>
  <c r="AB159"/>
  <c r="AA159"/>
  <c r="Z159"/>
  <c r="Y159"/>
  <c r="X159"/>
  <c r="W159"/>
  <c r="V159"/>
  <c r="U159"/>
  <c r="T159"/>
  <c r="S159"/>
  <c r="AE158"/>
  <c r="AD158"/>
  <c r="AC158"/>
  <c r="AB158"/>
  <c r="AA158"/>
  <c r="Z158"/>
  <c r="Y158"/>
  <c r="X158"/>
  <c r="W158"/>
  <c r="V158"/>
  <c r="U158"/>
  <c r="T158"/>
  <c r="S158"/>
  <c r="AE157"/>
  <c r="AD157"/>
  <c r="AC157"/>
  <c r="AB157"/>
  <c r="AA157"/>
  <c r="Z157"/>
  <c r="Y157"/>
  <c r="X157"/>
  <c r="W157"/>
  <c r="V157"/>
  <c r="U157"/>
  <c r="T157"/>
  <c r="S157"/>
  <c r="AE156"/>
  <c r="AD156"/>
  <c r="AC156"/>
  <c r="AB156"/>
  <c r="AA156"/>
  <c r="Z156"/>
  <c r="Y156"/>
  <c r="X156"/>
  <c r="W156"/>
  <c r="V156"/>
  <c r="U156"/>
  <c r="T156"/>
  <c r="S156"/>
  <c r="AE155"/>
  <c r="AD155"/>
  <c r="AC155"/>
  <c r="AB155"/>
  <c r="AA155"/>
  <c r="Z155"/>
  <c r="Y155"/>
  <c r="X155"/>
  <c r="W155"/>
  <c r="V155"/>
  <c r="U155"/>
  <c r="T155"/>
  <c r="S155"/>
  <c r="AE154"/>
  <c r="AD154"/>
  <c r="AC154"/>
  <c r="AB154"/>
  <c r="AA154"/>
  <c r="Z154"/>
  <c r="Y154"/>
  <c r="X154"/>
  <c r="W154"/>
  <c r="V154"/>
  <c r="U154"/>
  <c r="T154"/>
  <c r="S154"/>
  <c r="AE153"/>
  <c r="AD153"/>
  <c r="AC153"/>
  <c r="AB153"/>
  <c r="AA153"/>
  <c r="Z153"/>
  <c r="Y153"/>
  <c r="X153"/>
  <c r="W153"/>
  <c r="V153"/>
  <c r="U153"/>
  <c r="T153"/>
  <c r="S153"/>
  <c r="AE152"/>
  <c r="AD152"/>
  <c r="AC152"/>
  <c r="AB152"/>
  <c r="AA152"/>
  <c r="Z152"/>
  <c r="Y152"/>
  <c r="X152"/>
  <c r="W152"/>
  <c r="V152"/>
  <c r="U152"/>
  <c r="T152"/>
  <c r="S152"/>
  <c r="AE151"/>
  <c r="AD151"/>
  <c r="AC151"/>
  <c r="AB151"/>
  <c r="AA151"/>
  <c r="Z151"/>
  <c r="Y151"/>
  <c r="X151"/>
  <c r="W151"/>
  <c r="V151"/>
  <c r="U151"/>
  <c r="T151"/>
  <c r="S151"/>
  <c r="AE150"/>
  <c r="AD150"/>
  <c r="AC150"/>
  <c r="AB150"/>
  <c r="AA150"/>
  <c r="Z150"/>
  <c r="Y150"/>
  <c r="X150"/>
  <c r="W150"/>
  <c r="V150"/>
  <c r="U150"/>
  <c r="T150"/>
  <c r="S150"/>
  <c r="AE149"/>
  <c r="AD149"/>
  <c r="AC149"/>
  <c r="AB149"/>
  <c r="AA149"/>
  <c r="Z149"/>
  <c r="Y149"/>
  <c r="X149"/>
  <c r="W149"/>
  <c r="V149"/>
  <c r="U149"/>
  <c r="T149"/>
  <c r="S149"/>
  <c r="AE148"/>
  <c r="AD148"/>
  <c r="AC148"/>
  <c r="AB148"/>
  <c r="AA148"/>
  <c r="Z148"/>
  <c r="Y148"/>
  <c r="X148"/>
  <c r="W148"/>
  <c r="V148"/>
  <c r="U148"/>
  <c r="T148"/>
  <c r="S148"/>
  <c r="AE147"/>
  <c r="AD147"/>
  <c r="AC147"/>
  <c r="AB147"/>
  <c r="AA147"/>
  <c r="Z147"/>
  <c r="Y147"/>
  <c r="X147"/>
  <c r="W147"/>
  <c r="V147"/>
  <c r="U147"/>
  <c r="T147"/>
  <c r="S147"/>
  <c r="AE146"/>
  <c r="AD146"/>
  <c r="AC146"/>
  <c r="AB146"/>
  <c r="AA146"/>
  <c r="Z146"/>
  <c r="Y146"/>
  <c r="X146"/>
  <c r="W146"/>
  <c r="V146"/>
  <c r="U146"/>
  <c r="T146"/>
  <c r="S146"/>
  <c r="AE145"/>
  <c r="AD145"/>
  <c r="AC145"/>
  <c r="AB145"/>
  <c r="AA145"/>
  <c r="Z145"/>
  <c r="Y145"/>
  <c r="X145"/>
  <c r="W145"/>
  <c r="V145"/>
  <c r="U145"/>
  <c r="T145"/>
  <c r="S145"/>
  <c r="AE144"/>
  <c r="AD144"/>
  <c r="AC144"/>
  <c r="AB144"/>
  <c r="AA144"/>
  <c r="Z144"/>
  <c r="Y144"/>
  <c r="X144"/>
  <c r="W144"/>
  <c r="V144"/>
  <c r="U144"/>
  <c r="T144"/>
  <c r="S144"/>
  <c r="AE143"/>
  <c r="AD143"/>
  <c r="AC143"/>
  <c r="AB143"/>
  <c r="AA143"/>
  <c r="Z143"/>
  <c r="Y143"/>
  <c r="X143"/>
  <c r="W143"/>
  <c r="V143"/>
  <c r="U143"/>
  <c r="T143"/>
  <c r="S143"/>
  <c r="AE142"/>
  <c r="AD142"/>
  <c r="AC142"/>
  <c r="AB142"/>
  <c r="AA142"/>
  <c r="Z142"/>
  <c r="Y142"/>
  <c r="X142"/>
  <c r="W142"/>
  <c r="V142"/>
  <c r="U142"/>
  <c r="T142"/>
  <c r="S142"/>
  <c r="AE141"/>
  <c r="AD141"/>
  <c r="AC141"/>
  <c r="AB141"/>
  <c r="AA141"/>
  <c r="Z141"/>
  <c r="Y141"/>
  <c r="X141"/>
  <c r="W141"/>
  <c r="V141"/>
  <c r="U141"/>
  <c r="T141"/>
  <c r="S141"/>
  <c r="AE140"/>
  <c r="AD140"/>
  <c r="AC140"/>
  <c r="AB140"/>
  <c r="AA140"/>
  <c r="Z140"/>
  <c r="Y140"/>
  <c r="X140"/>
  <c r="W140"/>
  <c r="V140"/>
  <c r="U140"/>
  <c r="T140"/>
  <c r="S140"/>
  <c r="AE139"/>
  <c r="AD139"/>
  <c r="AC139"/>
  <c r="AB139"/>
  <c r="AA139"/>
  <c r="Z139"/>
  <c r="Y139"/>
  <c r="X139"/>
  <c r="W139"/>
  <c r="V139"/>
  <c r="U139"/>
  <c r="T139"/>
  <c r="S139"/>
  <c r="AE138"/>
  <c r="AD138"/>
  <c r="AC138"/>
  <c r="AB138"/>
  <c r="AA138"/>
  <c r="Z138"/>
  <c r="Y138"/>
  <c r="X138"/>
  <c r="W138"/>
  <c r="V138"/>
  <c r="U138"/>
  <c r="T138"/>
  <c r="S138"/>
  <c r="AE137"/>
  <c r="AD137"/>
  <c r="AC137"/>
  <c r="AB137"/>
  <c r="AA137"/>
  <c r="Z137"/>
  <c r="Y137"/>
  <c r="X137"/>
  <c r="W137"/>
  <c r="V137"/>
  <c r="U137"/>
  <c r="T137"/>
  <c r="S137"/>
  <c r="AE136"/>
  <c r="AD136"/>
  <c r="AC136"/>
  <c r="AB136"/>
  <c r="AA136"/>
  <c r="Z136"/>
  <c r="Y136"/>
  <c r="X136"/>
  <c r="W136"/>
  <c r="V136"/>
  <c r="U136"/>
  <c r="T136"/>
  <c r="S136"/>
  <c r="AE135"/>
  <c r="AD135"/>
  <c r="AC135"/>
  <c r="AB135"/>
  <c r="AA135"/>
  <c r="Z135"/>
  <c r="Y135"/>
  <c r="X135"/>
  <c r="W135"/>
  <c r="V135"/>
  <c r="U135"/>
  <c r="T135"/>
  <c r="S135"/>
  <c r="AE134"/>
  <c r="AD134"/>
  <c r="AC134"/>
  <c r="AB134"/>
  <c r="AA134"/>
  <c r="Z134"/>
  <c r="Y134"/>
  <c r="X134"/>
  <c r="W134"/>
  <c r="V134"/>
  <c r="U134"/>
  <c r="T134"/>
  <c r="S134"/>
  <c r="AE133"/>
  <c r="AD133"/>
  <c r="AC133"/>
  <c r="AB133"/>
  <c r="AA133"/>
  <c r="Z133"/>
  <c r="Y133"/>
  <c r="X133"/>
  <c r="W133"/>
  <c r="V133"/>
  <c r="U133"/>
  <c r="T133"/>
  <c r="S133"/>
  <c r="AE132"/>
  <c r="AD132"/>
  <c r="AC132"/>
  <c r="AB132"/>
  <c r="AA132"/>
  <c r="Z132"/>
  <c r="Y132"/>
  <c r="X132"/>
  <c r="W132"/>
  <c r="V132"/>
  <c r="U132"/>
  <c r="T132"/>
  <c r="S132"/>
  <c r="AE131"/>
  <c r="AD131"/>
  <c r="AC131"/>
  <c r="AB131"/>
  <c r="AA131"/>
  <c r="Z131"/>
  <c r="Y131"/>
  <c r="X131"/>
  <c r="W131"/>
  <c r="V131"/>
  <c r="U131"/>
  <c r="T131"/>
  <c r="S131"/>
  <c r="AE130"/>
  <c r="AD130"/>
  <c r="AC130"/>
  <c r="AB130"/>
  <c r="AA130"/>
  <c r="Z130"/>
  <c r="Y130"/>
  <c r="X130"/>
  <c r="W130"/>
  <c r="V130"/>
  <c r="U130"/>
  <c r="T130"/>
  <c r="S130"/>
  <c r="AE129"/>
  <c r="AD129"/>
  <c r="AC129"/>
  <c r="AB129"/>
  <c r="AA129"/>
  <c r="Z129"/>
  <c r="Y129"/>
  <c r="X129"/>
  <c r="W129"/>
  <c r="V129"/>
  <c r="U129"/>
  <c r="T129"/>
  <c r="S129"/>
  <c r="AE128"/>
  <c r="AD128"/>
  <c r="AC128"/>
  <c r="AB128"/>
  <c r="AA128"/>
  <c r="Z128"/>
  <c r="Y128"/>
  <c r="X128"/>
  <c r="W128"/>
  <c r="V128"/>
  <c r="U128"/>
  <c r="T128"/>
  <c r="S128"/>
  <c r="AE127"/>
  <c r="AD127"/>
  <c r="AC127"/>
  <c r="AB127"/>
  <c r="AA127"/>
  <c r="Z127"/>
  <c r="Y127"/>
  <c r="X127"/>
  <c r="W127"/>
  <c r="V127"/>
  <c r="U127"/>
  <c r="T127"/>
  <c r="S127"/>
  <c r="AE126"/>
  <c r="AD126"/>
  <c r="AC126"/>
  <c r="AB126"/>
  <c r="AA126"/>
  <c r="Z126"/>
  <c r="Y126"/>
  <c r="X126"/>
  <c r="W126"/>
  <c r="V126"/>
  <c r="U126"/>
  <c r="T126"/>
  <c r="S126"/>
  <c r="AE125"/>
  <c r="AD125"/>
  <c r="AC125"/>
  <c r="AB125"/>
  <c r="AA125"/>
  <c r="Z125"/>
  <c r="Y125"/>
  <c r="X125"/>
  <c r="W125"/>
  <c r="V125"/>
  <c r="U125"/>
  <c r="T125"/>
  <c r="S125"/>
  <c r="AE124"/>
  <c r="AD124"/>
  <c r="AC124"/>
  <c r="AB124"/>
  <c r="AA124"/>
  <c r="Z124"/>
  <c r="Y124"/>
  <c r="X124"/>
  <c r="W124"/>
  <c r="V124"/>
  <c r="U124"/>
  <c r="T124"/>
  <c r="S124"/>
  <c r="AE123"/>
  <c r="AD123"/>
  <c r="AC123"/>
  <c r="AB123"/>
  <c r="AA123"/>
  <c r="Z123"/>
  <c r="Y123"/>
  <c r="X123"/>
  <c r="W123"/>
  <c r="V123"/>
  <c r="U123"/>
  <c r="T123"/>
  <c r="S123"/>
  <c r="AE122"/>
  <c r="AD122"/>
  <c r="AC122"/>
  <c r="AB122"/>
  <c r="AA122"/>
  <c r="Z122"/>
  <c r="Y122"/>
  <c r="X122"/>
  <c r="W122"/>
  <c r="V122"/>
  <c r="U122"/>
  <c r="T122"/>
  <c r="S122"/>
  <c r="AE121"/>
  <c r="AD121"/>
  <c r="AC121"/>
  <c r="AB121"/>
  <c r="AA121"/>
  <c r="Z121"/>
  <c r="Y121"/>
  <c r="X121"/>
  <c r="W121"/>
  <c r="V121"/>
  <c r="U121"/>
  <c r="T121"/>
  <c r="S121"/>
  <c r="AE120"/>
  <c r="AD120"/>
  <c r="AC120"/>
  <c r="AB120"/>
  <c r="AA120"/>
  <c r="Z120"/>
  <c r="Y120"/>
  <c r="X120"/>
  <c r="W120"/>
  <c r="V120"/>
  <c r="U120"/>
  <c r="T120"/>
  <c r="S120"/>
  <c r="AE119"/>
  <c r="AD119"/>
  <c r="AC119"/>
  <c r="AB119"/>
  <c r="AA119"/>
  <c r="Z119"/>
  <c r="Y119"/>
  <c r="X119"/>
  <c r="W119"/>
  <c r="V119"/>
  <c r="U119"/>
  <c r="T119"/>
  <c r="S119"/>
  <c r="AE118"/>
  <c r="AD118"/>
  <c r="AC118"/>
  <c r="AB118"/>
  <c r="AA118"/>
  <c r="Z118"/>
  <c r="Y118"/>
  <c r="X118"/>
  <c r="W118"/>
  <c r="V118"/>
  <c r="U118"/>
  <c r="T118"/>
  <c r="S118"/>
  <c r="AE117"/>
  <c r="AD117"/>
  <c r="AC117"/>
  <c r="AB117"/>
  <c r="AA117"/>
  <c r="Z117"/>
  <c r="Y117"/>
  <c r="X117"/>
  <c r="W117"/>
  <c r="V117"/>
  <c r="U117"/>
  <c r="T117"/>
  <c r="S117"/>
  <c r="AE116"/>
  <c r="AD116"/>
  <c r="AC116"/>
  <c r="AB116"/>
  <c r="AA116"/>
  <c r="Z116"/>
  <c r="Y116"/>
  <c r="X116"/>
  <c r="W116"/>
  <c r="V116"/>
  <c r="U116"/>
  <c r="T116"/>
  <c r="S116"/>
  <c r="AE115"/>
  <c r="AD115"/>
  <c r="AC115"/>
  <c r="AB115"/>
  <c r="AA115"/>
  <c r="Z115"/>
  <c r="Y115"/>
  <c r="X115"/>
  <c r="W115"/>
  <c r="V115"/>
  <c r="U115"/>
  <c r="T115"/>
  <c r="S115"/>
  <c r="AE114"/>
  <c r="AD114"/>
  <c r="AC114"/>
  <c r="AB114"/>
  <c r="AA114"/>
  <c r="Z114"/>
  <c r="Y114"/>
  <c r="X114"/>
  <c r="W114"/>
  <c r="V114"/>
  <c r="U114"/>
  <c r="T114"/>
  <c r="S114"/>
  <c r="AE113"/>
  <c r="AD113"/>
  <c r="AC113"/>
  <c r="AB113"/>
  <c r="AA113"/>
  <c r="Z113"/>
  <c r="Y113"/>
  <c r="X113"/>
  <c r="W113"/>
  <c r="V113"/>
  <c r="U113"/>
  <c r="T113"/>
  <c r="S113"/>
  <c r="AE112"/>
  <c r="AD112"/>
  <c r="AC112"/>
  <c r="AB112"/>
  <c r="AA112"/>
  <c r="Z112"/>
  <c r="Y112"/>
  <c r="X112"/>
  <c r="W112"/>
  <c r="V112"/>
  <c r="U112"/>
  <c r="T112"/>
  <c r="S112"/>
  <c r="AE111"/>
  <c r="AD111"/>
  <c r="AC111"/>
  <c r="AB111"/>
  <c r="AA111"/>
  <c r="Z111"/>
  <c r="Y111"/>
  <c r="X111"/>
  <c r="W111"/>
  <c r="V111"/>
  <c r="U111"/>
  <c r="T111"/>
  <c r="S111"/>
  <c r="AE110"/>
  <c r="AD110"/>
  <c r="AC110"/>
  <c r="AB110"/>
  <c r="AA110"/>
  <c r="Z110"/>
  <c r="Y110"/>
  <c r="X110"/>
  <c r="W110"/>
  <c r="V110"/>
  <c r="U110"/>
  <c r="T110"/>
  <c r="S110"/>
  <c r="AE109"/>
  <c r="AD109"/>
  <c r="AC109"/>
  <c r="AB109"/>
  <c r="AA109"/>
  <c r="Z109"/>
  <c r="Y109"/>
  <c r="X109"/>
  <c r="W109"/>
  <c r="V109"/>
  <c r="U109"/>
  <c r="T109"/>
  <c r="S109"/>
  <c r="AE108"/>
  <c r="AD108"/>
  <c r="AC108"/>
  <c r="AB108"/>
  <c r="AA108"/>
  <c r="Z108"/>
  <c r="Y108"/>
  <c r="X108"/>
  <c r="W108"/>
  <c r="V108"/>
  <c r="U108"/>
  <c r="T108"/>
  <c r="S108"/>
  <c r="AE107"/>
  <c r="AD107"/>
  <c r="AC107"/>
  <c r="AB107"/>
  <c r="AA107"/>
  <c r="Z107"/>
  <c r="Y107"/>
  <c r="X107"/>
  <c r="W107"/>
  <c r="V107"/>
  <c r="U107"/>
  <c r="T107"/>
  <c r="S107"/>
  <c r="AE106"/>
  <c r="AD106"/>
  <c r="AC106"/>
  <c r="AB106"/>
  <c r="AA106"/>
  <c r="Z106"/>
  <c r="Y106"/>
  <c r="X106"/>
  <c r="W106"/>
  <c r="V106"/>
  <c r="U106"/>
  <c r="T106"/>
  <c r="S106"/>
  <c r="AE105"/>
  <c r="AD105"/>
  <c r="AC105"/>
  <c r="AB105"/>
  <c r="AA105"/>
  <c r="Z105"/>
  <c r="Y105"/>
  <c r="X105"/>
  <c r="W105"/>
  <c r="V105"/>
  <c r="U105"/>
  <c r="T105"/>
  <c r="S105"/>
  <c r="AE104"/>
  <c r="AD104"/>
  <c r="AC104"/>
  <c r="AB104"/>
  <c r="AA104"/>
  <c r="Z104"/>
  <c r="Y104"/>
  <c r="X104"/>
  <c r="W104"/>
  <c r="V104"/>
  <c r="U104"/>
  <c r="T104"/>
  <c r="S104"/>
  <c r="AE103"/>
  <c r="AD103"/>
  <c r="AC103"/>
  <c r="AB103"/>
  <c r="AA103"/>
  <c r="Z103"/>
  <c r="Y103"/>
  <c r="X103"/>
  <c r="W103"/>
  <c r="V103"/>
  <c r="U103"/>
  <c r="T103"/>
  <c r="S103"/>
  <c r="AE102"/>
  <c r="AD102"/>
  <c r="AC102"/>
  <c r="AB102"/>
  <c r="AA102"/>
  <c r="Z102"/>
  <c r="Y102"/>
  <c r="X102"/>
  <c r="W102"/>
  <c r="V102"/>
  <c r="U102"/>
  <c r="T102"/>
  <c r="S102"/>
  <c r="AE101"/>
  <c r="AD101"/>
  <c r="AC101"/>
  <c r="AB101"/>
  <c r="AA101"/>
  <c r="Z101"/>
  <c r="Y101"/>
  <c r="X101"/>
  <c r="W101"/>
  <c r="V101"/>
  <c r="U101"/>
  <c r="T101"/>
  <c r="S101"/>
  <c r="AE100"/>
  <c r="AD100"/>
  <c r="AC100"/>
  <c r="AB100"/>
  <c r="AA100"/>
  <c r="Z100"/>
  <c r="Y100"/>
  <c r="X100"/>
  <c r="W100"/>
  <c r="V100"/>
  <c r="U100"/>
  <c r="T100"/>
  <c r="S100"/>
  <c r="AE99"/>
  <c r="AD99"/>
  <c r="AC99"/>
  <c r="AB99"/>
  <c r="AA99"/>
  <c r="Z99"/>
  <c r="Y99"/>
  <c r="X99"/>
  <c r="W99"/>
  <c r="V99"/>
  <c r="U99"/>
  <c r="T99"/>
  <c r="S99"/>
  <c r="AE98"/>
  <c r="AD98"/>
  <c r="AC98"/>
  <c r="AB98"/>
  <c r="AA98"/>
  <c r="Z98"/>
  <c r="Y98"/>
  <c r="X98"/>
  <c r="W98"/>
  <c r="V98"/>
  <c r="U98"/>
  <c r="T98"/>
  <c r="S98"/>
  <c r="AE97"/>
  <c r="AD97"/>
  <c r="AC97"/>
  <c r="AB97"/>
  <c r="AA97"/>
  <c r="Z97"/>
  <c r="Y97"/>
  <c r="X97"/>
  <c r="W97"/>
  <c r="V97"/>
  <c r="U97"/>
  <c r="T97"/>
  <c r="S97"/>
  <c r="AE96"/>
  <c r="AD96"/>
  <c r="AC96"/>
  <c r="AB96"/>
  <c r="AA96"/>
  <c r="Z96"/>
  <c r="Y96"/>
  <c r="X96"/>
  <c r="W96"/>
  <c r="V96"/>
  <c r="U96"/>
  <c r="T96"/>
  <c r="S96"/>
  <c r="AE95"/>
  <c r="AD95"/>
  <c r="AC95"/>
  <c r="AB95"/>
  <c r="AA95"/>
  <c r="Z95"/>
  <c r="Y95"/>
  <c r="X95"/>
  <c r="W95"/>
  <c r="V95"/>
  <c r="U95"/>
  <c r="T95"/>
  <c r="S95"/>
  <c r="AE94"/>
  <c r="AD94"/>
  <c r="AC94"/>
  <c r="AB94"/>
  <c r="AA94"/>
  <c r="Z94"/>
  <c r="Y94"/>
  <c r="X94"/>
  <c r="W94"/>
  <c r="V94"/>
  <c r="U94"/>
  <c r="T94"/>
  <c r="S94"/>
  <c r="AE93"/>
  <c r="AD93"/>
  <c r="AC93"/>
  <c r="AB93"/>
  <c r="AA93"/>
  <c r="Z93"/>
  <c r="Y93"/>
  <c r="X93"/>
  <c r="W93"/>
  <c r="V93"/>
  <c r="U93"/>
  <c r="T93"/>
  <c r="S93"/>
  <c r="AE92"/>
  <c r="AD92"/>
  <c r="AC92"/>
  <c r="AB92"/>
  <c r="AA92"/>
  <c r="Z92"/>
  <c r="Y92"/>
  <c r="X92"/>
  <c r="W92"/>
  <c r="V92"/>
  <c r="U92"/>
  <c r="T92"/>
  <c r="S92"/>
  <c r="AE91"/>
  <c r="AD91"/>
  <c r="AC91"/>
  <c r="AB91"/>
  <c r="AA91"/>
  <c r="Z91"/>
  <c r="Y91"/>
  <c r="X91"/>
  <c r="W91"/>
  <c r="V91"/>
  <c r="U91"/>
  <c r="T91"/>
  <c r="S91"/>
  <c r="AE90"/>
  <c r="AD90"/>
  <c r="AC90"/>
  <c r="AB90"/>
  <c r="AA90"/>
  <c r="Z90"/>
  <c r="Y90"/>
  <c r="X90"/>
  <c r="W90"/>
  <c r="V90"/>
  <c r="U90"/>
  <c r="T90"/>
  <c r="S90"/>
  <c r="AE89"/>
  <c r="AD89"/>
  <c r="AC89"/>
  <c r="AB89"/>
  <c r="AA89"/>
  <c r="Z89"/>
  <c r="Y89"/>
  <c r="X89"/>
  <c r="W89"/>
  <c r="V89"/>
  <c r="U89"/>
  <c r="T89"/>
  <c r="S89"/>
  <c r="AE88"/>
  <c r="AD88"/>
  <c r="AC88"/>
  <c r="AB88"/>
  <c r="AA88"/>
  <c r="Z88"/>
  <c r="Y88"/>
  <c r="X88"/>
  <c r="W88"/>
  <c r="V88"/>
  <c r="U88"/>
  <c r="T88"/>
  <c r="S88"/>
  <c r="AE87"/>
  <c r="AD87"/>
  <c r="AC87"/>
  <c r="AB87"/>
  <c r="AA87"/>
  <c r="Z87"/>
  <c r="Y87"/>
  <c r="X87"/>
  <c r="W87"/>
  <c r="V87"/>
  <c r="U87"/>
  <c r="T87"/>
  <c r="S87"/>
  <c r="AE86"/>
  <c r="AD86"/>
  <c r="AC86"/>
  <c r="AB86"/>
  <c r="AA86"/>
  <c r="Z86"/>
  <c r="Y86"/>
  <c r="X86"/>
  <c r="W86"/>
  <c r="V86"/>
  <c r="U86"/>
  <c r="T86"/>
  <c r="S86"/>
  <c r="AE85"/>
  <c r="AD85"/>
  <c r="AC85"/>
  <c r="AB85"/>
  <c r="AA85"/>
  <c r="Z85"/>
  <c r="Y85"/>
  <c r="X85"/>
  <c r="W85"/>
  <c r="V85"/>
  <c r="U85"/>
  <c r="T85"/>
  <c r="S85"/>
  <c r="AE84"/>
  <c r="AD84"/>
  <c r="AC84"/>
  <c r="AB84"/>
  <c r="AA84"/>
  <c r="Z84"/>
  <c r="Y84"/>
  <c r="X84"/>
  <c r="W84"/>
  <c r="V84"/>
  <c r="U84"/>
  <c r="T84"/>
  <c r="S84"/>
  <c r="AE83"/>
  <c r="AD83"/>
  <c r="AC83"/>
  <c r="AB83"/>
  <c r="AA83"/>
  <c r="Z83"/>
  <c r="Y83"/>
  <c r="X83"/>
  <c r="W83"/>
  <c r="V83"/>
  <c r="U83"/>
  <c r="T83"/>
  <c r="S83"/>
  <c r="AE82"/>
  <c r="AD82"/>
  <c r="AC82"/>
  <c r="AB82"/>
  <c r="AA82"/>
  <c r="Z82"/>
  <c r="Y82"/>
  <c r="X82"/>
  <c r="W82"/>
  <c r="V82"/>
  <c r="U82"/>
  <c r="T82"/>
  <c r="S82"/>
  <c r="AE81"/>
  <c r="AD81"/>
  <c r="AC81"/>
  <c r="AB81"/>
  <c r="AA81"/>
  <c r="Z81"/>
  <c r="Y81"/>
  <c r="X81"/>
  <c r="W81"/>
  <c r="V81"/>
  <c r="U81"/>
  <c r="T81"/>
  <c r="S81"/>
  <c r="AE80"/>
  <c r="AD80"/>
  <c r="AC80"/>
  <c r="AB80"/>
  <c r="AA80"/>
  <c r="Z80"/>
  <c r="Y80"/>
  <c r="X80"/>
  <c r="W80"/>
  <c r="V80"/>
  <c r="U80"/>
  <c r="T80"/>
  <c r="S80"/>
  <c r="AE79"/>
  <c r="AD79"/>
  <c r="AC79"/>
  <c r="AB79"/>
  <c r="AA79"/>
  <c r="Z79"/>
  <c r="Y79"/>
  <c r="X79"/>
  <c r="W79"/>
  <c r="V79"/>
  <c r="U79"/>
  <c r="T79"/>
  <c r="S79"/>
  <c r="AE78"/>
  <c r="AD78"/>
  <c r="AC78"/>
  <c r="AB78"/>
  <c r="AA78"/>
  <c r="Z78"/>
  <c r="Y78"/>
  <c r="X78"/>
  <c r="W78"/>
  <c r="V78"/>
  <c r="U78"/>
  <c r="T78"/>
  <c r="S78"/>
  <c r="AE77"/>
  <c r="AD77"/>
  <c r="AC77"/>
  <c r="AB77"/>
  <c r="AA77"/>
  <c r="Z77"/>
  <c r="Y77"/>
  <c r="X77"/>
  <c r="W77"/>
  <c r="V77"/>
  <c r="U77"/>
  <c r="T77"/>
  <c r="S77"/>
  <c r="AE76"/>
  <c r="AD76"/>
  <c r="AC76"/>
  <c r="AB76"/>
  <c r="AA76"/>
  <c r="Z76"/>
  <c r="Y76"/>
  <c r="X76"/>
  <c r="W76"/>
  <c r="V76"/>
  <c r="U76"/>
  <c r="T76"/>
  <c r="S76"/>
  <c r="AE75"/>
  <c r="AD75"/>
  <c r="AC75"/>
  <c r="AB75"/>
  <c r="AA75"/>
  <c r="Z75"/>
  <c r="Y75"/>
  <c r="X75"/>
  <c r="W75"/>
  <c r="V75"/>
  <c r="U75"/>
  <c r="T75"/>
  <c r="S75"/>
  <c r="AE74"/>
  <c r="AD74"/>
  <c r="AC74"/>
  <c r="AB74"/>
  <c r="AA74"/>
  <c r="Z74"/>
  <c r="Y74"/>
  <c r="X74"/>
  <c r="W74"/>
  <c r="V74"/>
  <c r="U74"/>
  <c r="T74"/>
  <c r="S74"/>
  <c r="AE73"/>
  <c r="AD73"/>
  <c r="AC73"/>
  <c r="AB73"/>
  <c r="AA73"/>
  <c r="Z73"/>
  <c r="Y73"/>
  <c r="X73"/>
  <c r="W73"/>
  <c r="V73"/>
  <c r="U73"/>
  <c r="T73"/>
  <c r="S73"/>
  <c r="AE72"/>
  <c r="AD72"/>
  <c r="AC72"/>
  <c r="AB72"/>
  <c r="AA72"/>
  <c r="Z72"/>
  <c r="Y72"/>
  <c r="X72"/>
  <c r="W72"/>
  <c r="V72"/>
  <c r="U72"/>
  <c r="T72"/>
  <c r="S72"/>
  <c r="AE71"/>
  <c r="AD71"/>
  <c r="AC71"/>
  <c r="AB71"/>
  <c r="AA71"/>
  <c r="Z71"/>
  <c r="Y71"/>
  <c r="X71"/>
  <c r="W71"/>
  <c r="V71"/>
  <c r="U71"/>
  <c r="T71"/>
  <c r="S71"/>
  <c r="AE70"/>
  <c r="AD70"/>
  <c r="AC70"/>
  <c r="AB70"/>
  <c r="AA70"/>
  <c r="Z70"/>
  <c r="Y70"/>
  <c r="X70"/>
  <c r="W70"/>
  <c r="V70"/>
  <c r="U70"/>
  <c r="T70"/>
  <c r="S70"/>
  <c r="AE69"/>
  <c r="AD69"/>
  <c r="AC69"/>
  <c r="AB69"/>
  <c r="AA69"/>
  <c r="Z69"/>
  <c r="Y69"/>
  <c r="X69"/>
  <c r="W69"/>
  <c r="V69"/>
  <c r="U69"/>
  <c r="T69"/>
  <c r="S69"/>
  <c r="AE68"/>
  <c r="AD68"/>
  <c r="AC68"/>
  <c r="AB68"/>
  <c r="AA68"/>
  <c r="Z68"/>
  <c r="Y68"/>
  <c r="X68"/>
  <c r="W68"/>
  <c r="V68"/>
  <c r="U68"/>
  <c r="T68"/>
  <c r="S68"/>
  <c r="AE67"/>
  <c r="AD67"/>
  <c r="AC67"/>
  <c r="AB67"/>
  <c r="AA67"/>
  <c r="Z67"/>
  <c r="Y67"/>
  <c r="X67"/>
  <c r="W67"/>
  <c r="V67"/>
  <c r="U67"/>
  <c r="T67"/>
  <c r="S67"/>
  <c r="AE66"/>
  <c r="AD66"/>
  <c r="AC66"/>
  <c r="AB66"/>
  <c r="AA66"/>
  <c r="Z66"/>
  <c r="Y66"/>
  <c r="X66"/>
  <c r="W66"/>
  <c r="V66"/>
  <c r="U66"/>
  <c r="T66"/>
  <c r="S66"/>
  <c r="AE65"/>
  <c r="AD65"/>
  <c r="AC65"/>
  <c r="AB65"/>
  <c r="AA65"/>
  <c r="Z65"/>
  <c r="Y65"/>
  <c r="X65"/>
  <c r="W65"/>
  <c r="V65"/>
  <c r="U65"/>
  <c r="T65"/>
  <c r="S65"/>
  <c r="AE64"/>
  <c r="AD64"/>
  <c r="AC64"/>
  <c r="AB64"/>
  <c r="AA64"/>
  <c r="Z64"/>
  <c r="Y64"/>
  <c r="X64"/>
  <c r="W64"/>
  <c r="V64"/>
  <c r="U64"/>
  <c r="T64"/>
  <c r="S64"/>
  <c r="AE63"/>
  <c r="AD63"/>
  <c r="AC63"/>
  <c r="AB63"/>
  <c r="AA63"/>
  <c r="Z63"/>
  <c r="Y63"/>
  <c r="X63"/>
  <c r="W63"/>
  <c r="V63"/>
  <c r="U63"/>
  <c r="T63"/>
  <c r="S63"/>
  <c r="AE62"/>
  <c r="AD62"/>
  <c r="AC62"/>
  <c r="AB62"/>
  <c r="AA62"/>
  <c r="Z62"/>
  <c r="Y62"/>
  <c r="X62"/>
  <c r="W62"/>
  <c r="V62"/>
  <c r="U62"/>
  <c r="T62"/>
  <c r="S62"/>
  <c r="AE61"/>
  <c r="AD61"/>
  <c r="AC61"/>
  <c r="AB61"/>
  <c r="AA61"/>
  <c r="Z61"/>
  <c r="Y61"/>
  <c r="X61"/>
  <c r="W61"/>
  <c r="V61"/>
  <c r="U61"/>
  <c r="T61"/>
  <c r="S61"/>
  <c r="AE60"/>
  <c r="AD60"/>
  <c r="AC60"/>
  <c r="AB60"/>
  <c r="AA60"/>
  <c r="Z60"/>
  <c r="Y60"/>
  <c r="X60"/>
  <c r="W60"/>
  <c r="V60"/>
  <c r="U60"/>
  <c r="T60"/>
  <c r="S60"/>
  <c r="AE59"/>
  <c r="AD59"/>
  <c r="AC59"/>
  <c r="AB59"/>
  <c r="AA59"/>
  <c r="Z59"/>
  <c r="Y59"/>
  <c r="X59"/>
  <c r="W59"/>
  <c r="V59"/>
  <c r="U59"/>
  <c r="T59"/>
  <c r="S59"/>
  <c r="AE58"/>
  <c r="AD58"/>
  <c r="AC58"/>
  <c r="AB58"/>
  <c r="AA58"/>
  <c r="Z58"/>
  <c r="Y58"/>
  <c r="X58"/>
  <c r="W58"/>
  <c r="V58"/>
  <c r="U58"/>
  <c r="T58"/>
  <c r="S58"/>
  <c r="AE57"/>
  <c r="AD57"/>
  <c r="AC57"/>
  <c r="AB57"/>
  <c r="AA57"/>
  <c r="Z57"/>
  <c r="Y57"/>
  <c r="X57"/>
  <c r="W57"/>
  <c r="V57"/>
  <c r="U57"/>
  <c r="T57"/>
  <c r="S57"/>
  <c r="AE56"/>
  <c r="AD56"/>
  <c r="AC56"/>
  <c r="AB56"/>
  <c r="AA56"/>
  <c r="Z56"/>
  <c r="Y56"/>
  <c r="X56"/>
  <c r="W56"/>
  <c r="V56"/>
  <c r="U56"/>
  <c r="T56"/>
  <c r="S56"/>
  <c r="AE55"/>
  <c r="AD55"/>
  <c r="AC55"/>
  <c r="AB55"/>
  <c r="AA55"/>
  <c r="Z55"/>
  <c r="Y55"/>
  <c r="X55"/>
  <c r="W55"/>
  <c r="V55"/>
  <c r="U55"/>
  <c r="T55"/>
  <c r="S55"/>
  <c r="AE54"/>
  <c r="AD54"/>
  <c r="AC54"/>
  <c r="AB54"/>
  <c r="AA54"/>
  <c r="Z54"/>
  <c r="Y54"/>
  <c r="X54"/>
  <c r="W54"/>
  <c r="V54"/>
  <c r="U54"/>
  <c r="T54"/>
  <c r="S54"/>
  <c r="AE53"/>
  <c r="AD53"/>
  <c r="AC53"/>
  <c r="AB53"/>
  <c r="AA53"/>
  <c r="Z53"/>
  <c r="Y53"/>
  <c r="X53"/>
  <c r="W53"/>
  <c r="V53"/>
  <c r="U53"/>
  <c r="T53"/>
  <c r="S53"/>
  <c r="AE52"/>
  <c r="AD52"/>
  <c r="AC52"/>
  <c r="AB52"/>
  <c r="AA52"/>
  <c r="Z52"/>
  <c r="Y52"/>
  <c r="X52"/>
  <c r="W52"/>
  <c r="V52"/>
  <c r="U52"/>
  <c r="T52"/>
  <c r="S52"/>
  <c r="AE51"/>
  <c r="AD51"/>
  <c r="AC51"/>
  <c r="AB51"/>
  <c r="AA51"/>
  <c r="Z51"/>
  <c r="Y51"/>
  <c r="X51"/>
  <c r="W51"/>
  <c r="V51"/>
  <c r="U51"/>
  <c r="T51"/>
  <c r="S51"/>
  <c r="AE50"/>
  <c r="AD50"/>
  <c r="AC50"/>
  <c r="AB50"/>
  <c r="AA50"/>
  <c r="Z50"/>
  <c r="Y50"/>
  <c r="X50"/>
  <c r="W50"/>
  <c r="V50"/>
  <c r="U50"/>
  <c r="T50"/>
  <c r="S50"/>
  <c r="AE49"/>
  <c r="AD49"/>
  <c r="AC49"/>
  <c r="AB49"/>
  <c r="AA49"/>
  <c r="Z49"/>
  <c r="Y49"/>
  <c r="X49"/>
  <c r="W49"/>
  <c r="V49"/>
  <c r="U49"/>
  <c r="T49"/>
  <c r="S49"/>
  <c r="AE48"/>
  <c r="AD48"/>
  <c r="AC48"/>
  <c r="AB48"/>
  <c r="AA48"/>
  <c r="Z48"/>
  <c r="Y48"/>
  <c r="X48"/>
  <c r="W48"/>
  <c r="V48"/>
  <c r="U48"/>
  <c r="T48"/>
  <c r="S48"/>
  <c r="AE47"/>
  <c r="AD47"/>
  <c r="AC47"/>
  <c r="AB47"/>
  <c r="AA47"/>
  <c r="Z47"/>
  <c r="Y47"/>
  <c r="X47"/>
  <c r="W47"/>
  <c r="V47"/>
  <c r="U47"/>
  <c r="T47"/>
  <c r="S47"/>
  <c r="AE46"/>
  <c r="AD46"/>
  <c r="AC46"/>
  <c r="AB46"/>
  <c r="AA46"/>
  <c r="Z46"/>
  <c r="Y46"/>
  <c r="X46"/>
  <c r="W46"/>
  <c r="V46"/>
  <c r="U46"/>
  <c r="T46"/>
  <c r="S46"/>
  <c r="AE45"/>
  <c r="AD45"/>
  <c r="AC45"/>
  <c r="AB45"/>
  <c r="AA45"/>
  <c r="Z45"/>
  <c r="Y45"/>
  <c r="X45"/>
  <c r="W45"/>
  <c r="V45"/>
  <c r="U45"/>
  <c r="T45"/>
  <c r="S45"/>
  <c r="AE44"/>
  <c r="AD44"/>
  <c r="AC44"/>
  <c r="AB44"/>
  <c r="AA44"/>
  <c r="Z44"/>
  <c r="Y44"/>
  <c r="X44"/>
  <c r="W44"/>
  <c r="V44"/>
  <c r="U44"/>
  <c r="T44"/>
  <c r="S44"/>
  <c r="AE43"/>
  <c r="AD43"/>
  <c r="AC43"/>
  <c r="AB43"/>
  <c r="AA43"/>
  <c r="Z43"/>
  <c r="Y43"/>
  <c r="X43"/>
  <c r="W43"/>
  <c r="V43"/>
  <c r="U43"/>
  <c r="T43"/>
  <c r="S43"/>
  <c r="AE42"/>
  <c r="AD42"/>
  <c r="AC42"/>
  <c r="AB42"/>
  <c r="AA42"/>
  <c r="Z42"/>
  <c r="Y42"/>
  <c r="X42"/>
  <c r="W42"/>
  <c r="V42"/>
  <c r="U42"/>
  <c r="T42"/>
  <c r="S42"/>
  <c r="AE41"/>
  <c r="AD41"/>
  <c r="AC41"/>
  <c r="AB41"/>
  <c r="AA41"/>
  <c r="Z41"/>
  <c r="Y41"/>
  <c r="X41"/>
  <c r="W41"/>
  <c r="V41"/>
  <c r="U41"/>
  <c r="T41"/>
  <c r="S41"/>
  <c r="AE40"/>
  <c r="AD40"/>
  <c r="AC40"/>
  <c r="AB40"/>
  <c r="AA40"/>
  <c r="Z40"/>
  <c r="Y40"/>
  <c r="X40"/>
  <c r="W40"/>
  <c r="V40"/>
  <c r="U40"/>
  <c r="T40"/>
  <c r="S40"/>
  <c r="AE39"/>
  <c r="AD39"/>
  <c r="AC39"/>
  <c r="AB39"/>
  <c r="AA39"/>
  <c r="Z39"/>
  <c r="Y39"/>
  <c r="X39"/>
  <c r="W39"/>
  <c r="V39"/>
  <c r="U39"/>
  <c r="T39"/>
  <c r="S39"/>
  <c r="AE38"/>
  <c r="AD38"/>
  <c r="AC38"/>
  <c r="AB38"/>
  <c r="AA38"/>
  <c r="Z38"/>
  <c r="Y38"/>
  <c r="X38"/>
  <c r="W38"/>
  <c r="V38"/>
  <c r="U38"/>
  <c r="T38"/>
  <c r="S38"/>
  <c r="AE37"/>
  <c r="AD37"/>
  <c r="AC37"/>
  <c r="AB37"/>
  <c r="AA37"/>
  <c r="Z37"/>
  <c r="Y37"/>
  <c r="X37"/>
  <c r="W37"/>
  <c r="V37"/>
  <c r="U37"/>
  <c r="T37"/>
  <c r="S37"/>
  <c r="AE36"/>
  <c r="AD36"/>
  <c r="AC36"/>
  <c r="AB36"/>
  <c r="AA36"/>
  <c r="Z36"/>
  <c r="Y36"/>
  <c r="X36"/>
  <c r="W36"/>
  <c r="V36"/>
  <c r="U36"/>
  <c r="T36"/>
  <c r="S36"/>
  <c r="AE35"/>
  <c r="AD35"/>
  <c r="AC35"/>
  <c r="AB35"/>
  <c r="AA35"/>
  <c r="Z35"/>
  <c r="Y35"/>
  <c r="X35"/>
  <c r="W35"/>
  <c r="V35"/>
  <c r="U35"/>
  <c r="T35"/>
  <c r="S35"/>
  <c r="AE34"/>
  <c r="AD34"/>
  <c r="AC34"/>
  <c r="AB34"/>
  <c r="AA34"/>
  <c r="Z34"/>
  <c r="Y34"/>
  <c r="X34"/>
  <c r="W34"/>
  <c r="V34"/>
  <c r="U34"/>
  <c r="T34"/>
  <c r="S34"/>
  <c r="AE33"/>
  <c r="AD33"/>
  <c r="AC33"/>
  <c r="AB33"/>
  <c r="AA33"/>
  <c r="Z33"/>
  <c r="Y33"/>
  <c r="X33"/>
  <c r="W33"/>
  <c r="V33"/>
  <c r="U33"/>
  <c r="T33"/>
  <c r="S33"/>
  <c r="AE32"/>
  <c r="AD32"/>
  <c r="AC32"/>
  <c r="AB32"/>
  <c r="AA32"/>
  <c r="Z32"/>
  <c r="Y32"/>
  <c r="X32"/>
  <c r="W32"/>
  <c r="V32"/>
  <c r="U32"/>
  <c r="T32"/>
  <c r="S32"/>
  <c r="AE31"/>
  <c r="AD31"/>
  <c r="AC31"/>
  <c r="AB31"/>
  <c r="AA31"/>
  <c r="Z31"/>
  <c r="Y31"/>
  <c r="X31"/>
  <c r="W31"/>
  <c r="V31"/>
  <c r="U31"/>
  <c r="T31"/>
  <c r="S31"/>
  <c r="AE30"/>
  <c r="AD30"/>
  <c r="AC30"/>
  <c r="AB30"/>
  <c r="AA30"/>
  <c r="Z30"/>
  <c r="Y30"/>
  <c r="X30"/>
  <c r="W30"/>
  <c r="V30"/>
  <c r="U30"/>
  <c r="T30"/>
  <c r="S30"/>
  <c r="AE29"/>
  <c r="AD29"/>
  <c r="AC29"/>
  <c r="AB29"/>
  <c r="AA29"/>
  <c r="Z29"/>
  <c r="Y29"/>
  <c r="X29"/>
  <c r="W29"/>
  <c r="V29"/>
  <c r="U29"/>
  <c r="T29"/>
  <c r="S29"/>
  <c r="AE28"/>
  <c r="AD28"/>
  <c r="AC28"/>
  <c r="AB28"/>
  <c r="AA28"/>
  <c r="Z28"/>
  <c r="Y28"/>
  <c r="X28"/>
  <c r="W28"/>
  <c r="V28"/>
  <c r="U28"/>
  <c r="T28"/>
  <c r="S28"/>
  <c r="AE27"/>
  <c r="AD27"/>
  <c r="AC27"/>
  <c r="AB27"/>
  <c r="AA27"/>
  <c r="Z27"/>
  <c r="Y27"/>
  <c r="X27"/>
  <c r="W27"/>
  <c r="V27"/>
  <c r="U27"/>
  <c r="T27"/>
  <c r="S27"/>
  <c r="AE26"/>
  <c r="AD26"/>
  <c r="AC26"/>
  <c r="AB26"/>
  <c r="AA26"/>
  <c r="Z26"/>
  <c r="Y26"/>
  <c r="X26"/>
  <c r="W26"/>
  <c r="V26"/>
  <c r="U26"/>
  <c r="T26"/>
  <c r="S26"/>
  <c r="AE25"/>
  <c r="AD25"/>
  <c r="AC25"/>
  <c r="AB25"/>
  <c r="AA25"/>
  <c r="Z25"/>
  <c r="Y25"/>
  <c r="X25"/>
  <c r="W25"/>
  <c r="V25"/>
  <c r="U25"/>
  <c r="T25"/>
  <c r="S25"/>
  <c r="AE24"/>
  <c r="AD24"/>
  <c r="AC24"/>
  <c r="AB24"/>
  <c r="AA24"/>
  <c r="Z24"/>
  <c r="Y24"/>
  <c r="X24"/>
  <c r="W24"/>
  <c r="V24"/>
  <c r="U24"/>
  <c r="T24"/>
  <c r="S24"/>
  <c r="AE23"/>
  <c r="AD23"/>
  <c r="AC23"/>
  <c r="AB23"/>
  <c r="AA23"/>
  <c r="Z23"/>
  <c r="Y23"/>
  <c r="X23"/>
  <c r="W23"/>
  <c r="V23"/>
  <c r="U23"/>
  <c r="T23"/>
  <c r="S23"/>
  <c r="AE22"/>
  <c r="AD22"/>
  <c r="AC22"/>
  <c r="AB22"/>
  <c r="AA22"/>
  <c r="Z22"/>
  <c r="Y22"/>
  <c r="X22"/>
  <c r="W22"/>
  <c r="V22"/>
  <c r="U22"/>
  <c r="T22"/>
  <c r="S22"/>
  <c r="AE21"/>
  <c r="AD21"/>
  <c r="AC21"/>
  <c r="AB21"/>
  <c r="AA21"/>
  <c r="Z21"/>
  <c r="Y21"/>
  <c r="X21"/>
  <c r="W21"/>
  <c r="V21"/>
  <c r="U21"/>
  <c r="T21"/>
  <c r="S21"/>
  <c r="AE20"/>
  <c r="AD20"/>
  <c r="AC20"/>
  <c r="AB20"/>
  <c r="AA20"/>
  <c r="Z20"/>
  <c r="Y20"/>
  <c r="X20"/>
  <c r="W20"/>
  <c r="V20"/>
  <c r="U20"/>
  <c r="T20"/>
  <c r="S20"/>
  <c r="AE19"/>
  <c r="AD19"/>
  <c r="AC19"/>
  <c r="AB19"/>
  <c r="AA19"/>
  <c r="Z19"/>
  <c r="Y19"/>
  <c r="X19"/>
  <c r="W19"/>
  <c r="V19"/>
  <c r="U19"/>
  <c r="T19"/>
  <c r="S19"/>
  <c r="AE18"/>
  <c r="AD18"/>
  <c r="AC18"/>
  <c r="AB18"/>
  <c r="AA18"/>
  <c r="Z18"/>
  <c r="Y18"/>
  <c r="X18"/>
  <c r="W18"/>
  <c r="V18"/>
  <c r="T18"/>
  <c r="S18"/>
  <c r="AE17"/>
  <c r="AD17"/>
  <c r="AC17"/>
  <c r="AB17"/>
  <c r="AA17"/>
  <c r="Z17"/>
  <c r="Y17"/>
  <c r="X17"/>
  <c r="W17"/>
  <c r="V17"/>
  <c r="U17"/>
  <c r="T17"/>
  <c r="S17"/>
  <c r="AE16"/>
  <c r="AD16"/>
  <c r="AC16"/>
  <c r="AB16"/>
  <c r="AA16"/>
  <c r="Z16"/>
  <c r="Y16"/>
  <c r="X16"/>
  <c r="W16"/>
  <c r="V16"/>
  <c r="U16"/>
  <c r="T16"/>
  <c r="S16"/>
  <c r="AE15"/>
  <c r="AD15"/>
  <c r="AC15"/>
  <c r="AB15"/>
  <c r="AA15"/>
  <c r="Z15"/>
  <c r="Y15"/>
  <c r="X15"/>
  <c r="W15"/>
  <c r="V15"/>
  <c r="U15"/>
  <c r="T15"/>
  <c r="S15"/>
  <c r="AE14"/>
  <c r="AD14"/>
  <c r="AC14"/>
  <c r="AB14"/>
  <c r="AA14"/>
  <c r="Z14"/>
  <c r="Y14"/>
  <c r="X14"/>
  <c r="W14"/>
  <c r="V14"/>
  <c r="U14"/>
  <c r="T14"/>
  <c r="S14"/>
  <c r="AE13"/>
  <c r="AD13"/>
  <c r="AC13"/>
  <c r="AB13"/>
  <c r="AA13"/>
  <c r="Z13"/>
  <c r="Y13"/>
  <c r="X13"/>
  <c r="W13"/>
  <c r="V13"/>
  <c r="U13"/>
  <c r="T13"/>
  <c r="S13"/>
  <c r="AE12"/>
  <c r="AD12"/>
  <c r="AC12"/>
  <c r="AB12"/>
  <c r="AA12"/>
  <c r="Z12"/>
  <c r="Y12"/>
  <c r="X12"/>
  <c r="W12"/>
  <c r="V12"/>
  <c r="U12"/>
  <c r="T12"/>
  <c r="S12"/>
  <c r="AE11"/>
  <c r="AD11"/>
  <c r="AC11"/>
  <c r="AB11"/>
  <c r="AA11"/>
  <c r="Z11"/>
  <c r="Y11"/>
  <c r="X11"/>
  <c r="W11"/>
  <c r="V11"/>
  <c r="U11"/>
  <c r="T11"/>
  <c r="S11"/>
  <c r="AE10"/>
  <c r="AD10"/>
  <c r="AC10"/>
  <c r="AB10"/>
  <c r="AA10"/>
  <c r="Z10"/>
  <c r="Y10"/>
  <c r="X10"/>
  <c r="W10"/>
  <c r="V10"/>
  <c r="U10"/>
  <c r="T10"/>
  <c r="S10"/>
  <c r="AE9"/>
  <c r="AD9"/>
  <c r="AC9"/>
  <c r="AB9"/>
  <c r="AA9"/>
  <c r="Z9"/>
  <c r="Y9"/>
  <c r="X9"/>
  <c r="W9"/>
  <c r="V9"/>
  <c r="U9"/>
  <c r="T9"/>
  <c r="S9"/>
  <c r="AE8"/>
  <c r="AD8"/>
  <c r="AC8"/>
  <c r="AB8"/>
  <c r="AA8"/>
  <c r="Z8"/>
  <c r="Y8"/>
  <c r="X8"/>
  <c r="W8"/>
  <c r="V8"/>
  <c r="U8"/>
  <c r="T8"/>
  <c r="S8"/>
  <c r="AE7"/>
  <c r="AD7"/>
  <c r="AC7"/>
  <c r="AB7"/>
  <c r="AA7"/>
  <c r="Z7"/>
  <c r="Y7"/>
  <c r="X7"/>
  <c r="W7"/>
  <c r="V7"/>
  <c r="U7"/>
  <c r="T7"/>
  <c r="S7"/>
  <c r="AE6"/>
  <c r="AD6"/>
  <c r="AC6"/>
  <c r="AB6"/>
  <c r="AA6"/>
  <c r="Z6"/>
  <c r="Y6"/>
  <c r="X6"/>
  <c r="W6"/>
  <c r="V6"/>
  <c r="U6"/>
  <c r="T6"/>
  <c r="S6"/>
  <c r="AE5"/>
  <c r="AD5"/>
  <c r="AC5"/>
  <c r="AB5"/>
  <c r="AA5"/>
  <c r="Z5"/>
  <c r="Y5"/>
  <c r="X5"/>
  <c r="W5"/>
  <c r="V5"/>
  <c r="U5"/>
  <c r="T5"/>
  <c r="AE4"/>
  <c r="AD4"/>
  <c r="AC4"/>
  <c r="AB4"/>
  <c r="AA4"/>
  <c r="Z4"/>
  <c r="Y4"/>
  <c r="X4"/>
  <c r="W4"/>
  <c r="V4"/>
  <c r="U4"/>
  <c r="T4"/>
  <c r="S4"/>
  <c r="AE3"/>
  <c r="AD3"/>
  <c r="AC3"/>
  <c r="AB3"/>
  <c r="AA3"/>
  <c r="Z3"/>
  <c r="Y3"/>
  <c r="X3"/>
  <c r="W3"/>
  <c r="V3"/>
  <c r="U3"/>
  <c r="T3"/>
  <c r="S3"/>
  <c r="P195"/>
  <c r="O195"/>
  <c r="Q195" s="1"/>
  <c r="P194"/>
  <c r="Q194" s="1"/>
  <c r="O194"/>
  <c r="P193"/>
  <c r="O193"/>
  <c r="P192"/>
  <c r="O192"/>
  <c r="P191"/>
  <c r="O191"/>
  <c r="P190"/>
  <c r="O190"/>
  <c r="P189"/>
  <c r="O189"/>
  <c r="P188"/>
  <c r="O188"/>
  <c r="P187"/>
  <c r="O187"/>
  <c r="Q186"/>
  <c r="P186"/>
  <c r="O186"/>
  <c r="P185"/>
  <c r="Q185" s="1"/>
  <c r="O185"/>
  <c r="P184"/>
  <c r="O184"/>
  <c r="P183"/>
  <c r="O183"/>
  <c r="P182"/>
  <c r="O182"/>
  <c r="Q182" s="1"/>
  <c r="P98"/>
  <c r="Q98" s="1"/>
  <c r="O98"/>
  <c r="P226"/>
  <c r="O226"/>
  <c r="P42"/>
  <c r="O42"/>
  <c r="P41"/>
  <c r="Q41" s="1"/>
  <c r="O41"/>
  <c r="P401"/>
  <c r="O401"/>
  <c r="P40"/>
  <c r="O40"/>
  <c r="P400"/>
  <c r="O400"/>
  <c r="Q400" s="1"/>
  <c r="P39"/>
  <c r="O39"/>
  <c r="P399"/>
  <c r="O399"/>
  <c r="P398"/>
  <c r="O398"/>
  <c r="Q398" s="1"/>
  <c r="P397"/>
  <c r="O397"/>
  <c r="P396"/>
  <c r="O396"/>
  <c r="P395"/>
  <c r="Q395" s="1"/>
  <c r="O395"/>
  <c r="P110"/>
  <c r="O110"/>
  <c r="Q110" s="1"/>
  <c r="P109"/>
  <c r="O109"/>
  <c r="Q109" s="1"/>
  <c r="P108"/>
  <c r="O108"/>
  <c r="P107"/>
  <c r="O107"/>
  <c r="P106"/>
  <c r="O106"/>
  <c r="Q106" s="1"/>
  <c r="P105"/>
  <c r="O105"/>
  <c r="Q125"/>
  <c r="P125"/>
  <c r="O125"/>
  <c r="P124"/>
  <c r="O124"/>
  <c r="P123"/>
  <c r="O123"/>
  <c r="P122"/>
  <c r="O122"/>
  <c r="P121"/>
  <c r="O121"/>
  <c r="Q121" s="1"/>
  <c r="P273"/>
  <c r="O273"/>
  <c r="P120"/>
  <c r="O120"/>
  <c r="Q120" s="1"/>
  <c r="P119"/>
  <c r="O119"/>
  <c r="P104"/>
  <c r="O104"/>
  <c r="Q104" s="1"/>
  <c r="P103"/>
  <c r="O103"/>
  <c r="P118"/>
  <c r="O118"/>
  <c r="Q118" s="1"/>
  <c r="P113"/>
  <c r="O113"/>
  <c r="P102"/>
  <c r="O102"/>
  <c r="Q102" s="1"/>
  <c r="P101"/>
  <c r="O101"/>
  <c r="P100"/>
  <c r="O100"/>
  <c r="Q100" s="1"/>
  <c r="P99"/>
  <c r="O99"/>
  <c r="P79"/>
  <c r="Q79" s="1"/>
  <c r="O79"/>
  <c r="P78"/>
  <c r="Q78" s="1"/>
  <c r="O78"/>
  <c r="P77"/>
  <c r="O77"/>
  <c r="P76"/>
  <c r="O76"/>
  <c r="P75"/>
  <c r="O75"/>
  <c r="P294"/>
  <c r="Q294" s="1"/>
  <c r="O294"/>
  <c r="P425"/>
  <c r="O425"/>
  <c r="P424"/>
  <c r="O424"/>
  <c r="P423"/>
  <c r="Q423" s="1"/>
  <c r="O423"/>
  <c r="P422"/>
  <c r="Q422" s="1"/>
  <c r="O422"/>
  <c r="P421"/>
  <c r="O421"/>
  <c r="P112"/>
  <c r="O112"/>
  <c r="P420"/>
  <c r="O420"/>
  <c r="P419"/>
  <c r="O419"/>
  <c r="P293"/>
  <c r="O293"/>
  <c r="P418"/>
  <c r="O418"/>
  <c r="P292"/>
  <c r="O292"/>
  <c r="P413"/>
  <c r="Q413" s="1"/>
  <c r="O413"/>
  <c r="P412"/>
  <c r="O412"/>
  <c r="P411"/>
  <c r="O411"/>
  <c r="P410"/>
  <c r="O410"/>
  <c r="P409"/>
  <c r="Q409" s="1"/>
  <c r="O409"/>
  <c r="P417"/>
  <c r="O417"/>
  <c r="P408"/>
  <c r="O408"/>
  <c r="P416"/>
  <c r="O416"/>
  <c r="P407"/>
  <c r="O407"/>
  <c r="P406"/>
  <c r="O406"/>
  <c r="P405"/>
  <c r="O405"/>
  <c r="P404"/>
  <c r="O404"/>
  <c r="P403"/>
  <c r="O403"/>
  <c r="P402"/>
  <c r="O402"/>
  <c r="P385"/>
  <c r="O385"/>
  <c r="P394"/>
  <c r="O394"/>
  <c r="P384"/>
  <c r="Q384" s="1"/>
  <c r="O384"/>
  <c r="P393"/>
  <c r="O393"/>
  <c r="P383"/>
  <c r="O383"/>
  <c r="P382"/>
  <c r="O382"/>
  <c r="P381"/>
  <c r="Q381" s="1"/>
  <c r="O381"/>
  <c r="P380"/>
  <c r="O380"/>
  <c r="P379"/>
  <c r="O379"/>
  <c r="P378"/>
  <c r="O378"/>
  <c r="P377"/>
  <c r="O377"/>
  <c r="P376"/>
  <c r="O376"/>
  <c r="P375"/>
  <c r="O375"/>
  <c r="P374"/>
  <c r="O374"/>
  <c r="P373"/>
  <c r="O373"/>
  <c r="P327"/>
  <c r="O327"/>
  <c r="P326"/>
  <c r="O326"/>
  <c r="P325"/>
  <c r="O325"/>
  <c r="P372"/>
  <c r="Q372" s="1"/>
  <c r="O372"/>
  <c r="P324"/>
  <c r="O324"/>
  <c r="P323"/>
  <c r="O323"/>
  <c r="P322"/>
  <c r="O322"/>
  <c r="P321"/>
  <c r="Q321" s="1"/>
  <c r="O321"/>
  <c r="P320"/>
  <c r="O320"/>
  <c r="P371"/>
  <c r="O371"/>
  <c r="P319"/>
  <c r="O319"/>
  <c r="P318"/>
  <c r="O318"/>
  <c r="P370"/>
  <c r="O370"/>
  <c r="P317"/>
  <c r="O317"/>
  <c r="P369"/>
  <c r="O369"/>
  <c r="P316"/>
  <c r="O316"/>
  <c r="P58"/>
  <c r="O58"/>
  <c r="P368"/>
  <c r="O368"/>
  <c r="P57"/>
  <c r="Q57" s="1"/>
  <c r="O57"/>
  <c r="P367"/>
  <c r="O367"/>
  <c r="P315"/>
  <c r="O315"/>
  <c r="P56"/>
  <c r="O56"/>
  <c r="P55"/>
  <c r="O55"/>
  <c r="P363"/>
  <c r="O363"/>
  <c r="P54"/>
  <c r="O54"/>
  <c r="P362"/>
  <c r="O362"/>
  <c r="P53"/>
  <c r="O53"/>
  <c r="Q53" s="1"/>
  <c r="P52"/>
  <c r="O52"/>
  <c r="P51"/>
  <c r="O51"/>
  <c r="P361"/>
  <c r="O361"/>
  <c r="P74"/>
  <c r="O74"/>
  <c r="Q74" s="1"/>
  <c r="P50"/>
  <c r="O50"/>
  <c r="P117"/>
  <c r="O117"/>
  <c r="P116"/>
  <c r="O116"/>
  <c r="P291"/>
  <c r="O291"/>
  <c r="Q291" s="1"/>
  <c r="P115"/>
  <c r="O115"/>
  <c r="P111"/>
  <c r="O111"/>
  <c r="P290"/>
  <c r="O290"/>
  <c r="P114"/>
  <c r="O114"/>
  <c r="Q114" s="1"/>
  <c r="P289"/>
  <c r="O289"/>
  <c r="P272"/>
  <c r="Q272" s="1"/>
  <c r="O272"/>
  <c r="P288"/>
  <c r="O288"/>
  <c r="Q288" s="1"/>
  <c r="P287"/>
  <c r="O287"/>
  <c r="Q287" s="1"/>
  <c r="P286"/>
  <c r="O286"/>
  <c r="P285"/>
  <c r="O285"/>
  <c r="P284"/>
  <c r="O284"/>
  <c r="Q284" s="1"/>
  <c r="P415"/>
  <c r="O415"/>
  <c r="Q415" s="1"/>
  <c r="P414"/>
  <c r="O414"/>
  <c r="P283"/>
  <c r="O283"/>
  <c r="P282"/>
  <c r="O282"/>
  <c r="P392"/>
  <c r="O392"/>
  <c r="P281"/>
  <c r="O281"/>
  <c r="P391"/>
  <c r="O391"/>
  <c r="Q391" s="1"/>
  <c r="P366"/>
  <c r="O366"/>
  <c r="Q366" s="1"/>
  <c r="P390"/>
  <c r="O390"/>
  <c r="Q390" s="1"/>
  <c r="P365"/>
  <c r="O365"/>
  <c r="P389"/>
  <c r="O389"/>
  <c r="Q389" s="1"/>
  <c r="P388"/>
  <c r="O388"/>
  <c r="Q388" s="1"/>
  <c r="P280"/>
  <c r="O280"/>
  <c r="P271"/>
  <c r="O271"/>
  <c r="P387"/>
  <c r="O387"/>
  <c r="P386"/>
  <c r="O386"/>
  <c r="P364"/>
  <c r="O364"/>
  <c r="P279"/>
  <c r="O279"/>
  <c r="P270"/>
  <c r="O270"/>
  <c r="P269"/>
  <c r="O269"/>
  <c r="P268"/>
  <c r="O268"/>
  <c r="Q268" s="1"/>
  <c r="P278"/>
  <c r="O278"/>
  <c r="P277"/>
  <c r="O277"/>
  <c r="P267"/>
  <c r="O267"/>
  <c r="P276"/>
  <c r="O276"/>
  <c r="P266"/>
  <c r="Q266" s="1"/>
  <c r="O266"/>
  <c r="P275"/>
  <c r="O275"/>
  <c r="P274"/>
  <c r="O274"/>
  <c r="P265"/>
  <c r="Q265" s="1"/>
  <c r="O265"/>
  <c r="P264"/>
  <c r="Q264" s="1"/>
  <c r="O264"/>
  <c r="P263"/>
  <c r="O263"/>
  <c r="Q263" s="1"/>
  <c r="P262"/>
  <c r="O262"/>
  <c r="P261"/>
  <c r="O261"/>
  <c r="Q261" s="1"/>
  <c r="P260"/>
  <c r="O260"/>
  <c r="P259"/>
  <c r="O259"/>
  <c r="Q259" s="1"/>
  <c r="P258"/>
  <c r="O258"/>
  <c r="P257"/>
  <c r="O257"/>
  <c r="Q257" s="1"/>
  <c r="P256"/>
  <c r="O256"/>
  <c r="P133"/>
  <c r="O133"/>
  <c r="P132"/>
  <c r="O132"/>
  <c r="P131"/>
  <c r="O131"/>
  <c r="P130"/>
  <c r="O130"/>
  <c r="P129"/>
  <c r="O129"/>
  <c r="Q129" s="1"/>
  <c r="P255"/>
  <c r="O255"/>
  <c r="Q255" s="1"/>
  <c r="P128"/>
  <c r="O128"/>
  <c r="Q128" s="1"/>
  <c r="P127"/>
  <c r="O127"/>
  <c r="P126"/>
  <c r="O126"/>
  <c r="P97"/>
  <c r="O97"/>
  <c r="P96"/>
  <c r="O96"/>
  <c r="Q96" s="1"/>
  <c r="P38"/>
  <c r="O38"/>
  <c r="P95"/>
  <c r="O95"/>
  <c r="Q95" s="1"/>
  <c r="P94"/>
  <c r="O94"/>
  <c r="Q94" s="1"/>
  <c r="P37"/>
  <c r="O37"/>
  <c r="P36"/>
  <c r="O36"/>
  <c r="P93"/>
  <c r="O93"/>
  <c r="P92"/>
  <c r="O92"/>
  <c r="Q92" s="1"/>
  <c r="P91"/>
  <c r="O91"/>
  <c r="P90"/>
  <c r="O90"/>
  <c r="P89"/>
  <c r="O89"/>
  <c r="P88"/>
  <c r="O88"/>
  <c r="Q88" s="1"/>
  <c r="P87"/>
  <c r="O87"/>
  <c r="Q87" s="1"/>
  <c r="P35"/>
  <c r="O35"/>
  <c r="P435"/>
  <c r="O435"/>
  <c r="Q435" s="1"/>
  <c r="P434"/>
  <c r="O434"/>
  <c r="P433"/>
  <c r="O433"/>
  <c r="Q433" s="1"/>
  <c r="P432"/>
  <c r="O432"/>
  <c r="P431"/>
  <c r="O431"/>
  <c r="Q431" s="1"/>
  <c r="P181"/>
  <c r="O181"/>
  <c r="P430"/>
  <c r="O430"/>
  <c r="Q430" s="1"/>
  <c r="P429"/>
  <c r="O429"/>
  <c r="P428"/>
  <c r="O428"/>
  <c r="Q428" s="1"/>
  <c r="P86"/>
  <c r="O86"/>
  <c r="Q86" s="1"/>
  <c r="P49"/>
  <c r="O49"/>
  <c r="P85"/>
  <c r="O85"/>
  <c r="P48"/>
  <c r="O48"/>
  <c r="Q48" s="1"/>
  <c r="P84"/>
  <c r="O84"/>
  <c r="Q84" s="1"/>
  <c r="P47"/>
  <c r="O47"/>
  <c r="Q47" s="1"/>
  <c r="P83"/>
  <c r="Q83" s="1"/>
  <c r="O83"/>
  <c r="P82"/>
  <c r="O82"/>
  <c r="P81"/>
  <c r="O81"/>
  <c r="P427"/>
  <c r="O427"/>
  <c r="P180"/>
  <c r="O180"/>
  <c r="P179"/>
  <c r="O179"/>
  <c r="P178"/>
  <c r="O178"/>
  <c r="P177"/>
  <c r="O177"/>
  <c r="P176"/>
  <c r="Q176" s="1"/>
  <c r="O176"/>
  <c r="P175"/>
  <c r="O175"/>
  <c r="P426"/>
  <c r="O426"/>
  <c r="P174"/>
  <c r="O174"/>
  <c r="P173"/>
  <c r="Q173" s="1"/>
  <c r="O173"/>
  <c r="P73"/>
  <c r="O73"/>
  <c r="P72"/>
  <c r="O72"/>
  <c r="Q71"/>
  <c r="P71"/>
  <c r="O71"/>
  <c r="P70"/>
  <c r="O70"/>
  <c r="P69"/>
  <c r="O69"/>
  <c r="Q69" s="1"/>
  <c r="P46"/>
  <c r="O46"/>
  <c r="Q46" s="1"/>
  <c r="P360"/>
  <c r="O360"/>
  <c r="Q360" s="1"/>
  <c r="P68"/>
  <c r="O68"/>
  <c r="P67"/>
  <c r="O67"/>
  <c r="Q67" s="1"/>
  <c r="P359"/>
  <c r="O359"/>
  <c r="Q359" s="1"/>
  <c r="P66"/>
  <c r="O66"/>
  <c r="Q66" s="1"/>
  <c r="P65"/>
  <c r="O65"/>
  <c r="P64"/>
  <c r="O64"/>
  <c r="P358"/>
  <c r="O358"/>
  <c r="P63"/>
  <c r="O63"/>
  <c r="Q63" s="1"/>
  <c r="P62"/>
  <c r="O62"/>
  <c r="P61"/>
  <c r="O61"/>
  <c r="Q61" s="1"/>
  <c r="P18"/>
  <c r="O18"/>
  <c r="P357"/>
  <c r="O357"/>
  <c r="Q357" s="1"/>
  <c r="P45"/>
  <c r="O45"/>
  <c r="P356"/>
  <c r="O356"/>
  <c r="Q356" s="1"/>
  <c r="P355"/>
  <c r="O355"/>
  <c r="Q355" s="1"/>
  <c r="P44"/>
  <c r="O44"/>
  <c r="P354"/>
  <c r="O354"/>
  <c r="P353"/>
  <c r="O353"/>
  <c r="P352"/>
  <c r="O352"/>
  <c r="Q352" s="1"/>
  <c r="P341"/>
  <c r="Q341" s="1"/>
  <c r="O341"/>
  <c r="P351"/>
  <c r="O351"/>
  <c r="P350"/>
  <c r="O350"/>
  <c r="P349"/>
  <c r="O349"/>
  <c r="P348"/>
  <c r="O348"/>
  <c r="P347"/>
  <c r="Q347" s="1"/>
  <c r="O347"/>
  <c r="P346"/>
  <c r="O346"/>
  <c r="Q346" s="1"/>
  <c r="P345"/>
  <c r="O345"/>
  <c r="Q345" s="1"/>
  <c r="P60"/>
  <c r="O60"/>
  <c r="P344"/>
  <c r="O344"/>
  <c r="P59"/>
  <c r="O59"/>
  <c r="Q59" s="1"/>
  <c r="P343"/>
  <c r="O343"/>
  <c r="Q343" s="1"/>
  <c r="P340"/>
  <c r="O340"/>
  <c r="Q340" s="1"/>
  <c r="P43"/>
  <c r="O43"/>
  <c r="P339"/>
  <c r="O339"/>
  <c r="Q339" s="1"/>
  <c r="P338"/>
  <c r="O338"/>
  <c r="P337"/>
  <c r="O337"/>
  <c r="Q337" s="1"/>
  <c r="P172"/>
  <c r="O172"/>
  <c r="P80"/>
  <c r="O80"/>
  <c r="Q80" s="1"/>
  <c r="P336"/>
  <c r="O336"/>
  <c r="Q336" s="1"/>
  <c r="P335"/>
  <c r="O335"/>
  <c r="Q335" s="1"/>
  <c r="P334"/>
  <c r="O334"/>
  <c r="P333"/>
  <c r="O333"/>
  <c r="Q333" s="1"/>
  <c r="P332"/>
  <c r="O332"/>
  <c r="P331"/>
  <c r="O331"/>
  <c r="Q331" s="1"/>
  <c r="P330"/>
  <c r="O330"/>
  <c r="P329"/>
  <c r="O329"/>
  <c r="P328"/>
  <c r="O328"/>
  <c r="P171"/>
  <c r="O171"/>
  <c r="P170"/>
  <c r="Q170" s="1"/>
  <c r="O170"/>
  <c r="P169"/>
  <c r="O169"/>
  <c r="P168"/>
  <c r="O168"/>
  <c r="P167"/>
  <c r="O167"/>
  <c r="P166"/>
  <c r="Q166" s="1"/>
  <c r="O166"/>
  <c r="P165"/>
  <c r="O165"/>
  <c r="P164"/>
  <c r="O164"/>
  <c r="P163"/>
  <c r="O163"/>
  <c r="P162"/>
  <c r="Q162" s="1"/>
  <c r="O162"/>
  <c r="P161"/>
  <c r="O161"/>
  <c r="P160"/>
  <c r="O160"/>
  <c r="P159"/>
  <c r="O159"/>
  <c r="P158"/>
  <c r="O158"/>
  <c r="P157"/>
  <c r="O157"/>
  <c r="P156"/>
  <c r="O156"/>
  <c r="P155"/>
  <c r="O155"/>
  <c r="P154"/>
  <c r="O154"/>
  <c r="P153"/>
  <c r="O153"/>
  <c r="P152"/>
  <c r="O152"/>
  <c r="P313"/>
  <c r="O313"/>
  <c r="P151"/>
  <c r="Q151" s="1"/>
  <c r="O151"/>
  <c r="P150"/>
  <c r="O150"/>
  <c r="P149"/>
  <c r="O149"/>
  <c r="P148"/>
  <c r="O148"/>
  <c r="P147"/>
  <c r="Q147" s="1"/>
  <c r="O147"/>
  <c r="P146"/>
  <c r="O146"/>
  <c r="P312"/>
  <c r="O312"/>
  <c r="P145"/>
  <c r="O145"/>
  <c r="P144"/>
  <c r="O144"/>
  <c r="P311"/>
  <c r="O311"/>
  <c r="P143"/>
  <c r="O143"/>
  <c r="P142"/>
  <c r="O142"/>
  <c r="P141"/>
  <c r="O141"/>
  <c r="P140"/>
  <c r="Q140" s="1"/>
  <c r="O140"/>
  <c r="P139"/>
  <c r="O139"/>
  <c r="P138"/>
  <c r="O138"/>
  <c r="P137"/>
  <c r="O137"/>
  <c r="P136"/>
  <c r="O136"/>
  <c r="P135"/>
  <c r="O135"/>
  <c r="P134"/>
  <c r="O134"/>
  <c r="P310"/>
  <c r="O310"/>
  <c r="P17"/>
  <c r="O17"/>
  <c r="P342"/>
  <c r="O342"/>
  <c r="P16"/>
  <c r="O16"/>
  <c r="P15"/>
  <c r="Q15" s="1"/>
  <c r="O15"/>
  <c r="P14"/>
  <c r="O14"/>
  <c r="P13"/>
  <c r="O13"/>
  <c r="P12"/>
  <c r="O12"/>
  <c r="P11"/>
  <c r="Q11" s="1"/>
  <c r="O11"/>
  <c r="P309"/>
  <c r="O309"/>
  <c r="P308"/>
  <c r="O308"/>
  <c r="P307"/>
  <c r="O307"/>
  <c r="P306"/>
  <c r="O306"/>
  <c r="P305"/>
  <c r="O305"/>
  <c r="P304"/>
  <c r="O304"/>
  <c r="P303"/>
  <c r="O303"/>
  <c r="P302"/>
  <c r="O302"/>
  <c r="P301"/>
  <c r="O301"/>
  <c r="P300"/>
  <c r="O300"/>
  <c r="P299"/>
  <c r="Q299" s="1"/>
  <c r="O299"/>
  <c r="P298"/>
  <c r="Q298" s="1"/>
  <c r="O298"/>
  <c r="P297"/>
  <c r="O297"/>
  <c r="P296"/>
  <c r="O296"/>
  <c r="P225"/>
  <c r="O225"/>
  <c r="P295"/>
  <c r="O295"/>
  <c r="P224"/>
  <c r="O224"/>
  <c r="P223"/>
  <c r="O223"/>
  <c r="P222"/>
  <c r="O222"/>
  <c r="Q222" s="1"/>
  <c r="P221"/>
  <c r="O221"/>
  <c r="P220"/>
  <c r="O220"/>
  <c r="Q220" s="1"/>
  <c r="P219"/>
  <c r="O219"/>
  <c r="Q219" s="1"/>
  <c r="P218"/>
  <c r="O218"/>
  <c r="Q218" s="1"/>
  <c r="P217"/>
  <c r="O217"/>
  <c r="P216"/>
  <c r="O216"/>
  <c r="Q216" s="1"/>
  <c r="P215"/>
  <c r="O215"/>
  <c r="P214"/>
  <c r="O214"/>
  <c r="P213"/>
  <c r="O213"/>
  <c r="P254"/>
  <c r="O254"/>
  <c r="Q254" s="1"/>
  <c r="P212"/>
  <c r="O212"/>
  <c r="Q212" s="1"/>
  <c r="P253"/>
  <c r="O253"/>
  <c r="Q253" s="1"/>
  <c r="P211"/>
  <c r="O211"/>
  <c r="P10"/>
  <c r="O10"/>
  <c r="P9"/>
  <c r="O9"/>
  <c r="Q9" s="1"/>
  <c r="P8"/>
  <c r="O8"/>
  <c r="Q8" s="1"/>
  <c r="P7"/>
  <c r="O7"/>
  <c r="P6"/>
  <c r="O6"/>
  <c r="Q6" s="1"/>
  <c r="P5"/>
  <c r="O5"/>
  <c r="Q5" s="1"/>
  <c r="P4"/>
  <c r="O4"/>
  <c r="Q4" s="1"/>
  <c r="P210"/>
  <c r="O210"/>
  <c r="P209"/>
  <c r="O209"/>
  <c r="Q209" s="1"/>
  <c r="P208"/>
  <c r="O208"/>
  <c r="P207"/>
  <c r="O207"/>
  <c r="Q207" s="1"/>
  <c r="P206"/>
  <c r="O206"/>
  <c r="P205"/>
  <c r="O205"/>
  <c r="Q205" s="1"/>
  <c r="P252"/>
  <c r="O252"/>
  <c r="Q252" s="1"/>
  <c r="P204"/>
  <c r="O204"/>
  <c r="Q204" s="1"/>
  <c r="P251"/>
  <c r="O251"/>
  <c r="P203"/>
  <c r="O203"/>
  <c r="Q203" s="1"/>
  <c r="P250"/>
  <c r="O250"/>
  <c r="Q250" s="1"/>
  <c r="P202"/>
  <c r="O202"/>
  <c r="Q202" s="1"/>
  <c r="P249"/>
  <c r="O249"/>
  <c r="P248"/>
  <c r="O248"/>
  <c r="P314"/>
  <c r="O314"/>
  <c r="P201"/>
  <c r="O201"/>
  <c r="P200"/>
  <c r="O200"/>
  <c r="P199"/>
  <c r="O199"/>
  <c r="P198"/>
  <c r="O198"/>
  <c r="Q198" s="1"/>
  <c r="P197"/>
  <c r="O197"/>
  <c r="Q197" s="1"/>
  <c r="P196"/>
  <c r="Q196" s="1"/>
  <c r="O196"/>
  <c r="P34"/>
  <c r="Q34" s="1"/>
  <c r="O34"/>
  <c r="P3"/>
  <c r="O3"/>
  <c r="P33"/>
  <c r="O33"/>
  <c r="P32"/>
  <c r="Q32" s="1"/>
  <c r="O32"/>
  <c r="Q31"/>
  <c r="P31"/>
  <c r="O31"/>
  <c r="P28"/>
  <c r="O28"/>
  <c r="Q28" s="1"/>
  <c r="P30"/>
  <c r="O30"/>
  <c r="Q30" s="1"/>
  <c r="P27"/>
  <c r="O27"/>
  <c r="P29"/>
  <c r="O29"/>
  <c r="Q29" s="1"/>
  <c r="P26"/>
  <c r="O26"/>
  <c r="Q26" s="1"/>
  <c r="P25"/>
  <c r="O25"/>
  <c r="Q25" s="1"/>
  <c r="P24"/>
  <c r="O24"/>
  <c r="P23"/>
  <c r="O23"/>
  <c r="Q23" s="1"/>
  <c r="P22"/>
  <c r="O22"/>
  <c r="Q22" s="1"/>
  <c r="P21"/>
  <c r="O21"/>
  <c r="Q21" s="1"/>
  <c r="P247"/>
  <c r="O247"/>
  <c r="P20"/>
  <c r="O20"/>
  <c r="Q20" s="1"/>
  <c r="P246"/>
  <c r="O246"/>
  <c r="Q246" s="1"/>
  <c r="P19"/>
  <c r="O19"/>
  <c r="P245"/>
  <c r="O245"/>
  <c r="P244"/>
  <c r="O244"/>
  <c r="Q244" s="1"/>
  <c r="P243"/>
  <c r="O243"/>
  <c r="Q243" s="1"/>
  <c r="P242"/>
  <c r="O242"/>
  <c r="Q242" s="1"/>
  <c r="P241"/>
  <c r="Q241" s="1"/>
  <c r="O241"/>
  <c r="P240"/>
  <c r="O240"/>
  <c r="P239"/>
  <c r="O239"/>
  <c r="P238"/>
  <c r="O238"/>
  <c r="P237"/>
  <c r="Q237" s="1"/>
  <c r="O237"/>
  <c r="P236"/>
  <c r="O236"/>
  <c r="P235"/>
  <c r="O235"/>
  <c r="Q234"/>
  <c r="P234"/>
  <c r="O234"/>
  <c r="P233"/>
  <c r="O233"/>
  <c r="P232"/>
  <c r="O232"/>
  <c r="Q232" s="1"/>
  <c r="P231"/>
  <c r="O231"/>
  <c r="Q231" s="1"/>
  <c r="P230"/>
  <c r="O230"/>
  <c r="Q230" s="1"/>
  <c r="P229"/>
  <c r="O229"/>
  <c r="P228"/>
  <c r="O228"/>
  <c r="Q228" s="1"/>
  <c r="P227"/>
  <c r="O227"/>
  <c r="K414" i="9" l="1"/>
  <c r="J414"/>
  <c r="S5"/>
  <c r="S13"/>
  <c r="S23"/>
  <c r="S3"/>
  <c r="S37"/>
  <c r="S47"/>
  <c r="S57"/>
  <c r="S65"/>
  <c r="S75"/>
  <c r="S83"/>
  <c r="S93"/>
  <c r="S101"/>
  <c r="S110"/>
  <c r="S119"/>
  <c r="S128"/>
  <c r="S136"/>
  <c r="S145"/>
  <c r="S153"/>
  <c r="S161"/>
  <c r="S169"/>
  <c r="S177"/>
  <c r="S186"/>
  <c r="S194"/>
  <c r="S203"/>
  <c r="S211"/>
  <c r="S219"/>
  <c r="S227"/>
  <c r="S237"/>
  <c r="S245"/>
  <c r="S253"/>
  <c r="S261"/>
  <c r="S270"/>
  <c r="S278"/>
  <c r="S287"/>
  <c r="S295"/>
  <c r="S304"/>
  <c r="S312"/>
  <c r="S322"/>
  <c r="S331"/>
  <c r="S339"/>
  <c r="S348"/>
  <c r="S357"/>
  <c r="S366"/>
  <c r="S376"/>
  <c r="S384"/>
  <c r="S393"/>
  <c r="S402"/>
  <c r="S410"/>
  <c r="I414"/>
  <c r="Q414"/>
  <c r="S12"/>
  <c r="S22"/>
  <c r="S30"/>
  <c r="S36"/>
  <c r="S46"/>
  <c r="S56"/>
  <c r="S64"/>
  <c r="S74"/>
  <c r="S82"/>
  <c r="S92"/>
  <c r="S100"/>
  <c r="S109"/>
  <c r="S118"/>
  <c r="S127"/>
  <c r="S135"/>
  <c r="S144"/>
  <c r="S152"/>
  <c r="S160"/>
  <c r="S168"/>
  <c r="S176"/>
  <c r="S184"/>
  <c r="S193"/>
  <c r="S202"/>
  <c r="S210"/>
  <c r="S218"/>
  <c r="S226"/>
  <c r="S235"/>
  <c r="S244"/>
  <c r="S252"/>
  <c r="S260"/>
  <c r="S269"/>
  <c r="S277"/>
  <c r="S286"/>
  <c r="S294"/>
  <c r="S303"/>
  <c r="S311"/>
  <c r="S321"/>
  <c r="S329"/>
  <c r="S338"/>
  <c r="S347"/>
  <c r="S355"/>
  <c r="S374"/>
  <c r="S383"/>
  <c r="S392"/>
  <c r="S401"/>
  <c r="S409"/>
  <c r="H414"/>
  <c r="P414"/>
  <c r="S11"/>
  <c r="S21"/>
  <c r="S29"/>
  <c r="S35"/>
  <c r="S45"/>
  <c r="S55"/>
  <c r="S63"/>
  <c r="S72"/>
  <c r="S81"/>
  <c r="S99"/>
  <c r="S108"/>
  <c r="S117"/>
  <c r="S126"/>
  <c r="S134"/>
  <c r="S143"/>
  <c r="S151"/>
  <c r="S159"/>
  <c r="S167"/>
  <c r="S175"/>
  <c r="S183"/>
  <c r="S192"/>
  <c r="S200"/>
  <c r="S209"/>
  <c r="S217"/>
  <c r="S225"/>
  <c r="S234"/>
  <c r="S243"/>
  <c r="S251"/>
  <c r="S259"/>
  <c r="S268"/>
  <c r="S276"/>
  <c r="S285"/>
  <c r="S293"/>
  <c r="S302"/>
  <c r="S310"/>
  <c r="S320"/>
  <c r="S328"/>
  <c r="S337"/>
  <c r="S346"/>
  <c r="S354"/>
  <c r="S363"/>
  <c r="S373"/>
  <c r="S382"/>
  <c r="S391"/>
  <c r="S400"/>
  <c r="S408"/>
  <c r="G414"/>
  <c r="O414"/>
  <c r="S10"/>
  <c r="S18"/>
  <c r="S28"/>
  <c r="S34"/>
  <c r="S53"/>
  <c r="S62"/>
  <c r="S71"/>
  <c r="S80"/>
  <c r="S88"/>
  <c r="S98"/>
  <c r="S107"/>
  <c r="S116"/>
  <c r="S124"/>
  <c r="S133"/>
  <c r="S142"/>
  <c r="S150"/>
  <c r="S158"/>
  <c r="S166"/>
  <c r="S174"/>
  <c r="S182"/>
  <c r="S191"/>
  <c r="S199"/>
  <c r="S208"/>
  <c r="S216"/>
  <c r="S224"/>
  <c r="S242"/>
  <c r="S250"/>
  <c r="S258"/>
  <c r="S267"/>
  <c r="S275"/>
  <c r="S284"/>
  <c r="S292"/>
  <c r="S301"/>
  <c r="S309"/>
  <c r="S319"/>
  <c r="S327"/>
  <c r="S336"/>
  <c r="S345"/>
  <c r="S353"/>
  <c r="S362"/>
  <c r="S372"/>
  <c r="S381"/>
  <c r="S390"/>
  <c r="S399"/>
  <c r="S407"/>
  <c r="F414"/>
  <c r="N414"/>
  <c r="S9"/>
  <c r="S17"/>
  <c r="S27"/>
  <c r="S33"/>
  <c r="S42"/>
  <c r="S52"/>
  <c r="S61"/>
  <c r="S70"/>
  <c r="S79"/>
  <c r="S87"/>
  <c r="S97"/>
  <c r="S115"/>
  <c r="S123"/>
  <c r="S132"/>
  <c r="S141"/>
  <c r="S149"/>
  <c r="S157"/>
  <c r="S165"/>
  <c r="S173"/>
  <c r="S181"/>
  <c r="S190"/>
  <c r="S198"/>
  <c r="S207"/>
  <c r="S215"/>
  <c r="S223"/>
  <c r="S231"/>
  <c r="S241"/>
  <c r="S249"/>
  <c r="S257"/>
  <c r="S266"/>
  <c r="S274"/>
  <c r="S283"/>
  <c r="S291"/>
  <c r="S300"/>
  <c r="S308"/>
  <c r="S326"/>
  <c r="S335"/>
  <c r="S344"/>
  <c r="S352"/>
  <c r="S361"/>
  <c r="S371"/>
  <c r="S380"/>
  <c r="S389"/>
  <c r="S398"/>
  <c r="S406"/>
  <c r="E414"/>
  <c r="M414"/>
  <c r="S8"/>
  <c r="S16"/>
  <c r="S26"/>
  <c r="S41"/>
  <c r="S51"/>
  <c r="S60"/>
  <c r="S69"/>
  <c r="S78"/>
  <c r="S86"/>
  <c r="S96"/>
  <c r="S104"/>
  <c r="S114"/>
  <c r="S122"/>
  <c r="S131"/>
  <c r="S140"/>
  <c r="S148"/>
  <c r="S156"/>
  <c r="S164"/>
  <c r="S172"/>
  <c r="S180"/>
  <c r="S189"/>
  <c r="S197"/>
  <c r="S206"/>
  <c r="S214"/>
  <c r="S222"/>
  <c r="S230"/>
  <c r="S240"/>
  <c r="S248"/>
  <c r="S256"/>
  <c r="S264"/>
  <c r="S273"/>
  <c r="S282"/>
  <c r="S290"/>
  <c r="S299"/>
  <c r="S307"/>
  <c r="S315"/>
  <c r="S325"/>
  <c r="S334"/>
  <c r="S343"/>
  <c r="S351"/>
  <c r="S360"/>
  <c r="S370"/>
  <c r="S379"/>
  <c r="S388"/>
  <c r="S397"/>
  <c r="S405"/>
  <c r="D414"/>
  <c r="L414"/>
  <c r="S7"/>
  <c r="S15"/>
  <c r="S25"/>
  <c r="S20"/>
  <c r="S40"/>
  <c r="S50"/>
  <c r="S59"/>
  <c r="S68"/>
  <c r="S77"/>
  <c r="S85"/>
  <c r="S95"/>
  <c r="S103"/>
  <c r="S113"/>
  <c r="S121"/>
  <c r="S130"/>
  <c r="S139"/>
  <c r="S147"/>
  <c r="S155"/>
  <c r="S163"/>
  <c r="S171"/>
  <c r="S179"/>
  <c r="S188"/>
  <c r="S196"/>
  <c r="S205"/>
  <c r="S213"/>
  <c r="S221"/>
  <c r="S229"/>
  <c r="S239"/>
  <c r="S247"/>
  <c r="S255"/>
  <c r="S263"/>
  <c r="S272"/>
  <c r="S281"/>
  <c r="S289"/>
  <c r="S298"/>
  <c r="S306"/>
  <c r="S314"/>
  <c r="S324"/>
  <c r="S333"/>
  <c r="S342"/>
  <c r="S350"/>
  <c r="S359"/>
  <c r="S369"/>
  <c r="S378"/>
  <c r="S387"/>
  <c r="S395"/>
  <c r="S404"/>
  <c r="S412"/>
  <c r="C414"/>
  <c r="S6"/>
  <c r="S14"/>
  <c r="S76"/>
  <c r="S94"/>
  <c r="S112"/>
  <c r="S129"/>
  <c r="S146"/>
  <c r="S154"/>
  <c r="S162"/>
  <c r="S170"/>
  <c r="S187"/>
  <c r="S204"/>
  <c r="S212"/>
  <c r="S220"/>
  <c r="S238"/>
  <c r="S246"/>
  <c r="S254"/>
  <c r="S280"/>
  <c r="S297"/>
  <c r="S305"/>
  <c r="S332"/>
  <c r="S377"/>
  <c r="S403"/>
  <c r="M468" i="5"/>
  <c r="P48"/>
  <c r="P56"/>
  <c r="P65"/>
  <c r="P73"/>
  <c r="P82"/>
  <c r="R90"/>
  <c r="T101"/>
  <c r="W120"/>
  <c r="S132"/>
  <c r="Y141"/>
  <c r="U152"/>
  <c r="P161"/>
  <c r="V170"/>
  <c r="Q179"/>
  <c r="W188"/>
  <c r="U200"/>
  <c r="W210"/>
  <c r="S223"/>
  <c r="W234"/>
  <c r="P252"/>
  <c r="P272"/>
  <c r="W294"/>
  <c r="P341"/>
  <c r="R365"/>
  <c r="W395"/>
  <c r="R55"/>
  <c r="R63"/>
  <c r="R72"/>
  <c r="R80"/>
  <c r="T89"/>
  <c r="V100"/>
  <c r="V110"/>
  <c r="W119"/>
  <c r="S131"/>
  <c r="X140"/>
  <c r="S150"/>
  <c r="Y159"/>
  <c r="U169"/>
  <c r="Q178"/>
  <c r="W187"/>
  <c r="Y197"/>
  <c r="U209"/>
  <c r="Y221"/>
  <c r="U233"/>
  <c r="W248"/>
  <c r="V269"/>
  <c r="Q291"/>
  <c r="S316"/>
  <c r="V338"/>
  <c r="W362"/>
  <c r="T54"/>
  <c r="T62"/>
  <c r="V70"/>
  <c r="V78"/>
  <c r="V88"/>
  <c r="R98"/>
  <c r="X109"/>
  <c r="V118"/>
  <c r="R130"/>
  <c r="W139"/>
  <c r="S149"/>
  <c r="Y158"/>
  <c r="U168"/>
  <c r="P177"/>
  <c r="V186"/>
  <c r="W195"/>
  <c r="Q208"/>
  <c r="W220"/>
  <c r="R232"/>
  <c r="P247"/>
  <c r="Q267"/>
  <c r="W288"/>
  <c r="T312"/>
  <c r="Q334"/>
  <c r="S384"/>
  <c r="X52"/>
  <c r="X60"/>
  <c r="X69"/>
  <c r="X77"/>
  <c r="X86"/>
  <c r="T97"/>
  <c r="P109"/>
  <c r="U117"/>
  <c r="Q129"/>
  <c r="W137"/>
  <c r="R148"/>
  <c r="X157"/>
  <c r="S166"/>
  <c r="Y175"/>
  <c r="U185"/>
  <c r="S194"/>
  <c r="Y206"/>
  <c r="T219"/>
  <c r="Y230"/>
  <c r="T241"/>
  <c r="X285"/>
  <c r="U307"/>
  <c r="U331"/>
  <c r="W357"/>
  <c r="T381"/>
  <c r="P52"/>
  <c r="P60"/>
  <c r="P69"/>
  <c r="P77"/>
  <c r="P86"/>
  <c r="V96"/>
  <c r="U116"/>
  <c r="Q128"/>
  <c r="V136"/>
  <c r="Q146"/>
  <c r="W156"/>
  <c r="S165"/>
  <c r="Y174"/>
  <c r="U184"/>
  <c r="Q193"/>
  <c r="V205"/>
  <c r="Q218"/>
  <c r="W229"/>
  <c r="Y239"/>
  <c r="V260"/>
  <c r="T283"/>
  <c r="Q329"/>
  <c r="T352"/>
  <c r="P379"/>
  <c r="H468"/>
  <c r="R51"/>
  <c r="R59"/>
  <c r="R68"/>
  <c r="R76"/>
  <c r="T84"/>
  <c r="R94"/>
  <c r="T105"/>
  <c r="V114"/>
  <c r="Y124"/>
  <c r="U135"/>
  <c r="Q145"/>
  <c r="W155"/>
  <c r="R164"/>
  <c r="X173"/>
  <c r="S182"/>
  <c r="Y191"/>
  <c r="S204"/>
  <c r="S228"/>
  <c r="V238"/>
  <c r="P259"/>
  <c r="Y280"/>
  <c r="U302"/>
  <c r="R326"/>
  <c r="Y348"/>
  <c r="U376"/>
  <c r="T50"/>
  <c r="T58"/>
  <c r="V66"/>
  <c r="V74"/>
  <c r="V83"/>
  <c r="T93"/>
  <c r="V104"/>
  <c r="X113"/>
  <c r="Y123"/>
  <c r="U134"/>
  <c r="P144"/>
  <c r="V154"/>
  <c r="Q163"/>
  <c r="W172"/>
  <c r="S181"/>
  <c r="Y190"/>
  <c r="Q203"/>
  <c r="U215"/>
  <c r="Q227"/>
  <c r="S237"/>
  <c r="V299"/>
  <c r="X323"/>
  <c r="Y373"/>
  <c r="X48"/>
  <c r="X56"/>
  <c r="X65"/>
  <c r="X73"/>
  <c r="X82"/>
  <c r="V92"/>
  <c r="R102"/>
  <c r="P113"/>
  <c r="X122"/>
  <c r="T133"/>
  <c r="Y142"/>
  <c r="U153"/>
  <c r="Q162"/>
  <c r="W171"/>
  <c r="R180"/>
  <c r="X189"/>
  <c r="W201"/>
  <c r="S214"/>
  <c r="U224"/>
  <c r="X253"/>
  <c r="Y275"/>
  <c r="R297"/>
  <c r="S321"/>
  <c r="U371"/>
  <c r="R122"/>
  <c r="R124"/>
  <c r="V146"/>
  <c r="V142"/>
  <c r="V144"/>
  <c r="V140"/>
  <c r="T272"/>
  <c r="T268"/>
  <c r="T264"/>
  <c r="T260"/>
  <c r="T256"/>
  <c r="T252"/>
  <c r="T248"/>
  <c r="T269"/>
  <c r="T265"/>
  <c r="T271"/>
  <c r="T267"/>
  <c r="T263"/>
  <c r="P428"/>
  <c r="P424"/>
  <c r="P429"/>
  <c r="P425"/>
  <c r="P426"/>
  <c r="P427"/>
  <c r="P423"/>
  <c r="Q241"/>
  <c r="Q240"/>
  <c r="Y241"/>
  <c r="Y240"/>
  <c r="U271"/>
  <c r="U267"/>
  <c r="U263"/>
  <c r="U259"/>
  <c r="U255"/>
  <c r="U251"/>
  <c r="U247"/>
  <c r="U269"/>
  <c r="U254"/>
  <c r="U253"/>
  <c r="U252"/>
  <c r="U266"/>
  <c r="U250"/>
  <c r="U249"/>
  <c r="U248"/>
  <c r="U270"/>
  <c r="U258"/>
  <c r="U257"/>
  <c r="U256"/>
  <c r="S289"/>
  <c r="S285"/>
  <c r="S281"/>
  <c r="S277"/>
  <c r="S291"/>
  <c r="S283"/>
  <c r="S275"/>
  <c r="S288"/>
  <c r="S280"/>
  <c r="S292"/>
  <c r="S284"/>
  <c r="S276"/>
  <c r="Q311"/>
  <c r="Q307"/>
  <c r="Q303"/>
  <c r="Q299"/>
  <c r="Q295"/>
  <c r="Q313"/>
  <c r="Q305"/>
  <c r="Q297"/>
  <c r="Q310"/>
  <c r="Q302"/>
  <c r="Q294"/>
  <c r="Q314"/>
  <c r="Q306"/>
  <c r="Q298"/>
  <c r="Y311"/>
  <c r="Y307"/>
  <c r="Y303"/>
  <c r="Y299"/>
  <c r="Y295"/>
  <c r="Y309"/>
  <c r="Y301"/>
  <c r="Y314"/>
  <c r="Y306"/>
  <c r="Y298"/>
  <c r="Y310"/>
  <c r="Y302"/>
  <c r="Y294"/>
  <c r="W333"/>
  <c r="W329"/>
  <c r="W325"/>
  <c r="W321"/>
  <c r="W317"/>
  <c r="W331"/>
  <c r="W323"/>
  <c r="W328"/>
  <c r="W320"/>
  <c r="W332"/>
  <c r="W324"/>
  <c r="W316"/>
  <c r="S349"/>
  <c r="S345"/>
  <c r="S341"/>
  <c r="S343"/>
  <c r="S348"/>
  <c r="S340"/>
  <c r="S344"/>
  <c r="Q363"/>
  <c r="Q359"/>
  <c r="Q355"/>
  <c r="Q365"/>
  <c r="Q357"/>
  <c r="Q362"/>
  <c r="Q354"/>
  <c r="Q358"/>
  <c r="Y363"/>
  <c r="Y359"/>
  <c r="Y355"/>
  <c r="Y361"/>
  <c r="Y353"/>
  <c r="Y358"/>
  <c r="Y362"/>
  <c r="Y354"/>
  <c r="W385"/>
  <c r="W381"/>
  <c r="W377"/>
  <c r="W373"/>
  <c r="W369"/>
  <c r="W383"/>
  <c r="W375"/>
  <c r="W367"/>
  <c r="W388"/>
  <c r="W380"/>
  <c r="W372"/>
  <c r="W384"/>
  <c r="W376"/>
  <c r="W368"/>
  <c r="U411"/>
  <c r="U407"/>
  <c r="U403"/>
  <c r="U399"/>
  <c r="U395"/>
  <c r="U391"/>
  <c r="U405"/>
  <c r="U397"/>
  <c r="U410"/>
  <c r="U402"/>
  <c r="U394"/>
  <c r="U404"/>
  <c r="U396"/>
  <c r="U409"/>
  <c r="U401"/>
  <c r="U393"/>
  <c r="U406"/>
  <c r="U398"/>
  <c r="U390"/>
  <c r="Q428"/>
  <c r="Q424"/>
  <c r="Q429"/>
  <c r="Q425"/>
  <c r="Q426"/>
  <c r="Q427"/>
  <c r="Q423"/>
  <c r="Y428"/>
  <c r="Y424"/>
  <c r="Y429"/>
  <c r="Y425"/>
  <c r="Y426"/>
  <c r="Y427"/>
  <c r="Y423"/>
  <c r="W442"/>
  <c r="W438"/>
  <c r="W434"/>
  <c r="W439"/>
  <c r="W435"/>
  <c r="W431"/>
  <c r="W440"/>
  <c r="W436"/>
  <c r="W432"/>
  <c r="W441"/>
  <c r="W437"/>
  <c r="W433"/>
  <c r="U452"/>
  <c r="U448"/>
  <c r="U444"/>
  <c r="U453"/>
  <c r="U449"/>
  <c r="U445"/>
  <c r="U454"/>
  <c r="U450"/>
  <c r="U446"/>
  <c r="U455"/>
  <c r="U451"/>
  <c r="U447"/>
  <c r="S466"/>
  <c r="S462"/>
  <c r="S458"/>
  <c r="S467"/>
  <c r="S463"/>
  <c r="S459"/>
  <c r="S464"/>
  <c r="S460"/>
  <c r="S465"/>
  <c r="S461"/>
  <c r="S457"/>
  <c r="V57"/>
  <c r="R199"/>
  <c r="X354"/>
  <c r="F468"/>
  <c r="N468"/>
  <c r="Q48"/>
  <c r="Y48"/>
  <c r="W49"/>
  <c r="U50"/>
  <c r="S51"/>
  <c r="Q52"/>
  <c r="Y52"/>
  <c r="W53"/>
  <c r="U54"/>
  <c r="S55"/>
  <c r="Q56"/>
  <c r="Y56"/>
  <c r="W57"/>
  <c r="U58"/>
  <c r="S59"/>
  <c r="Q60"/>
  <c r="Y60"/>
  <c r="W61"/>
  <c r="U62"/>
  <c r="S63"/>
  <c r="Q65"/>
  <c r="Y65"/>
  <c r="W66"/>
  <c r="U67"/>
  <c r="S68"/>
  <c r="Q69"/>
  <c r="Y69"/>
  <c r="W70"/>
  <c r="U71"/>
  <c r="S72"/>
  <c r="Q73"/>
  <c r="Y73"/>
  <c r="W74"/>
  <c r="U75"/>
  <c r="S76"/>
  <c r="Q77"/>
  <c r="Y77"/>
  <c r="W78"/>
  <c r="U79"/>
  <c r="S80"/>
  <c r="Q82"/>
  <c r="Y82"/>
  <c r="W83"/>
  <c r="U84"/>
  <c r="S85"/>
  <c r="Q86"/>
  <c r="Y86"/>
  <c r="W88"/>
  <c r="U89"/>
  <c r="S90"/>
  <c r="Q91"/>
  <c r="Y91"/>
  <c r="W92"/>
  <c r="U93"/>
  <c r="S94"/>
  <c r="Q95"/>
  <c r="Y95"/>
  <c r="W96"/>
  <c r="U97"/>
  <c r="S98"/>
  <c r="Q99"/>
  <c r="Y99"/>
  <c r="W100"/>
  <c r="U101"/>
  <c r="S102"/>
  <c r="Q103"/>
  <c r="Y103"/>
  <c r="W104"/>
  <c r="U105"/>
  <c r="Q109"/>
  <c r="Y109"/>
  <c r="W110"/>
  <c r="U111"/>
  <c r="S112"/>
  <c r="Q113"/>
  <c r="Y113"/>
  <c r="W114"/>
  <c r="U115"/>
  <c r="V116"/>
  <c r="W117"/>
  <c r="W118"/>
  <c r="X119"/>
  <c r="Y120"/>
  <c r="P124"/>
  <c r="Q126"/>
  <c r="Q127"/>
  <c r="R128"/>
  <c r="S129"/>
  <c r="S130"/>
  <c r="T131"/>
  <c r="U132"/>
  <c r="U133"/>
  <c r="W135"/>
  <c r="W136"/>
  <c r="X137"/>
  <c r="Y139"/>
  <c r="Y140"/>
  <c r="P142"/>
  <c r="Q143"/>
  <c r="Q144"/>
  <c r="S146"/>
  <c r="S148"/>
  <c r="T149"/>
  <c r="U150"/>
  <c r="U151"/>
  <c r="V152"/>
  <c r="W153"/>
  <c r="W154"/>
  <c r="X155"/>
  <c r="Y156"/>
  <c r="Y157"/>
  <c r="P159"/>
  <c r="Q160"/>
  <c r="Q161"/>
  <c r="R162"/>
  <c r="S163"/>
  <c r="S164"/>
  <c r="T165"/>
  <c r="U166"/>
  <c r="U167"/>
  <c r="V168"/>
  <c r="W169"/>
  <c r="W170"/>
  <c r="X171"/>
  <c r="Y172"/>
  <c r="Y173"/>
  <c r="P175"/>
  <c r="Q176"/>
  <c r="Q177"/>
  <c r="R178"/>
  <c r="S179"/>
  <c r="S180"/>
  <c r="T181"/>
  <c r="U182"/>
  <c r="U183"/>
  <c r="V184"/>
  <c r="W185"/>
  <c r="W186"/>
  <c r="X187"/>
  <c r="Y188"/>
  <c r="Y189"/>
  <c r="P191"/>
  <c r="Q192"/>
  <c r="S193"/>
  <c r="U194"/>
  <c r="X195"/>
  <c r="Q198"/>
  <c r="S199"/>
  <c r="W200"/>
  <c r="Y201"/>
  <c r="U204"/>
  <c r="W205"/>
  <c r="Q207"/>
  <c r="S208"/>
  <c r="V209"/>
  <c r="Y210"/>
  <c r="Q213"/>
  <c r="U214"/>
  <c r="W215"/>
  <c r="S218"/>
  <c r="U219"/>
  <c r="Y220"/>
  <c r="Q222"/>
  <c r="T223"/>
  <c r="W224"/>
  <c r="Y225"/>
  <c r="S227"/>
  <c r="U228"/>
  <c r="X229"/>
  <c r="Q231"/>
  <c r="S232"/>
  <c r="W233"/>
  <c r="Y234"/>
  <c r="R236"/>
  <c r="U237"/>
  <c r="R240"/>
  <c r="U245"/>
  <c r="R247"/>
  <c r="X248"/>
  <c r="V250"/>
  <c r="R252"/>
  <c r="Q254"/>
  <c r="X255"/>
  <c r="T257"/>
  <c r="R259"/>
  <c r="X260"/>
  <c r="U262"/>
  <c r="X264"/>
  <c r="R267"/>
  <c r="Q270"/>
  <c r="U272"/>
  <c r="V278"/>
  <c r="Y283"/>
  <c r="S286"/>
  <c r="T291"/>
  <c r="X294"/>
  <c r="W297"/>
  <c r="Q300"/>
  <c r="R305"/>
  <c r="U310"/>
  <c r="Y312"/>
  <c r="P319"/>
  <c r="S324"/>
  <c r="W326"/>
  <c r="S329"/>
  <c r="X331"/>
  <c r="R334"/>
  <c r="Q339"/>
  <c r="U341"/>
  <c r="V346"/>
  <c r="Y352"/>
  <c r="S355"/>
  <c r="Y357"/>
  <c r="T360"/>
  <c r="Q369"/>
  <c r="W371"/>
  <c r="R374"/>
  <c r="V376"/>
  <c r="U379"/>
  <c r="Y381"/>
  <c r="P387"/>
  <c r="Q410"/>
  <c r="T120"/>
  <c r="T116"/>
  <c r="T118"/>
  <c r="X240"/>
  <c r="X239"/>
  <c r="X235"/>
  <c r="X231"/>
  <c r="X227"/>
  <c r="X223"/>
  <c r="X219"/>
  <c r="X215"/>
  <c r="X236"/>
  <c r="X232"/>
  <c r="X228"/>
  <c r="X224"/>
  <c r="X220"/>
  <c r="X216"/>
  <c r="X212"/>
  <c r="X238"/>
  <c r="X234"/>
  <c r="X230"/>
  <c r="X226"/>
  <c r="X222"/>
  <c r="X218"/>
  <c r="X214"/>
  <c r="P364"/>
  <c r="P360"/>
  <c r="P356"/>
  <c r="P352"/>
  <c r="P365"/>
  <c r="P361"/>
  <c r="P357"/>
  <c r="P353"/>
  <c r="P363"/>
  <c r="P359"/>
  <c r="P355"/>
  <c r="T452"/>
  <c r="T448"/>
  <c r="T444"/>
  <c r="T453"/>
  <c r="T449"/>
  <c r="T445"/>
  <c r="T454"/>
  <c r="T450"/>
  <c r="T446"/>
  <c r="T455"/>
  <c r="T451"/>
  <c r="T447"/>
  <c r="W240"/>
  <c r="W241"/>
  <c r="S272"/>
  <c r="S268"/>
  <c r="S264"/>
  <c r="S260"/>
  <c r="S256"/>
  <c r="S252"/>
  <c r="S248"/>
  <c r="S266"/>
  <c r="S251"/>
  <c r="S250"/>
  <c r="S249"/>
  <c r="S271"/>
  <c r="S263"/>
  <c r="S262"/>
  <c r="S261"/>
  <c r="S247"/>
  <c r="S246"/>
  <c r="S245"/>
  <c r="S267"/>
  <c r="S255"/>
  <c r="S254"/>
  <c r="S253"/>
  <c r="Q290"/>
  <c r="Q286"/>
  <c r="Q282"/>
  <c r="Q278"/>
  <c r="Q274"/>
  <c r="Q288"/>
  <c r="Q280"/>
  <c r="Q285"/>
  <c r="Q277"/>
  <c r="Q289"/>
  <c r="Q281"/>
  <c r="Y290"/>
  <c r="Y286"/>
  <c r="Y282"/>
  <c r="Y278"/>
  <c r="Y274"/>
  <c r="Y292"/>
  <c r="Y284"/>
  <c r="Y276"/>
  <c r="Y289"/>
  <c r="Y281"/>
  <c r="Y285"/>
  <c r="Y277"/>
  <c r="W312"/>
  <c r="W308"/>
  <c r="W304"/>
  <c r="W300"/>
  <c r="W296"/>
  <c r="W314"/>
  <c r="W306"/>
  <c r="W298"/>
  <c r="W311"/>
  <c r="W303"/>
  <c r="W295"/>
  <c r="W307"/>
  <c r="W299"/>
  <c r="U334"/>
  <c r="U330"/>
  <c r="U326"/>
  <c r="U322"/>
  <c r="U318"/>
  <c r="U328"/>
  <c r="U320"/>
  <c r="U333"/>
  <c r="U325"/>
  <c r="U317"/>
  <c r="U329"/>
  <c r="U321"/>
  <c r="Q350"/>
  <c r="Q346"/>
  <c r="Q342"/>
  <c r="Q338"/>
  <c r="Q348"/>
  <c r="Q340"/>
  <c r="Q345"/>
  <c r="Q349"/>
  <c r="Q341"/>
  <c r="Y350"/>
  <c r="Y346"/>
  <c r="Y342"/>
  <c r="Y338"/>
  <c r="Y344"/>
  <c r="Y349"/>
  <c r="Y341"/>
  <c r="Y345"/>
  <c r="W364"/>
  <c r="W360"/>
  <c r="W356"/>
  <c r="W352"/>
  <c r="W358"/>
  <c r="W363"/>
  <c r="W355"/>
  <c r="W359"/>
  <c r="U386"/>
  <c r="U382"/>
  <c r="U378"/>
  <c r="U374"/>
  <c r="U370"/>
  <c r="U388"/>
  <c r="U380"/>
  <c r="U372"/>
  <c r="U385"/>
  <c r="U377"/>
  <c r="U369"/>
  <c r="U387"/>
  <c r="U381"/>
  <c r="U373"/>
  <c r="S408"/>
  <c r="S404"/>
  <c r="S400"/>
  <c r="S396"/>
  <c r="S392"/>
  <c r="S410"/>
  <c r="S402"/>
  <c r="S394"/>
  <c r="S407"/>
  <c r="S399"/>
  <c r="S391"/>
  <c r="S409"/>
  <c r="S401"/>
  <c r="S393"/>
  <c r="S406"/>
  <c r="S398"/>
  <c r="S390"/>
  <c r="S411"/>
  <c r="S403"/>
  <c r="S395"/>
  <c r="W429"/>
  <c r="W425"/>
  <c r="W426"/>
  <c r="W427"/>
  <c r="W423"/>
  <c r="W428"/>
  <c r="W424"/>
  <c r="U439"/>
  <c r="U435"/>
  <c r="U431"/>
  <c r="U440"/>
  <c r="U436"/>
  <c r="U432"/>
  <c r="U441"/>
  <c r="U437"/>
  <c r="U433"/>
  <c r="U442"/>
  <c r="U438"/>
  <c r="U434"/>
  <c r="S453"/>
  <c r="S449"/>
  <c r="S445"/>
  <c r="S454"/>
  <c r="S450"/>
  <c r="S446"/>
  <c r="S455"/>
  <c r="S451"/>
  <c r="S447"/>
  <c r="S452"/>
  <c r="S448"/>
  <c r="S444"/>
  <c r="Q467"/>
  <c r="Q463"/>
  <c r="Q459"/>
  <c r="Q464"/>
  <c r="Q460"/>
  <c r="Q465"/>
  <c r="Q461"/>
  <c r="Q457"/>
  <c r="Q466"/>
  <c r="Q462"/>
  <c r="Q458"/>
  <c r="Y467"/>
  <c r="Y463"/>
  <c r="Y459"/>
  <c r="Y464"/>
  <c r="Y460"/>
  <c r="Y465"/>
  <c r="Y461"/>
  <c r="Y457"/>
  <c r="Y466"/>
  <c r="Y462"/>
  <c r="Y458"/>
  <c r="R85"/>
  <c r="P91"/>
  <c r="X99"/>
  <c r="T151"/>
  <c r="T183"/>
  <c r="T250"/>
  <c r="T255"/>
  <c r="W48"/>
  <c r="U49"/>
  <c r="S50"/>
  <c r="Q51"/>
  <c r="Y51"/>
  <c r="W52"/>
  <c r="U53"/>
  <c r="S54"/>
  <c r="Q55"/>
  <c r="Y55"/>
  <c r="W56"/>
  <c r="U57"/>
  <c r="S58"/>
  <c r="Q59"/>
  <c r="Y59"/>
  <c r="W60"/>
  <c r="U61"/>
  <c r="S62"/>
  <c r="Q63"/>
  <c r="Y63"/>
  <c r="W65"/>
  <c r="U66"/>
  <c r="S67"/>
  <c r="Q68"/>
  <c r="Y68"/>
  <c r="W69"/>
  <c r="U70"/>
  <c r="S71"/>
  <c r="Q72"/>
  <c r="Y72"/>
  <c r="W73"/>
  <c r="U74"/>
  <c r="S75"/>
  <c r="Q76"/>
  <c r="Y76"/>
  <c r="W77"/>
  <c r="U78"/>
  <c r="S79"/>
  <c r="Q80"/>
  <c r="Y80"/>
  <c r="W82"/>
  <c r="U83"/>
  <c r="S84"/>
  <c r="Q85"/>
  <c r="Y85"/>
  <c r="W86"/>
  <c r="U88"/>
  <c r="S89"/>
  <c r="Q90"/>
  <c r="Y90"/>
  <c r="W91"/>
  <c r="U92"/>
  <c r="S93"/>
  <c r="Q94"/>
  <c r="Y94"/>
  <c r="W95"/>
  <c r="U96"/>
  <c r="S97"/>
  <c r="Q98"/>
  <c r="Y98"/>
  <c r="W99"/>
  <c r="U100"/>
  <c r="S101"/>
  <c r="Q102"/>
  <c r="Y102"/>
  <c r="W103"/>
  <c r="U104"/>
  <c r="S105"/>
  <c r="W109"/>
  <c r="U110"/>
  <c r="S111"/>
  <c r="Q112"/>
  <c r="Y112"/>
  <c r="W113"/>
  <c r="U114"/>
  <c r="S115"/>
  <c r="S116"/>
  <c r="T117"/>
  <c r="U118"/>
  <c r="U119"/>
  <c r="V120"/>
  <c r="W122"/>
  <c r="W123"/>
  <c r="X124"/>
  <c r="Y126"/>
  <c r="Y127"/>
  <c r="P129"/>
  <c r="Q130"/>
  <c r="Q131"/>
  <c r="R132"/>
  <c r="S133"/>
  <c r="S134"/>
  <c r="T135"/>
  <c r="U136"/>
  <c r="U137"/>
  <c r="V139"/>
  <c r="W140"/>
  <c r="W141"/>
  <c r="X142"/>
  <c r="Y143"/>
  <c r="Y144"/>
  <c r="Q148"/>
  <c r="Q149"/>
  <c r="R150"/>
  <c r="S151"/>
  <c r="S152"/>
  <c r="T153"/>
  <c r="U154"/>
  <c r="U155"/>
  <c r="V156"/>
  <c r="W157"/>
  <c r="W158"/>
  <c r="X159"/>
  <c r="Y160"/>
  <c r="Y161"/>
  <c r="P163"/>
  <c r="Q164"/>
  <c r="Q165"/>
  <c r="R166"/>
  <c r="S167"/>
  <c r="S168"/>
  <c r="T169"/>
  <c r="U170"/>
  <c r="U171"/>
  <c r="V172"/>
  <c r="W173"/>
  <c r="W174"/>
  <c r="X175"/>
  <c r="Y176"/>
  <c r="Y177"/>
  <c r="P179"/>
  <c r="Q180"/>
  <c r="Q181"/>
  <c r="R182"/>
  <c r="S183"/>
  <c r="S184"/>
  <c r="T185"/>
  <c r="U186"/>
  <c r="U187"/>
  <c r="V188"/>
  <c r="W189"/>
  <c r="W190"/>
  <c r="X191"/>
  <c r="Y192"/>
  <c r="U195"/>
  <c r="W197"/>
  <c r="Q199"/>
  <c r="S200"/>
  <c r="V201"/>
  <c r="Y202"/>
  <c r="Q204"/>
  <c r="U205"/>
  <c r="W206"/>
  <c r="S209"/>
  <c r="U210"/>
  <c r="Y212"/>
  <c r="Q214"/>
  <c r="T215"/>
  <c r="W216"/>
  <c r="Y217"/>
  <c r="S219"/>
  <c r="U220"/>
  <c r="X221"/>
  <c r="Q223"/>
  <c r="S224"/>
  <c r="W225"/>
  <c r="Y226"/>
  <c r="R228"/>
  <c r="U229"/>
  <c r="W230"/>
  <c r="Q232"/>
  <c r="S233"/>
  <c r="Y235"/>
  <c r="Q237"/>
  <c r="U238"/>
  <c r="W239"/>
  <c r="S241"/>
  <c r="P245"/>
  <c r="V246"/>
  <c r="V248"/>
  <c r="R250"/>
  <c r="Y251"/>
  <c r="V253"/>
  <c r="R255"/>
  <c r="P257"/>
  <c r="V258"/>
  <c r="U260"/>
  <c r="P264"/>
  <c r="Y266"/>
  <c r="S269"/>
  <c r="Y271"/>
  <c r="T275"/>
  <c r="W280"/>
  <c r="Q283"/>
  <c r="W285"/>
  <c r="R288"/>
  <c r="V290"/>
  <c r="U294"/>
  <c r="Y296"/>
  <c r="U299"/>
  <c r="P302"/>
  <c r="T304"/>
  <c r="S307"/>
  <c r="W309"/>
  <c r="S312"/>
  <c r="Q321"/>
  <c r="U323"/>
  <c r="Q326"/>
  <c r="V328"/>
  <c r="P331"/>
  <c r="Y333"/>
  <c r="S338"/>
  <c r="Y340"/>
  <c r="T343"/>
  <c r="W348"/>
  <c r="Q352"/>
  <c r="W354"/>
  <c r="R357"/>
  <c r="U362"/>
  <c r="Y364"/>
  <c r="U368"/>
  <c r="P371"/>
  <c r="S376"/>
  <c r="W378"/>
  <c r="S381"/>
  <c r="X383"/>
  <c r="R386"/>
  <c r="E468"/>
  <c r="P3"/>
  <c r="P240"/>
  <c r="P239"/>
  <c r="P235"/>
  <c r="P231"/>
  <c r="P227"/>
  <c r="P223"/>
  <c r="P219"/>
  <c r="P215"/>
  <c r="P236"/>
  <c r="P232"/>
  <c r="P228"/>
  <c r="P224"/>
  <c r="P220"/>
  <c r="P216"/>
  <c r="P212"/>
  <c r="P238"/>
  <c r="P234"/>
  <c r="P230"/>
  <c r="P226"/>
  <c r="P222"/>
  <c r="P218"/>
  <c r="P214"/>
  <c r="X312"/>
  <c r="X308"/>
  <c r="X304"/>
  <c r="X300"/>
  <c r="X296"/>
  <c r="X313"/>
  <c r="X309"/>
  <c r="X305"/>
  <c r="X301"/>
  <c r="X297"/>
  <c r="X311"/>
  <c r="X307"/>
  <c r="X303"/>
  <c r="X299"/>
  <c r="X295"/>
  <c r="X364"/>
  <c r="X360"/>
  <c r="X356"/>
  <c r="X352"/>
  <c r="X365"/>
  <c r="X361"/>
  <c r="X357"/>
  <c r="X353"/>
  <c r="X363"/>
  <c r="X359"/>
  <c r="X355"/>
  <c r="R466"/>
  <c r="R462"/>
  <c r="R458"/>
  <c r="R467"/>
  <c r="R463"/>
  <c r="R459"/>
  <c r="R464"/>
  <c r="R460"/>
  <c r="R465"/>
  <c r="R461"/>
  <c r="R457"/>
  <c r="R117"/>
  <c r="R119"/>
  <c r="V137"/>
  <c r="V133"/>
  <c r="V129"/>
  <c r="V135"/>
  <c r="V131"/>
  <c r="V127"/>
  <c r="T143"/>
  <c r="T139"/>
  <c r="T145"/>
  <c r="T141"/>
  <c r="R193"/>
  <c r="R189"/>
  <c r="R185"/>
  <c r="R181"/>
  <c r="R177"/>
  <c r="R173"/>
  <c r="R169"/>
  <c r="R165"/>
  <c r="R161"/>
  <c r="R157"/>
  <c r="R153"/>
  <c r="R149"/>
  <c r="R195"/>
  <c r="R191"/>
  <c r="R187"/>
  <c r="R183"/>
  <c r="R179"/>
  <c r="R175"/>
  <c r="R171"/>
  <c r="R167"/>
  <c r="R163"/>
  <c r="R159"/>
  <c r="R155"/>
  <c r="R151"/>
  <c r="P210"/>
  <c r="P206"/>
  <c r="P202"/>
  <c r="P198"/>
  <c r="P207"/>
  <c r="P203"/>
  <c r="P199"/>
  <c r="P209"/>
  <c r="P205"/>
  <c r="P201"/>
  <c r="P197"/>
  <c r="X210"/>
  <c r="X206"/>
  <c r="X202"/>
  <c r="X198"/>
  <c r="X207"/>
  <c r="X203"/>
  <c r="X199"/>
  <c r="X209"/>
  <c r="X205"/>
  <c r="X201"/>
  <c r="X197"/>
  <c r="V241"/>
  <c r="V236"/>
  <c r="V232"/>
  <c r="V228"/>
  <c r="V224"/>
  <c r="V220"/>
  <c r="V216"/>
  <c r="V212"/>
  <c r="V237"/>
  <c r="V233"/>
  <c r="V229"/>
  <c r="V225"/>
  <c r="V221"/>
  <c r="V217"/>
  <c r="V213"/>
  <c r="V239"/>
  <c r="V235"/>
  <c r="V231"/>
  <c r="V227"/>
  <c r="V223"/>
  <c r="V219"/>
  <c r="V215"/>
  <c r="R269"/>
  <c r="R265"/>
  <c r="R261"/>
  <c r="R257"/>
  <c r="R253"/>
  <c r="R249"/>
  <c r="R245"/>
  <c r="R270"/>
  <c r="R266"/>
  <c r="R272"/>
  <c r="R268"/>
  <c r="R264"/>
  <c r="P291"/>
  <c r="P287"/>
  <c r="P283"/>
  <c r="P279"/>
  <c r="P275"/>
  <c r="P292"/>
  <c r="P288"/>
  <c r="P284"/>
  <c r="P280"/>
  <c r="P276"/>
  <c r="P290"/>
  <c r="P286"/>
  <c r="P282"/>
  <c r="P278"/>
  <c r="P274"/>
  <c r="X291"/>
  <c r="X287"/>
  <c r="X283"/>
  <c r="X279"/>
  <c r="X275"/>
  <c r="X292"/>
  <c r="X288"/>
  <c r="X284"/>
  <c r="X280"/>
  <c r="X276"/>
  <c r="X290"/>
  <c r="X286"/>
  <c r="X282"/>
  <c r="X278"/>
  <c r="X274"/>
  <c r="V313"/>
  <c r="V309"/>
  <c r="V305"/>
  <c r="V301"/>
  <c r="V297"/>
  <c r="V314"/>
  <c r="V310"/>
  <c r="V306"/>
  <c r="V302"/>
  <c r="V298"/>
  <c r="V294"/>
  <c r="V312"/>
  <c r="V308"/>
  <c r="V304"/>
  <c r="V300"/>
  <c r="V296"/>
  <c r="T331"/>
  <c r="T327"/>
  <c r="T323"/>
  <c r="T319"/>
  <c r="T332"/>
  <c r="T328"/>
  <c r="T324"/>
  <c r="T320"/>
  <c r="T316"/>
  <c r="T334"/>
  <c r="T330"/>
  <c r="T326"/>
  <c r="T322"/>
  <c r="T318"/>
  <c r="P347"/>
  <c r="P343"/>
  <c r="P339"/>
  <c r="P348"/>
  <c r="P344"/>
  <c r="P340"/>
  <c r="P350"/>
  <c r="P346"/>
  <c r="P342"/>
  <c r="P338"/>
  <c r="X347"/>
  <c r="X343"/>
  <c r="X339"/>
  <c r="X348"/>
  <c r="X344"/>
  <c r="X340"/>
  <c r="X350"/>
  <c r="X346"/>
  <c r="X342"/>
  <c r="X338"/>
  <c r="V365"/>
  <c r="V361"/>
  <c r="V357"/>
  <c r="V353"/>
  <c r="V362"/>
  <c r="V358"/>
  <c r="V354"/>
  <c r="V364"/>
  <c r="V360"/>
  <c r="V356"/>
  <c r="V352"/>
  <c r="T387"/>
  <c r="T383"/>
  <c r="T379"/>
  <c r="T375"/>
  <c r="T371"/>
  <c r="T367"/>
  <c r="T388"/>
  <c r="T384"/>
  <c r="T380"/>
  <c r="T376"/>
  <c r="T372"/>
  <c r="T368"/>
  <c r="T386"/>
  <c r="T382"/>
  <c r="T378"/>
  <c r="T374"/>
  <c r="T370"/>
  <c r="R409"/>
  <c r="R405"/>
  <c r="R401"/>
  <c r="R397"/>
  <c r="R393"/>
  <c r="R410"/>
  <c r="R406"/>
  <c r="R402"/>
  <c r="R398"/>
  <c r="R394"/>
  <c r="R390"/>
  <c r="R408"/>
  <c r="R404"/>
  <c r="R400"/>
  <c r="R396"/>
  <c r="R392"/>
  <c r="R407"/>
  <c r="R399"/>
  <c r="R391"/>
  <c r="R411"/>
  <c r="R403"/>
  <c r="R395"/>
  <c r="V429"/>
  <c r="V425"/>
  <c r="V426"/>
  <c r="V427"/>
  <c r="V423"/>
  <c r="V428"/>
  <c r="V424"/>
  <c r="T439"/>
  <c r="T435"/>
  <c r="T431"/>
  <c r="T440"/>
  <c r="T436"/>
  <c r="T432"/>
  <c r="T441"/>
  <c r="T437"/>
  <c r="T433"/>
  <c r="T442"/>
  <c r="T438"/>
  <c r="T434"/>
  <c r="R453"/>
  <c r="R449"/>
  <c r="R445"/>
  <c r="R454"/>
  <c r="R450"/>
  <c r="R446"/>
  <c r="R455"/>
  <c r="R451"/>
  <c r="R447"/>
  <c r="R452"/>
  <c r="R448"/>
  <c r="R444"/>
  <c r="P467"/>
  <c r="P463"/>
  <c r="P459"/>
  <c r="P464"/>
  <c r="P460"/>
  <c r="P465"/>
  <c r="P461"/>
  <c r="P457"/>
  <c r="P466"/>
  <c r="P462"/>
  <c r="P458"/>
  <c r="X467"/>
  <c r="X463"/>
  <c r="X459"/>
  <c r="X464"/>
  <c r="X460"/>
  <c r="X465"/>
  <c r="X461"/>
  <c r="X457"/>
  <c r="X466"/>
  <c r="X462"/>
  <c r="X458"/>
  <c r="V53"/>
  <c r="T67"/>
  <c r="T71"/>
  <c r="T75"/>
  <c r="P213"/>
  <c r="X225"/>
  <c r="T262"/>
  <c r="P310"/>
  <c r="V48"/>
  <c r="T49"/>
  <c r="R50"/>
  <c r="P51"/>
  <c r="X51"/>
  <c r="V52"/>
  <c r="T53"/>
  <c r="R54"/>
  <c r="P55"/>
  <c r="X55"/>
  <c r="V56"/>
  <c r="T57"/>
  <c r="R58"/>
  <c r="P59"/>
  <c r="X59"/>
  <c r="V60"/>
  <c r="T61"/>
  <c r="R62"/>
  <c r="P63"/>
  <c r="X63"/>
  <c r="V65"/>
  <c r="T66"/>
  <c r="R67"/>
  <c r="P68"/>
  <c r="X68"/>
  <c r="V69"/>
  <c r="T70"/>
  <c r="R71"/>
  <c r="P72"/>
  <c r="X72"/>
  <c r="V73"/>
  <c r="T74"/>
  <c r="R75"/>
  <c r="P76"/>
  <c r="X76"/>
  <c r="V77"/>
  <c r="T78"/>
  <c r="R79"/>
  <c r="P80"/>
  <c r="X80"/>
  <c r="V82"/>
  <c r="T83"/>
  <c r="R84"/>
  <c r="P85"/>
  <c r="X85"/>
  <c r="V86"/>
  <c r="T88"/>
  <c r="R89"/>
  <c r="P90"/>
  <c r="X90"/>
  <c r="V91"/>
  <c r="T92"/>
  <c r="R93"/>
  <c r="P94"/>
  <c r="X94"/>
  <c r="V95"/>
  <c r="T96"/>
  <c r="R97"/>
  <c r="P98"/>
  <c r="X98"/>
  <c r="V99"/>
  <c r="T100"/>
  <c r="R101"/>
  <c r="P102"/>
  <c r="X102"/>
  <c r="V103"/>
  <c r="T104"/>
  <c r="R105"/>
  <c r="V109"/>
  <c r="T110"/>
  <c r="R111"/>
  <c r="V113"/>
  <c r="T114"/>
  <c r="R115"/>
  <c r="R116"/>
  <c r="S117"/>
  <c r="S118"/>
  <c r="T119"/>
  <c r="U120"/>
  <c r="U122"/>
  <c r="W126"/>
  <c r="Y128"/>
  <c r="Y129"/>
  <c r="P131"/>
  <c r="Q132"/>
  <c r="Q133"/>
  <c r="R134"/>
  <c r="S135"/>
  <c r="S136"/>
  <c r="U139"/>
  <c r="U140"/>
  <c r="V141"/>
  <c r="W142"/>
  <c r="W143"/>
  <c r="X144"/>
  <c r="Y145"/>
  <c r="P149"/>
  <c r="Q150"/>
  <c r="Q151"/>
  <c r="R152"/>
  <c r="S153"/>
  <c r="S154"/>
  <c r="T155"/>
  <c r="U156"/>
  <c r="U157"/>
  <c r="V158"/>
  <c r="W159"/>
  <c r="W160"/>
  <c r="X161"/>
  <c r="Y162"/>
  <c r="Y163"/>
  <c r="P165"/>
  <c r="Q166"/>
  <c r="Q167"/>
  <c r="R168"/>
  <c r="S169"/>
  <c r="S170"/>
  <c r="T171"/>
  <c r="U172"/>
  <c r="U173"/>
  <c r="V174"/>
  <c r="W175"/>
  <c r="W176"/>
  <c r="X177"/>
  <c r="Y178"/>
  <c r="Y179"/>
  <c r="P181"/>
  <c r="Q182"/>
  <c r="Q183"/>
  <c r="R184"/>
  <c r="S185"/>
  <c r="S186"/>
  <c r="T187"/>
  <c r="U188"/>
  <c r="U189"/>
  <c r="V190"/>
  <c r="W191"/>
  <c r="W192"/>
  <c r="Q194"/>
  <c r="S195"/>
  <c r="Y198"/>
  <c r="Q200"/>
  <c r="U201"/>
  <c r="W202"/>
  <c r="P204"/>
  <c r="S205"/>
  <c r="U206"/>
  <c r="Y207"/>
  <c r="Q209"/>
  <c r="T210"/>
  <c r="W212"/>
  <c r="Y213"/>
  <c r="S215"/>
  <c r="U216"/>
  <c r="X217"/>
  <c r="Q219"/>
  <c r="S220"/>
  <c r="W221"/>
  <c r="Y222"/>
  <c r="R224"/>
  <c r="U225"/>
  <c r="W226"/>
  <c r="Q228"/>
  <c r="S229"/>
  <c r="V230"/>
  <c r="Y231"/>
  <c r="Q233"/>
  <c r="U234"/>
  <c r="W235"/>
  <c r="P237"/>
  <c r="S238"/>
  <c r="R241"/>
  <c r="U246"/>
  <c r="R248"/>
  <c r="X249"/>
  <c r="X251"/>
  <c r="T253"/>
  <c r="X256"/>
  <c r="T258"/>
  <c r="R260"/>
  <c r="X261"/>
  <c r="T266"/>
  <c r="W271"/>
  <c r="Q275"/>
  <c r="V282"/>
  <c r="U285"/>
  <c r="Y287"/>
  <c r="U290"/>
  <c r="P294"/>
  <c r="S299"/>
  <c r="W301"/>
  <c r="S304"/>
  <c r="X306"/>
  <c r="R309"/>
  <c r="Q312"/>
  <c r="Q318"/>
  <c r="V320"/>
  <c r="Y325"/>
  <c r="Y330"/>
  <c r="T333"/>
  <c r="W340"/>
  <c r="Q343"/>
  <c r="R348"/>
  <c r="V350"/>
  <c r="U354"/>
  <c r="Y356"/>
  <c r="P362"/>
  <c r="T364"/>
  <c r="S368"/>
  <c r="W370"/>
  <c r="X375"/>
  <c r="R378"/>
  <c r="Q381"/>
  <c r="U383"/>
  <c r="Q386"/>
  <c r="U392"/>
  <c r="S405"/>
  <c r="X136"/>
  <c r="X132"/>
  <c r="X128"/>
  <c r="X134"/>
  <c r="X130"/>
  <c r="X126"/>
  <c r="R290"/>
  <c r="R286"/>
  <c r="R282"/>
  <c r="R278"/>
  <c r="R274"/>
  <c r="R291"/>
  <c r="R287"/>
  <c r="R283"/>
  <c r="R279"/>
  <c r="R275"/>
  <c r="R289"/>
  <c r="R285"/>
  <c r="R281"/>
  <c r="R277"/>
  <c r="V386"/>
  <c r="V382"/>
  <c r="V378"/>
  <c r="V374"/>
  <c r="V370"/>
  <c r="V387"/>
  <c r="V383"/>
  <c r="V379"/>
  <c r="V375"/>
  <c r="V371"/>
  <c r="V367"/>
  <c r="V385"/>
  <c r="V381"/>
  <c r="V377"/>
  <c r="V373"/>
  <c r="V369"/>
  <c r="V388"/>
  <c r="U241"/>
  <c r="U240"/>
  <c r="Q269"/>
  <c r="Q265"/>
  <c r="Q261"/>
  <c r="Q257"/>
  <c r="Q253"/>
  <c r="Q249"/>
  <c r="Q245"/>
  <c r="Q271"/>
  <c r="Q263"/>
  <c r="Q262"/>
  <c r="Q248"/>
  <c r="Q247"/>
  <c r="Q246"/>
  <c r="Q268"/>
  <c r="Q260"/>
  <c r="Q259"/>
  <c r="Q258"/>
  <c r="Q272"/>
  <c r="Q264"/>
  <c r="Q252"/>
  <c r="Q251"/>
  <c r="Q250"/>
  <c r="Y269"/>
  <c r="Y265"/>
  <c r="Y261"/>
  <c r="Y257"/>
  <c r="Y253"/>
  <c r="Y249"/>
  <c r="Y245"/>
  <c r="Y267"/>
  <c r="Y260"/>
  <c r="Y259"/>
  <c r="Y258"/>
  <c r="Y272"/>
  <c r="Y264"/>
  <c r="Y256"/>
  <c r="Y255"/>
  <c r="Y254"/>
  <c r="Y268"/>
  <c r="Y262"/>
  <c r="Y248"/>
  <c r="Y247"/>
  <c r="Y246"/>
  <c r="W291"/>
  <c r="W287"/>
  <c r="W283"/>
  <c r="W279"/>
  <c r="W275"/>
  <c r="W289"/>
  <c r="W281"/>
  <c r="W286"/>
  <c r="W278"/>
  <c r="W290"/>
  <c r="W282"/>
  <c r="W274"/>
  <c r="U313"/>
  <c r="U309"/>
  <c r="U305"/>
  <c r="U301"/>
  <c r="U297"/>
  <c r="U311"/>
  <c r="U303"/>
  <c r="U295"/>
  <c r="U308"/>
  <c r="U300"/>
  <c r="U312"/>
  <c r="U304"/>
  <c r="U296"/>
  <c r="S331"/>
  <c r="S327"/>
  <c r="S323"/>
  <c r="S319"/>
  <c r="S333"/>
  <c r="S325"/>
  <c r="S317"/>
  <c r="S330"/>
  <c r="S322"/>
  <c r="S334"/>
  <c r="S326"/>
  <c r="S318"/>
  <c r="W347"/>
  <c r="W343"/>
  <c r="W339"/>
  <c r="W349"/>
  <c r="W341"/>
  <c r="W346"/>
  <c r="W338"/>
  <c r="W350"/>
  <c r="W342"/>
  <c r="U365"/>
  <c r="U361"/>
  <c r="U357"/>
  <c r="U353"/>
  <c r="U363"/>
  <c r="U355"/>
  <c r="U360"/>
  <c r="U352"/>
  <c r="U364"/>
  <c r="U356"/>
  <c r="S387"/>
  <c r="S383"/>
  <c r="S379"/>
  <c r="S375"/>
  <c r="S371"/>
  <c r="S367"/>
  <c r="S385"/>
  <c r="S377"/>
  <c r="S369"/>
  <c r="S382"/>
  <c r="S374"/>
  <c r="S386"/>
  <c r="S378"/>
  <c r="S370"/>
  <c r="Q409"/>
  <c r="Q405"/>
  <c r="Q401"/>
  <c r="Q397"/>
  <c r="Q393"/>
  <c r="Q407"/>
  <c r="Q399"/>
  <c r="Q391"/>
  <c r="Q404"/>
  <c r="Q396"/>
  <c r="Q406"/>
  <c r="Q398"/>
  <c r="Q390"/>
  <c r="Q411"/>
  <c r="Q403"/>
  <c r="Q395"/>
  <c r="Q408"/>
  <c r="Q400"/>
  <c r="Q392"/>
  <c r="Y409"/>
  <c r="Y405"/>
  <c r="Y401"/>
  <c r="Y397"/>
  <c r="Y393"/>
  <c r="Y411"/>
  <c r="Y403"/>
  <c r="Y395"/>
  <c r="Y408"/>
  <c r="Y400"/>
  <c r="Y392"/>
  <c r="Y410"/>
  <c r="Y402"/>
  <c r="Y394"/>
  <c r="Y407"/>
  <c r="Y399"/>
  <c r="Y391"/>
  <c r="Y404"/>
  <c r="Y396"/>
  <c r="U426"/>
  <c r="U427"/>
  <c r="U423"/>
  <c r="U428"/>
  <c r="U424"/>
  <c r="U429"/>
  <c r="U425"/>
  <c r="S440"/>
  <c r="S436"/>
  <c r="S432"/>
  <c r="S441"/>
  <c r="S437"/>
  <c r="S433"/>
  <c r="S442"/>
  <c r="S438"/>
  <c r="S434"/>
  <c r="S439"/>
  <c r="S435"/>
  <c r="S431"/>
  <c r="Q454"/>
  <c r="Q450"/>
  <c r="Q446"/>
  <c r="Q455"/>
  <c r="Q451"/>
  <c r="Q447"/>
  <c r="Q452"/>
  <c r="Q448"/>
  <c r="Q444"/>
  <c r="Q453"/>
  <c r="Q449"/>
  <c r="Q445"/>
  <c r="Y454"/>
  <c r="Y450"/>
  <c r="Y446"/>
  <c r="Y455"/>
  <c r="Y451"/>
  <c r="Y447"/>
  <c r="Y452"/>
  <c r="Y448"/>
  <c r="Y444"/>
  <c r="Y453"/>
  <c r="Y449"/>
  <c r="Y445"/>
  <c r="W464"/>
  <c r="W460"/>
  <c r="W465"/>
  <c r="W461"/>
  <c r="W457"/>
  <c r="W466"/>
  <c r="W462"/>
  <c r="W458"/>
  <c r="W467"/>
  <c r="W463"/>
  <c r="W459"/>
  <c r="P99"/>
  <c r="U48"/>
  <c r="S49"/>
  <c r="Q50"/>
  <c r="Y50"/>
  <c r="W51"/>
  <c r="U52"/>
  <c r="S53"/>
  <c r="Q54"/>
  <c r="Y54"/>
  <c r="W55"/>
  <c r="U56"/>
  <c r="S57"/>
  <c r="Q58"/>
  <c r="Y58"/>
  <c r="W59"/>
  <c r="U60"/>
  <c r="S61"/>
  <c r="Q62"/>
  <c r="Y62"/>
  <c r="W63"/>
  <c r="U65"/>
  <c r="S66"/>
  <c r="Q67"/>
  <c r="Y67"/>
  <c r="W68"/>
  <c r="U69"/>
  <c r="S70"/>
  <c r="Q71"/>
  <c r="Y71"/>
  <c r="W72"/>
  <c r="U73"/>
  <c r="S74"/>
  <c r="Q75"/>
  <c r="Y75"/>
  <c r="W76"/>
  <c r="U77"/>
  <c r="S78"/>
  <c r="Q79"/>
  <c r="Y79"/>
  <c r="W80"/>
  <c r="U82"/>
  <c r="S83"/>
  <c r="Q84"/>
  <c r="Y84"/>
  <c r="W85"/>
  <c r="U86"/>
  <c r="S88"/>
  <c r="Q89"/>
  <c r="Y89"/>
  <c r="W90"/>
  <c r="U91"/>
  <c r="S92"/>
  <c r="Q93"/>
  <c r="Y93"/>
  <c r="W94"/>
  <c r="U95"/>
  <c r="S96"/>
  <c r="Q97"/>
  <c r="Y97"/>
  <c r="W98"/>
  <c r="U99"/>
  <c r="S100"/>
  <c r="Q101"/>
  <c r="Y101"/>
  <c r="W102"/>
  <c r="U103"/>
  <c r="S104"/>
  <c r="Q105"/>
  <c r="Y105"/>
  <c r="U109"/>
  <c r="S110"/>
  <c r="Q111"/>
  <c r="Y111"/>
  <c r="W112"/>
  <c r="U113"/>
  <c r="S114"/>
  <c r="Q115"/>
  <c r="Q116"/>
  <c r="Q117"/>
  <c r="R118"/>
  <c r="S119"/>
  <c r="S120"/>
  <c r="T122"/>
  <c r="U123"/>
  <c r="V126"/>
  <c r="W127"/>
  <c r="W128"/>
  <c r="X129"/>
  <c r="Y130"/>
  <c r="Y131"/>
  <c r="P133"/>
  <c r="Q134"/>
  <c r="Q135"/>
  <c r="S137"/>
  <c r="S139"/>
  <c r="T140"/>
  <c r="U141"/>
  <c r="U142"/>
  <c r="V143"/>
  <c r="W144"/>
  <c r="W145"/>
  <c r="Y148"/>
  <c r="Y149"/>
  <c r="P151"/>
  <c r="Q152"/>
  <c r="Q153"/>
  <c r="R154"/>
  <c r="S155"/>
  <c r="S156"/>
  <c r="T157"/>
  <c r="U158"/>
  <c r="U159"/>
  <c r="V160"/>
  <c r="W161"/>
  <c r="W162"/>
  <c r="X163"/>
  <c r="Y164"/>
  <c r="Y165"/>
  <c r="P167"/>
  <c r="Q168"/>
  <c r="Q169"/>
  <c r="R170"/>
  <c r="S171"/>
  <c r="S172"/>
  <c r="T173"/>
  <c r="U174"/>
  <c r="U175"/>
  <c r="V176"/>
  <c r="W177"/>
  <c r="W178"/>
  <c r="Y180"/>
  <c r="Y181"/>
  <c r="Q184"/>
  <c r="Q185"/>
  <c r="R186"/>
  <c r="S187"/>
  <c r="S188"/>
  <c r="U190"/>
  <c r="U191"/>
  <c r="V192"/>
  <c r="Y193"/>
  <c r="Q195"/>
  <c r="U197"/>
  <c r="W198"/>
  <c r="P200"/>
  <c r="S201"/>
  <c r="U202"/>
  <c r="Y203"/>
  <c r="Q205"/>
  <c r="T206"/>
  <c r="W207"/>
  <c r="Y208"/>
  <c r="S210"/>
  <c r="U212"/>
  <c r="X213"/>
  <c r="Q215"/>
  <c r="S216"/>
  <c r="W217"/>
  <c r="Y218"/>
  <c r="R220"/>
  <c r="U221"/>
  <c r="W222"/>
  <c r="Q224"/>
  <c r="S225"/>
  <c r="V226"/>
  <c r="Y227"/>
  <c r="Q229"/>
  <c r="U230"/>
  <c r="W231"/>
  <c r="P233"/>
  <c r="S234"/>
  <c r="U235"/>
  <c r="Y236"/>
  <c r="Q238"/>
  <c r="P241"/>
  <c r="T246"/>
  <c r="P248"/>
  <c r="W249"/>
  <c r="T251"/>
  <c r="P253"/>
  <c r="P255"/>
  <c r="V256"/>
  <c r="S258"/>
  <c r="V261"/>
  <c r="W263"/>
  <c r="Q266"/>
  <c r="R271"/>
  <c r="U277"/>
  <c r="Y279"/>
  <c r="U282"/>
  <c r="P285"/>
  <c r="T287"/>
  <c r="S290"/>
  <c r="W292"/>
  <c r="S296"/>
  <c r="X298"/>
  <c r="Q304"/>
  <c r="U306"/>
  <c r="Q309"/>
  <c r="V311"/>
  <c r="P314"/>
  <c r="Y317"/>
  <c r="S320"/>
  <c r="T325"/>
  <c r="X327"/>
  <c r="W330"/>
  <c r="Q333"/>
  <c r="U345"/>
  <c r="Y347"/>
  <c r="U350"/>
  <c r="P354"/>
  <c r="S359"/>
  <c r="W361"/>
  <c r="S364"/>
  <c r="X367"/>
  <c r="Q373"/>
  <c r="U375"/>
  <c r="Q378"/>
  <c r="V380"/>
  <c r="P383"/>
  <c r="Y385"/>
  <c r="Y390"/>
  <c r="T195"/>
  <c r="T192"/>
  <c r="T188"/>
  <c r="T184"/>
  <c r="T180"/>
  <c r="T176"/>
  <c r="T172"/>
  <c r="T168"/>
  <c r="T164"/>
  <c r="T160"/>
  <c r="T156"/>
  <c r="T152"/>
  <c r="T148"/>
  <c r="T194"/>
  <c r="T190"/>
  <c r="T186"/>
  <c r="T182"/>
  <c r="T178"/>
  <c r="T174"/>
  <c r="T170"/>
  <c r="T166"/>
  <c r="T162"/>
  <c r="T158"/>
  <c r="T154"/>
  <c r="T150"/>
  <c r="R350"/>
  <c r="R346"/>
  <c r="R342"/>
  <c r="R338"/>
  <c r="R347"/>
  <c r="R343"/>
  <c r="R339"/>
  <c r="R349"/>
  <c r="R345"/>
  <c r="R341"/>
  <c r="X428"/>
  <c r="X424"/>
  <c r="X429"/>
  <c r="X425"/>
  <c r="X426"/>
  <c r="X427"/>
  <c r="X423"/>
  <c r="P118"/>
  <c r="P120"/>
  <c r="P116"/>
  <c r="X118"/>
  <c r="X120"/>
  <c r="X116"/>
  <c r="V124"/>
  <c r="V122"/>
  <c r="T134"/>
  <c r="T130"/>
  <c r="T126"/>
  <c r="T136"/>
  <c r="T132"/>
  <c r="T128"/>
  <c r="R144"/>
  <c r="R140"/>
  <c r="R146"/>
  <c r="R142"/>
  <c r="P193"/>
  <c r="P194"/>
  <c r="P190"/>
  <c r="P186"/>
  <c r="P182"/>
  <c r="P178"/>
  <c r="P174"/>
  <c r="P170"/>
  <c r="P166"/>
  <c r="P162"/>
  <c r="P158"/>
  <c r="P154"/>
  <c r="P150"/>
  <c r="P192"/>
  <c r="P188"/>
  <c r="P184"/>
  <c r="P180"/>
  <c r="P176"/>
  <c r="P172"/>
  <c r="P168"/>
  <c r="P164"/>
  <c r="P160"/>
  <c r="P156"/>
  <c r="P152"/>
  <c r="P148"/>
  <c r="X193"/>
  <c r="X194"/>
  <c r="X190"/>
  <c r="X186"/>
  <c r="X182"/>
  <c r="X178"/>
  <c r="X174"/>
  <c r="X170"/>
  <c r="X166"/>
  <c r="X162"/>
  <c r="X158"/>
  <c r="X154"/>
  <c r="X150"/>
  <c r="X192"/>
  <c r="X188"/>
  <c r="X184"/>
  <c r="X180"/>
  <c r="X176"/>
  <c r="X172"/>
  <c r="X168"/>
  <c r="X164"/>
  <c r="X160"/>
  <c r="X156"/>
  <c r="X152"/>
  <c r="X148"/>
  <c r="V207"/>
  <c r="V203"/>
  <c r="V199"/>
  <c r="V208"/>
  <c r="V204"/>
  <c r="V200"/>
  <c r="V210"/>
  <c r="V206"/>
  <c r="V202"/>
  <c r="V198"/>
  <c r="T237"/>
  <c r="T233"/>
  <c r="T229"/>
  <c r="T225"/>
  <c r="T221"/>
  <c r="T217"/>
  <c r="T213"/>
  <c r="T238"/>
  <c r="T234"/>
  <c r="T230"/>
  <c r="T226"/>
  <c r="T222"/>
  <c r="T218"/>
  <c r="T214"/>
  <c r="T236"/>
  <c r="T232"/>
  <c r="T228"/>
  <c r="T224"/>
  <c r="T220"/>
  <c r="T216"/>
  <c r="T212"/>
  <c r="P270"/>
  <c r="P266"/>
  <c r="P262"/>
  <c r="P258"/>
  <c r="P254"/>
  <c r="P250"/>
  <c r="P246"/>
  <c r="P271"/>
  <c r="P267"/>
  <c r="P269"/>
  <c r="P265"/>
  <c r="X270"/>
  <c r="X266"/>
  <c r="X262"/>
  <c r="X258"/>
  <c r="X254"/>
  <c r="X250"/>
  <c r="X246"/>
  <c r="X271"/>
  <c r="X267"/>
  <c r="X263"/>
  <c r="X269"/>
  <c r="X265"/>
  <c r="V292"/>
  <c r="V288"/>
  <c r="V284"/>
  <c r="V280"/>
  <c r="V276"/>
  <c r="V289"/>
  <c r="V285"/>
  <c r="V281"/>
  <c r="V277"/>
  <c r="V291"/>
  <c r="V287"/>
  <c r="V283"/>
  <c r="V279"/>
  <c r="V275"/>
  <c r="T314"/>
  <c r="T310"/>
  <c r="T306"/>
  <c r="T302"/>
  <c r="T298"/>
  <c r="T294"/>
  <c r="T311"/>
  <c r="T307"/>
  <c r="T303"/>
  <c r="T299"/>
  <c r="T295"/>
  <c r="T313"/>
  <c r="T309"/>
  <c r="T305"/>
  <c r="T301"/>
  <c r="T297"/>
  <c r="R332"/>
  <c r="R328"/>
  <c r="R324"/>
  <c r="R320"/>
  <c r="R316"/>
  <c r="R333"/>
  <c r="R329"/>
  <c r="R325"/>
  <c r="R321"/>
  <c r="R317"/>
  <c r="R331"/>
  <c r="R327"/>
  <c r="R323"/>
  <c r="R319"/>
  <c r="V348"/>
  <c r="V344"/>
  <c r="V340"/>
  <c r="V349"/>
  <c r="V345"/>
  <c r="V341"/>
  <c r="V347"/>
  <c r="V343"/>
  <c r="V339"/>
  <c r="T362"/>
  <c r="T358"/>
  <c r="T354"/>
  <c r="T363"/>
  <c r="T359"/>
  <c r="T355"/>
  <c r="T365"/>
  <c r="T361"/>
  <c r="T357"/>
  <c r="T353"/>
  <c r="R388"/>
  <c r="R384"/>
  <c r="R380"/>
  <c r="R376"/>
  <c r="R372"/>
  <c r="R368"/>
  <c r="R385"/>
  <c r="R381"/>
  <c r="R377"/>
  <c r="R373"/>
  <c r="R369"/>
  <c r="R387"/>
  <c r="R383"/>
  <c r="R379"/>
  <c r="R375"/>
  <c r="R371"/>
  <c r="R367"/>
  <c r="P410"/>
  <c r="P406"/>
  <c r="P402"/>
  <c r="P398"/>
  <c r="P394"/>
  <c r="P390"/>
  <c r="P411"/>
  <c r="P407"/>
  <c r="P403"/>
  <c r="P399"/>
  <c r="P395"/>
  <c r="P391"/>
  <c r="P409"/>
  <c r="P405"/>
  <c r="P401"/>
  <c r="P397"/>
  <c r="P393"/>
  <c r="P404"/>
  <c r="P396"/>
  <c r="P408"/>
  <c r="P400"/>
  <c r="P392"/>
  <c r="X410"/>
  <c r="X406"/>
  <c r="X402"/>
  <c r="X398"/>
  <c r="X394"/>
  <c r="X390"/>
  <c r="X411"/>
  <c r="X407"/>
  <c r="X403"/>
  <c r="X399"/>
  <c r="X395"/>
  <c r="X391"/>
  <c r="X409"/>
  <c r="X405"/>
  <c r="X401"/>
  <c r="X397"/>
  <c r="X393"/>
  <c r="X408"/>
  <c r="X400"/>
  <c r="X392"/>
  <c r="X404"/>
  <c r="X396"/>
  <c r="T426"/>
  <c r="T427"/>
  <c r="T423"/>
  <c r="T428"/>
  <c r="T424"/>
  <c r="T429"/>
  <c r="T425"/>
  <c r="R440"/>
  <c r="R436"/>
  <c r="R432"/>
  <c r="R441"/>
  <c r="R437"/>
  <c r="R433"/>
  <c r="R442"/>
  <c r="R438"/>
  <c r="R434"/>
  <c r="R439"/>
  <c r="R435"/>
  <c r="R431"/>
  <c r="P454"/>
  <c r="P450"/>
  <c r="P446"/>
  <c r="P455"/>
  <c r="P451"/>
  <c r="P447"/>
  <c r="P452"/>
  <c r="P448"/>
  <c r="P444"/>
  <c r="P453"/>
  <c r="P449"/>
  <c r="P445"/>
  <c r="X454"/>
  <c r="X450"/>
  <c r="X446"/>
  <c r="X455"/>
  <c r="X451"/>
  <c r="X447"/>
  <c r="X452"/>
  <c r="X448"/>
  <c r="X444"/>
  <c r="X453"/>
  <c r="X449"/>
  <c r="X445"/>
  <c r="V464"/>
  <c r="V460"/>
  <c r="V465"/>
  <c r="V461"/>
  <c r="V457"/>
  <c r="V466"/>
  <c r="V462"/>
  <c r="V458"/>
  <c r="V467"/>
  <c r="V463"/>
  <c r="V459"/>
  <c r="V61"/>
  <c r="X91"/>
  <c r="P95"/>
  <c r="X95"/>
  <c r="X103"/>
  <c r="T115"/>
  <c r="P127"/>
  <c r="T48"/>
  <c r="R49"/>
  <c r="P50"/>
  <c r="X50"/>
  <c r="V51"/>
  <c r="T52"/>
  <c r="R53"/>
  <c r="P54"/>
  <c r="X54"/>
  <c r="V55"/>
  <c r="T56"/>
  <c r="R57"/>
  <c r="P58"/>
  <c r="X58"/>
  <c r="V59"/>
  <c r="T60"/>
  <c r="R61"/>
  <c r="P62"/>
  <c r="X62"/>
  <c r="V63"/>
  <c r="T65"/>
  <c r="R66"/>
  <c r="P67"/>
  <c r="X67"/>
  <c r="V68"/>
  <c r="T69"/>
  <c r="R70"/>
  <c r="P71"/>
  <c r="X71"/>
  <c r="V72"/>
  <c r="T73"/>
  <c r="R74"/>
  <c r="P75"/>
  <c r="X75"/>
  <c r="V76"/>
  <c r="T77"/>
  <c r="R78"/>
  <c r="P79"/>
  <c r="X79"/>
  <c r="V80"/>
  <c r="T82"/>
  <c r="R83"/>
  <c r="P84"/>
  <c r="X84"/>
  <c r="V85"/>
  <c r="T86"/>
  <c r="R88"/>
  <c r="P89"/>
  <c r="X89"/>
  <c r="V90"/>
  <c r="T91"/>
  <c r="R92"/>
  <c r="P93"/>
  <c r="X93"/>
  <c r="V94"/>
  <c r="T95"/>
  <c r="R96"/>
  <c r="P97"/>
  <c r="X97"/>
  <c r="V98"/>
  <c r="T99"/>
  <c r="R100"/>
  <c r="P101"/>
  <c r="X101"/>
  <c r="V102"/>
  <c r="T103"/>
  <c r="R104"/>
  <c r="P105"/>
  <c r="X105"/>
  <c r="T109"/>
  <c r="R110"/>
  <c r="P111"/>
  <c r="X111"/>
  <c r="T113"/>
  <c r="R114"/>
  <c r="P115"/>
  <c r="Y115"/>
  <c r="P117"/>
  <c r="Q118"/>
  <c r="Q119"/>
  <c r="R120"/>
  <c r="S122"/>
  <c r="S123"/>
  <c r="T124"/>
  <c r="U126"/>
  <c r="U127"/>
  <c r="V128"/>
  <c r="W129"/>
  <c r="W130"/>
  <c r="X131"/>
  <c r="Y132"/>
  <c r="Y133"/>
  <c r="Q136"/>
  <c r="R139"/>
  <c r="S140"/>
  <c r="S141"/>
  <c r="T142"/>
  <c r="U143"/>
  <c r="U144"/>
  <c r="V145"/>
  <c r="W148"/>
  <c r="X149"/>
  <c r="Y150"/>
  <c r="Y151"/>
  <c r="P153"/>
  <c r="Q154"/>
  <c r="Q155"/>
  <c r="R156"/>
  <c r="S157"/>
  <c r="S158"/>
  <c r="T159"/>
  <c r="U160"/>
  <c r="U161"/>
  <c r="V162"/>
  <c r="W163"/>
  <c r="W164"/>
  <c r="X165"/>
  <c r="Y166"/>
  <c r="Y167"/>
  <c r="P169"/>
  <c r="Q170"/>
  <c r="Q171"/>
  <c r="R172"/>
  <c r="S173"/>
  <c r="S174"/>
  <c r="T175"/>
  <c r="U176"/>
  <c r="U177"/>
  <c r="V178"/>
  <c r="W179"/>
  <c r="W180"/>
  <c r="X181"/>
  <c r="Y182"/>
  <c r="Y183"/>
  <c r="P185"/>
  <c r="Q186"/>
  <c r="Q187"/>
  <c r="R188"/>
  <c r="S189"/>
  <c r="S190"/>
  <c r="T191"/>
  <c r="U192"/>
  <c r="W193"/>
  <c r="P195"/>
  <c r="S197"/>
  <c r="U198"/>
  <c r="Y199"/>
  <c r="Q201"/>
  <c r="T202"/>
  <c r="W203"/>
  <c r="Y204"/>
  <c r="S206"/>
  <c r="U207"/>
  <c r="X208"/>
  <c r="Q210"/>
  <c r="S212"/>
  <c r="W213"/>
  <c r="Y214"/>
  <c r="R216"/>
  <c r="U217"/>
  <c r="W218"/>
  <c r="Q220"/>
  <c r="S221"/>
  <c r="V222"/>
  <c r="Y223"/>
  <c r="Q225"/>
  <c r="U226"/>
  <c r="W227"/>
  <c r="P229"/>
  <c r="S230"/>
  <c r="U231"/>
  <c r="Y232"/>
  <c r="Q234"/>
  <c r="T235"/>
  <c r="W236"/>
  <c r="Y237"/>
  <c r="S239"/>
  <c r="V240"/>
  <c r="R246"/>
  <c r="X247"/>
  <c r="V249"/>
  <c r="R251"/>
  <c r="Y252"/>
  <c r="V254"/>
  <c r="R256"/>
  <c r="R258"/>
  <c r="X259"/>
  <c r="U261"/>
  <c r="R263"/>
  <c r="U268"/>
  <c r="Y270"/>
  <c r="P277"/>
  <c r="S282"/>
  <c r="W284"/>
  <c r="S287"/>
  <c r="X289"/>
  <c r="R292"/>
  <c r="Q296"/>
  <c r="U298"/>
  <c r="Q301"/>
  <c r="V303"/>
  <c r="Y308"/>
  <c r="Y313"/>
  <c r="T317"/>
  <c r="W322"/>
  <c r="W327"/>
  <c r="R330"/>
  <c r="V332"/>
  <c r="Y339"/>
  <c r="P345"/>
  <c r="T347"/>
  <c r="S350"/>
  <c r="W353"/>
  <c r="X358"/>
  <c r="R361"/>
  <c r="Q364"/>
  <c r="U367"/>
  <c r="V372"/>
  <c r="P375"/>
  <c r="Y377"/>
  <c r="S380"/>
  <c r="T385"/>
  <c r="S388"/>
  <c r="Q402"/>
  <c r="P136"/>
  <c r="P132"/>
  <c r="P128"/>
  <c r="P134"/>
  <c r="P130"/>
  <c r="P126"/>
  <c r="P312"/>
  <c r="P308"/>
  <c r="P304"/>
  <c r="P300"/>
  <c r="P296"/>
  <c r="P313"/>
  <c r="P309"/>
  <c r="P305"/>
  <c r="P301"/>
  <c r="P297"/>
  <c r="P311"/>
  <c r="P307"/>
  <c r="P303"/>
  <c r="P299"/>
  <c r="P295"/>
  <c r="T408"/>
  <c r="T404"/>
  <c r="T400"/>
  <c r="T396"/>
  <c r="T392"/>
  <c r="T409"/>
  <c r="T405"/>
  <c r="T401"/>
  <c r="T397"/>
  <c r="T393"/>
  <c r="T411"/>
  <c r="T407"/>
  <c r="T403"/>
  <c r="T399"/>
  <c r="T395"/>
  <c r="T391"/>
  <c r="T410"/>
  <c r="T402"/>
  <c r="T394"/>
  <c r="T406"/>
  <c r="T398"/>
  <c r="T390"/>
  <c r="W270"/>
  <c r="W266"/>
  <c r="W262"/>
  <c r="W258"/>
  <c r="W254"/>
  <c r="W250"/>
  <c r="W246"/>
  <c r="W272"/>
  <c r="W264"/>
  <c r="W257"/>
  <c r="W256"/>
  <c r="W255"/>
  <c r="W269"/>
  <c r="W253"/>
  <c r="W252"/>
  <c r="W251"/>
  <c r="W265"/>
  <c r="W261"/>
  <c r="W260"/>
  <c r="W259"/>
  <c r="W245"/>
  <c r="U292"/>
  <c r="U288"/>
  <c r="U284"/>
  <c r="U280"/>
  <c r="U276"/>
  <c r="U286"/>
  <c r="U278"/>
  <c r="U291"/>
  <c r="U283"/>
  <c r="U275"/>
  <c r="U287"/>
  <c r="U279"/>
  <c r="S314"/>
  <c r="S310"/>
  <c r="S306"/>
  <c r="S302"/>
  <c r="S298"/>
  <c r="S294"/>
  <c r="S308"/>
  <c r="S300"/>
  <c r="S313"/>
  <c r="S305"/>
  <c r="S297"/>
  <c r="S309"/>
  <c r="S301"/>
  <c r="Q332"/>
  <c r="Q328"/>
  <c r="Q324"/>
  <c r="Q320"/>
  <c r="Q316"/>
  <c r="Q330"/>
  <c r="Q322"/>
  <c r="Q327"/>
  <c r="Q319"/>
  <c r="Q331"/>
  <c r="Q323"/>
  <c r="Y332"/>
  <c r="Y328"/>
  <c r="Y324"/>
  <c r="Y320"/>
  <c r="Y316"/>
  <c r="Y334"/>
  <c r="Y326"/>
  <c r="Y318"/>
  <c r="Y331"/>
  <c r="Y323"/>
  <c r="Y327"/>
  <c r="Y319"/>
  <c r="U348"/>
  <c r="U344"/>
  <c r="U340"/>
  <c r="U346"/>
  <c r="U338"/>
  <c r="U343"/>
  <c r="U347"/>
  <c r="U339"/>
  <c r="S362"/>
  <c r="S358"/>
  <c r="S354"/>
  <c r="S360"/>
  <c r="S352"/>
  <c r="S365"/>
  <c r="S357"/>
  <c r="S361"/>
  <c r="S353"/>
  <c r="Q388"/>
  <c r="Q384"/>
  <c r="Q380"/>
  <c r="Q376"/>
  <c r="Q372"/>
  <c r="Q368"/>
  <c r="Q382"/>
  <c r="Q374"/>
  <c r="Q387"/>
  <c r="Q379"/>
  <c r="Q371"/>
  <c r="Q383"/>
  <c r="Q375"/>
  <c r="Q367"/>
  <c r="Y388"/>
  <c r="Y384"/>
  <c r="Y380"/>
  <c r="Y376"/>
  <c r="Y372"/>
  <c r="Y368"/>
  <c r="Y386"/>
  <c r="Y378"/>
  <c r="Y370"/>
  <c r="Y383"/>
  <c r="Y375"/>
  <c r="Y367"/>
  <c r="Y387"/>
  <c r="Y379"/>
  <c r="Y371"/>
  <c r="W410"/>
  <c r="W406"/>
  <c r="W402"/>
  <c r="W398"/>
  <c r="W394"/>
  <c r="W390"/>
  <c r="W408"/>
  <c r="W400"/>
  <c r="W392"/>
  <c r="W405"/>
  <c r="W397"/>
  <c r="W407"/>
  <c r="W399"/>
  <c r="W391"/>
  <c r="W404"/>
  <c r="W396"/>
  <c r="W409"/>
  <c r="W401"/>
  <c r="W393"/>
  <c r="S427"/>
  <c r="S423"/>
  <c r="S428"/>
  <c r="S424"/>
  <c r="S429"/>
  <c r="S425"/>
  <c r="S426"/>
  <c r="Q441"/>
  <c r="Q437"/>
  <c r="Q433"/>
  <c r="Q442"/>
  <c r="Q438"/>
  <c r="Q434"/>
  <c r="Q439"/>
  <c r="Q435"/>
  <c r="Q431"/>
  <c r="Q440"/>
  <c r="Q436"/>
  <c r="Q432"/>
  <c r="Y441"/>
  <c r="Y437"/>
  <c r="Y433"/>
  <c r="Y442"/>
  <c r="Y438"/>
  <c r="Y434"/>
  <c r="Y439"/>
  <c r="Y435"/>
  <c r="Y431"/>
  <c r="Y440"/>
  <c r="Y436"/>
  <c r="Y432"/>
  <c r="W455"/>
  <c r="W451"/>
  <c r="W447"/>
  <c r="W452"/>
  <c r="W448"/>
  <c r="W444"/>
  <c r="W453"/>
  <c r="W449"/>
  <c r="W445"/>
  <c r="W454"/>
  <c r="W450"/>
  <c r="W446"/>
  <c r="U465"/>
  <c r="U461"/>
  <c r="U457"/>
  <c r="U466"/>
  <c r="U462"/>
  <c r="U458"/>
  <c r="U467"/>
  <c r="U463"/>
  <c r="U459"/>
  <c r="U464"/>
  <c r="U460"/>
  <c r="V49"/>
  <c r="T111"/>
  <c r="T167"/>
  <c r="T245"/>
  <c r="S48"/>
  <c r="Q49"/>
  <c r="Y49"/>
  <c r="W50"/>
  <c r="U51"/>
  <c r="S52"/>
  <c r="Q53"/>
  <c r="Y53"/>
  <c r="W54"/>
  <c r="U55"/>
  <c r="S56"/>
  <c r="Q57"/>
  <c r="Y57"/>
  <c r="W58"/>
  <c r="U59"/>
  <c r="S65"/>
  <c r="Q66"/>
  <c r="Y66"/>
  <c r="W67"/>
  <c r="U68"/>
  <c r="S69"/>
  <c r="Q70"/>
  <c r="Y70"/>
  <c r="W71"/>
  <c r="U72"/>
  <c r="S73"/>
  <c r="Q74"/>
  <c r="Y74"/>
  <c r="W75"/>
  <c r="U76"/>
  <c r="S82"/>
  <c r="Q88"/>
  <c r="Y88"/>
  <c r="W89"/>
  <c r="U90"/>
  <c r="S91"/>
  <c r="Q92"/>
  <c r="Y92"/>
  <c r="W93"/>
  <c r="U94"/>
  <c r="S95"/>
  <c r="Q96"/>
  <c r="Y96"/>
  <c r="W97"/>
  <c r="U98"/>
  <c r="S99"/>
  <c r="Q100"/>
  <c r="Y100"/>
  <c r="W101"/>
  <c r="S109"/>
  <c r="Q110"/>
  <c r="Y110"/>
  <c r="W111"/>
  <c r="Q114"/>
  <c r="Y114"/>
  <c r="X115"/>
  <c r="Y116"/>
  <c r="Y117"/>
  <c r="P119"/>
  <c r="Q122"/>
  <c r="R123"/>
  <c r="S126"/>
  <c r="T127"/>
  <c r="U128"/>
  <c r="U129"/>
  <c r="V130"/>
  <c r="W131"/>
  <c r="W132"/>
  <c r="X133"/>
  <c r="Y134"/>
  <c r="Y135"/>
  <c r="P137"/>
  <c r="Q139"/>
  <c r="Q140"/>
  <c r="R141"/>
  <c r="S142"/>
  <c r="S143"/>
  <c r="T144"/>
  <c r="U145"/>
  <c r="V148"/>
  <c r="W149"/>
  <c r="W150"/>
  <c r="X151"/>
  <c r="Y152"/>
  <c r="Y153"/>
  <c r="P155"/>
  <c r="Q156"/>
  <c r="Q157"/>
  <c r="R158"/>
  <c r="S159"/>
  <c r="S160"/>
  <c r="T161"/>
  <c r="U162"/>
  <c r="U163"/>
  <c r="V164"/>
  <c r="W165"/>
  <c r="W166"/>
  <c r="X167"/>
  <c r="Y168"/>
  <c r="Y169"/>
  <c r="P171"/>
  <c r="Q172"/>
  <c r="Q173"/>
  <c r="R174"/>
  <c r="S175"/>
  <c r="S176"/>
  <c r="T177"/>
  <c r="U178"/>
  <c r="U179"/>
  <c r="W181"/>
  <c r="W182"/>
  <c r="X183"/>
  <c r="Y184"/>
  <c r="Y185"/>
  <c r="P187"/>
  <c r="Q188"/>
  <c r="Q189"/>
  <c r="R190"/>
  <c r="S191"/>
  <c r="S192"/>
  <c r="U193"/>
  <c r="Y194"/>
  <c r="Q197"/>
  <c r="W199"/>
  <c r="Y200"/>
  <c r="S202"/>
  <c r="U203"/>
  <c r="X204"/>
  <c r="Q206"/>
  <c r="S207"/>
  <c r="W208"/>
  <c r="Y209"/>
  <c r="U213"/>
  <c r="W214"/>
  <c r="Q216"/>
  <c r="S217"/>
  <c r="V218"/>
  <c r="Y219"/>
  <c r="Q221"/>
  <c r="U222"/>
  <c r="W223"/>
  <c r="P225"/>
  <c r="S226"/>
  <c r="U227"/>
  <c r="Y228"/>
  <c r="Q230"/>
  <c r="T231"/>
  <c r="W232"/>
  <c r="Y233"/>
  <c r="S235"/>
  <c r="U236"/>
  <c r="X237"/>
  <c r="Q239"/>
  <c r="T240"/>
  <c r="X245"/>
  <c r="W247"/>
  <c r="T249"/>
  <c r="P251"/>
  <c r="X252"/>
  <c r="T254"/>
  <c r="Q256"/>
  <c r="X257"/>
  <c r="T259"/>
  <c r="T261"/>
  <c r="P263"/>
  <c r="U265"/>
  <c r="P268"/>
  <c r="T270"/>
  <c r="S274"/>
  <c r="W276"/>
  <c r="S279"/>
  <c r="X281"/>
  <c r="R284"/>
  <c r="Q287"/>
  <c r="U289"/>
  <c r="Q292"/>
  <c r="V295"/>
  <c r="P298"/>
  <c r="Y300"/>
  <c r="S303"/>
  <c r="Y305"/>
  <c r="T308"/>
  <c r="X310"/>
  <c r="W313"/>
  <c r="Q317"/>
  <c r="W319"/>
  <c r="R322"/>
  <c r="U327"/>
  <c r="Y329"/>
  <c r="U332"/>
  <c r="S342"/>
  <c r="W344"/>
  <c r="S347"/>
  <c r="X349"/>
  <c r="Q356"/>
  <c r="U358"/>
  <c r="Q361"/>
  <c r="V363"/>
  <c r="Y369"/>
  <c r="S372"/>
  <c r="Y374"/>
  <c r="T377"/>
  <c r="X379"/>
  <c r="W382"/>
  <c r="Q385"/>
  <c r="U400"/>
  <c r="R209"/>
  <c r="R205"/>
  <c r="R201"/>
  <c r="R197"/>
  <c r="R210"/>
  <c r="R206"/>
  <c r="R202"/>
  <c r="R198"/>
  <c r="R208"/>
  <c r="R204"/>
  <c r="R200"/>
  <c r="V334"/>
  <c r="V330"/>
  <c r="V326"/>
  <c r="V322"/>
  <c r="V318"/>
  <c r="V331"/>
  <c r="V327"/>
  <c r="V323"/>
  <c r="V319"/>
  <c r="V333"/>
  <c r="V329"/>
  <c r="V325"/>
  <c r="V321"/>
  <c r="V317"/>
  <c r="V442"/>
  <c r="V438"/>
  <c r="V434"/>
  <c r="V439"/>
  <c r="V435"/>
  <c r="V431"/>
  <c r="V440"/>
  <c r="V436"/>
  <c r="V432"/>
  <c r="V441"/>
  <c r="V437"/>
  <c r="V433"/>
  <c r="V119"/>
  <c r="V115"/>
  <c r="V117"/>
  <c r="R135"/>
  <c r="R131"/>
  <c r="R127"/>
  <c r="R137"/>
  <c r="R133"/>
  <c r="R129"/>
  <c r="P145"/>
  <c r="P141"/>
  <c r="P143"/>
  <c r="P139"/>
  <c r="X145"/>
  <c r="X141"/>
  <c r="X143"/>
  <c r="X139"/>
  <c r="V194"/>
  <c r="V195"/>
  <c r="V191"/>
  <c r="V187"/>
  <c r="V183"/>
  <c r="V179"/>
  <c r="V175"/>
  <c r="V171"/>
  <c r="V167"/>
  <c r="V163"/>
  <c r="V159"/>
  <c r="V155"/>
  <c r="V151"/>
  <c r="V193"/>
  <c r="V189"/>
  <c r="V185"/>
  <c r="V181"/>
  <c r="V177"/>
  <c r="V173"/>
  <c r="V169"/>
  <c r="V165"/>
  <c r="V161"/>
  <c r="V157"/>
  <c r="V153"/>
  <c r="V149"/>
  <c r="T208"/>
  <c r="T204"/>
  <c r="T200"/>
  <c r="T209"/>
  <c r="T205"/>
  <c r="T201"/>
  <c r="T197"/>
  <c r="T207"/>
  <c r="T203"/>
  <c r="T199"/>
  <c r="R238"/>
  <c r="R234"/>
  <c r="R230"/>
  <c r="R226"/>
  <c r="R222"/>
  <c r="R218"/>
  <c r="R214"/>
  <c r="R239"/>
  <c r="R235"/>
  <c r="R231"/>
  <c r="R227"/>
  <c r="R223"/>
  <c r="R219"/>
  <c r="R215"/>
  <c r="R237"/>
  <c r="R233"/>
  <c r="R229"/>
  <c r="R225"/>
  <c r="R221"/>
  <c r="R217"/>
  <c r="R213"/>
  <c r="V271"/>
  <c r="V267"/>
  <c r="V263"/>
  <c r="V259"/>
  <c r="V255"/>
  <c r="V251"/>
  <c r="V247"/>
  <c r="V272"/>
  <c r="V268"/>
  <c r="V264"/>
  <c r="V270"/>
  <c r="V266"/>
  <c r="T289"/>
  <c r="T285"/>
  <c r="T281"/>
  <c r="T277"/>
  <c r="T290"/>
  <c r="T286"/>
  <c r="T282"/>
  <c r="T278"/>
  <c r="T274"/>
  <c r="T292"/>
  <c r="T288"/>
  <c r="T284"/>
  <c r="T280"/>
  <c r="T276"/>
  <c r="R311"/>
  <c r="R307"/>
  <c r="R303"/>
  <c r="R299"/>
  <c r="R295"/>
  <c r="R312"/>
  <c r="R308"/>
  <c r="R304"/>
  <c r="R300"/>
  <c r="R296"/>
  <c r="R314"/>
  <c r="R310"/>
  <c r="R306"/>
  <c r="R302"/>
  <c r="R298"/>
  <c r="R294"/>
  <c r="P333"/>
  <c r="P329"/>
  <c r="P325"/>
  <c r="P321"/>
  <c r="P317"/>
  <c r="P334"/>
  <c r="P330"/>
  <c r="P326"/>
  <c r="P322"/>
  <c r="P318"/>
  <c r="P332"/>
  <c r="P328"/>
  <c r="P324"/>
  <c r="P320"/>
  <c r="P316"/>
  <c r="X333"/>
  <c r="X329"/>
  <c r="X325"/>
  <c r="X321"/>
  <c r="X317"/>
  <c r="X334"/>
  <c r="X330"/>
  <c r="X326"/>
  <c r="X322"/>
  <c r="X318"/>
  <c r="X332"/>
  <c r="X328"/>
  <c r="X324"/>
  <c r="X320"/>
  <c r="X316"/>
  <c r="T349"/>
  <c r="T345"/>
  <c r="T341"/>
  <c r="T350"/>
  <c r="T346"/>
  <c r="T342"/>
  <c r="T338"/>
  <c r="T348"/>
  <c r="T344"/>
  <c r="T340"/>
  <c r="R363"/>
  <c r="R359"/>
  <c r="R355"/>
  <c r="R364"/>
  <c r="R360"/>
  <c r="R356"/>
  <c r="R352"/>
  <c r="R362"/>
  <c r="R358"/>
  <c r="R354"/>
  <c r="P385"/>
  <c r="P381"/>
  <c r="P377"/>
  <c r="P373"/>
  <c r="P369"/>
  <c r="P386"/>
  <c r="P382"/>
  <c r="P378"/>
  <c r="P374"/>
  <c r="P370"/>
  <c r="P388"/>
  <c r="P384"/>
  <c r="P380"/>
  <c r="P376"/>
  <c r="P372"/>
  <c r="P368"/>
  <c r="X385"/>
  <c r="X381"/>
  <c r="X377"/>
  <c r="X373"/>
  <c r="X369"/>
  <c r="X386"/>
  <c r="X382"/>
  <c r="X378"/>
  <c r="X374"/>
  <c r="X370"/>
  <c r="X388"/>
  <c r="X384"/>
  <c r="X380"/>
  <c r="X376"/>
  <c r="X372"/>
  <c r="X368"/>
  <c r="V411"/>
  <c r="V407"/>
  <c r="V403"/>
  <c r="V399"/>
  <c r="V395"/>
  <c r="V391"/>
  <c r="V408"/>
  <c r="V404"/>
  <c r="V400"/>
  <c r="V396"/>
  <c r="V392"/>
  <c r="V410"/>
  <c r="V406"/>
  <c r="V402"/>
  <c r="V398"/>
  <c r="V394"/>
  <c r="V390"/>
  <c r="V405"/>
  <c r="V397"/>
  <c r="V409"/>
  <c r="V401"/>
  <c r="V393"/>
  <c r="R427"/>
  <c r="R423"/>
  <c r="R428"/>
  <c r="R424"/>
  <c r="R429"/>
  <c r="R425"/>
  <c r="R426"/>
  <c r="P441"/>
  <c r="P437"/>
  <c r="P433"/>
  <c r="P442"/>
  <c r="P438"/>
  <c r="P434"/>
  <c r="P439"/>
  <c r="P435"/>
  <c r="P431"/>
  <c r="P440"/>
  <c r="P436"/>
  <c r="P432"/>
  <c r="X441"/>
  <c r="X437"/>
  <c r="X433"/>
  <c r="X442"/>
  <c r="X438"/>
  <c r="X434"/>
  <c r="X439"/>
  <c r="X435"/>
  <c r="X431"/>
  <c r="X440"/>
  <c r="X436"/>
  <c r="X432"/>
  <c r="V455"/>
  <c r="V451"/>
  <c r="V447"/>
  <c r="V452"/>
  <c r="V448"/>
  <c r="V444"/>
  <c r="V453"/>
  <c r="V449"/>
  <c r="V445"/>
  <c r="V454"/>
  <c r="V450"/>
  <c r="V446"/>
  <c r="T465"/>
  <c r="T461"/>
  <c r="T457"/>
  <c r="T466"/>
  <c r="T462"/>
  <c r="T458"/>
  <c r="T467"/>
  <c r="T463"/>
  <c r="T459"/>
  <c r="T464"/>
  <c r="T460"/>
  <c r="T79"/>
  <c r="P103"/>
  <c r="R48"/>
  <c r="P49"/>
  <c r="X49"/>
  <c r="V50"/>
  <c r="T51"/>
  <c r="R52"/>
  <c r="P53"/>
  <c r="X53"/>
  <c r="V54"/>
  <c r="T55"/>
  <c r="R56"/>
  <c r="P57"/>
  <c r="X57"/>
  <c r="V58"/>
  <c r="T59"/>
  <c r="R65"/>
  <c r="P66"/>
  <c r="X66"/>
  <c r="V67"/>
  <c r="T68"/>
  <c r="R69"/>
  <c r="P70"/>
  <c r="X70"/>
  <c r="V71"/>
  <c r="T72"/>
  <c r="R73"/>
  <c r="P74"/>
  <c r="X74"/>
  <c r="V75"/>
  <c r="T76"/>
  <c r="R82"/>
  <c r="P88"/>
  <c r="X88"/>
  <c r="V89"/>
  <c r="T90"/>
  <c r="R91"/>
  <c r="P92"/>
  <c r="X92"/>
  <c r="V93"/>
  <c r="T94"/>
  <c r="R95"/>
  <c r="P96"/>
  <c r="X96"/>
  <c r="V97"/>
  <c r="T98"/>
  <c r="R99"/>
  <c r="P100"/>
  <c r="X100"/>
  <c r="V101"/>
  <c r="R109"/>
  <c r="P110"/>
  <c r="X110"/>
  <c r="V111"/>
  <c r="T112"/>
  <c r="R113"/>
  <c r="P114"/>
  <c r="X114"/>
  <c r="W115"/>
  <c r="X117"/>
  <c r="Y118"/>
  <c r="P122"/>
  <c r="Q123"/>
  <c r="R126"/>
  <c r="S127"/>
  <c r="T129"/>
  <c r="U130"/>
  <c r="V132"/>
  <c r="W133"/>
  <c r="X135"/>
  <c r="Y136"/>
  <c r="P140"/>
  <c r="Q141"/>
  <c r="R143"/>
  <c r="S144"/>
  <c r="T146"/>
  <c r="U148"/>
  <c r="U149"/>
  <c r="V150"/>
  <c r="W151"/>
  <c r="W152"/>
  <c r="X153"/>
  <c r="Y154"/>
  <c r="Y155"/>
  <c r="P157"/>
  <c r="Q158"/>
  <c r="Q159"/>
  <c r="R160"/>
  <c r="S161"/>
  <c r="S162"/>
  <c r="T163"/>
  <c r="U164"/>
  <c r="U165"/>
  <c r="V166"/>
  <c r="W167"/>
  <c r="W168"/>
  <c r="X169"/>
  <c r="Y170"/>
  <c r="Y171"/>
  <c r="P173"/>
  <c r="Q174"/>
  <c r="Q175"/>
  <c r="R176"/>
  <c r="S177"/>
  <c r="T179"/>
  <c r="U180"/>
  <c r="V182"/>
  <c r="W183"/>
  <c r="W184"/>
  <c r="X185"/>
  <c r="Y186"/>
  <c r="Y187"/>
  <c r="P189"/>
  <c r="Q190"/>
  <c r="R192"/>
  <c r="T193"/>
  <c r="S198"/>
  <c r="U199"/>
  <c r="X200"/>
  <c r="W204"/>
  <c r="R207"/>
  <c r="Q212"/>
  <c r="S213"/>
  <c r="V214"/>
  <c r="Y215"/>
  <c r="Q217"/>
  <c r="U218"/>
  <c r="W219"/>
  <c r="P221"/>
  <c r="S222"/>
  <c r="U223"/>
  <c r="Y224"/>
  <c r="Q226"/>
  <c r="T227"/>
  <c r="W228"/>
  <c r="Y229"/>
  <c r="S231"/>
  <c r="U232"/>
  <c r="X233"/>
  <c r="Q235"/>
  <c r="S236"/>
  <c r="W237"/>
  <c r="Y238"/>
  <c r="V245"/>
  <c r="T247"/>
  <c r="P249"/>
  <c r="Y250"/>
  <c r="V252"/>
  <c r="R254"/>
  <c r="P256"/>
  <c r="V257"/>
  <c r="S259"/>
  <c r="P261"/>
  <c r="V262"/>
  <c r="S265"/>
  <c r="W267"/>
  <c r="S270"/>
  <c r="X272"/>
  <c r="R276"/>
  <c r="Q279"/>
  <c r="U281"/>
  <c r="Q284"/>
  <c r="V286"/>
  <c r="P289"/>
  <c r="Y291"/>
  <c r="S295"/>
  <c r="Y297"/>
  <c r="T300"/>
  <c r="X302"/>
  <c r="W305"/>
  <c r="Q308"/>
  <c r="W310"/>
  <c r="R313"/>
  <c r="V316"/>
  <c r="U319"/>
  <c r="Y321"/>
  <c r="U324"/>
  <c r="P327"/>
  <c r="T329"/>
  <c r="S332"/>
  <c r="W334"/>
  <c r="S339"/>
  <c r="X341"/>
  <c r="R344"/>
  <c r="Q347"/>
  <c r="U349"/>
  <c r="Q353"/>
  <c r="V355"/>
  <c r="P358"/>
  <c r="Y360"/>
  <c r="S363"/>
  <c r="Y365"/>
  <c r="T369"/>
  <c r="X371"/>
  <c r="W374"/>
  <c r="Q377"/>
  <c r="W379"/>
  <c r="R382"/>
  <c r="V384"/>
  <c r="W387"/>
  <c r="Y398"/>
  <c r="W411"/>
  <c r="L468"/>
  <c r="W3"/>
  <c r="U4"/>
  <c r="S5"/>
  <c r="Q6"/>
  <c r="Y6"/>
  <c r="W7"/>
  <c r="U8"/>
  <c r="S9"/>
  <c r="Q10"/>
  <c r="Y10"/>
  <c r="W11"/>
  <c r="U12"/>
  <c r="S13"/>
  <c r="Q14"/>
  <c r="Y14"/>
  <c r="W15"/>
  <c r="U16"/>
  <c r="S17"/>
  <c r="Q18"/>
  <c r="Y18"/>
  <c r="W20"/>
  <c r="U21"/>
  <c r="S22"/>
  <c r="Q23"/>
  <c r="Y23"/>
  <c r="W24"/>
  <c r="U25"/>
  <c r="S26"/>
  <c r="Q27"/>
  <c r="Y27"/>
  <c r="W28"/>
  <c r="U29"/>
  <c r="S31"/>
  <c r="Q32"/>
  <c r="Y32"/>
  <c r="W33"/>
  <c r="U34"/>
  <c r="S35"/>
  <c r="Q36"/>
  <c r="Y36"/>
  <c r="W38"/>
  <c r="U39"/>
  <c r="S40"/>
  <c r="Q41"/>
  <c r="Y41"/>
  <c r="W43"/>
  <c r="U44"/>
  <c r="S45"/>
  <c r="Q46"/>
  <c r="Y46"/>
  <c r="K468"/>
  <c r="V3"/>
  <c r="T4"/>
  <c r="R5"/>
  <c r="P6"/>
  <c r="X6"/>
  <c r="V7"/>
  <c r="T8"/>
  <c r="R9"/>
  <c r="P10"/>
  <c r="X10"/>
  <c r="V11"/>
  <c r="T12"/>
  <c r="R13"/>
  <c r="P14"/>
  <c r="X14"/>
  <c r="V15"/>
  <c r="R17"/>
  <c r="P18"/>
  <c r="X18"/>
  <c r="V20"/>
  <c r="T21"/>
  <c r="R22"/>
  <c r="P23"/>
  <c r="X23"/>
  <c r="V24"/>
  <c r="T25"/>
  <c r="R26"/>
  <c r="P27"/>
  <c r="X27"/>
  <c r="V28"/>
  <c r="T29"/>
  <c r="R31"/>
  <c r="P32"/>
  <c r="X32"/>
  <c r="V33"/>
  <c r="T34"/>
  <c r="R35"/>
  <c r="P36"/>
  <c r="X36"/>
  <c r="V38"/>
  <c r="T39"/>
  <c r="R40"/>
  <c r="P41"/>
  <c r="X41"/>
  <c r="V43"/>
  <c r="T44"/>
  <c r="R45"/>
  <c r="P46"/>
  <c r="X46"/>
  <c r="U3"/>
  <c r="S4"/>
  <c r="Q5"/>
  <c r="Y5"/>
  <c r="W6"/>
  <c r="U7"/>
  <c r="S8"/>
  <c r="Q9"/>
  <c r="Y9"/>
  <c r="W10"/>
  <c r="U11"/>
  <c r="S12"/>
  <c r="Q13"/>
  <c r="Y13"/>
  <c r="W14"/>
  <c r="U15"/>
  <c r="S16"/>
  <c r="Q17"/>
  <c r="Y17"/>
  <c r="W18"/>
  <c r="U20"/>
  <c r="S21"/>
  <c r="Q22"/>
  <c r="Y22"/>
  <c r="W23"/>
  <c r="U24"/>
  <c r="S25"/>
  <c r="Q26"/>
  <c r="Y26"/>
  <c r="W27"/>
  <c r="U28"/>
  <c r="S29"/>
  <c r="Q31"/>
  <c r="Y31"/>
  <c r="W32"/>
  <c r="U33"/>
  <c r="S34"/>
  <c r="Q35"/>
  <c r="Y35"/>
  <c r="W36"/>
  <c r="U38"/>
  <c r="S39"/>
  <c r="Q40"/>
  <c r="Y40"/>
  <c r="W41"/>
  <c r="U43"/>
  <c r="S44"/>
  <c r="Q45"/>
  <c r="Y45"/>
  <c r="W46"/>
  <c r="I468"/>
  <c r="T3"/>
  <c r="R4"/>
  <c r="P5"/>
  <c r="X5"/>
  <c r="V6"/>
  <c r="T7"/>
  <c r="R8"/>
  <c r="P9"/>
  <c r="X9"/>
  <c r="V10"/>
  <c r="T11"/>
  <c r="R12"/>
  <c r="P13"/>
  <c r="X13"/>
  <c r="V14"/>
  <c r="T15"/>
  <c r="P17"/>
  <c r="X17"/>
  <c r="V18"/>
  <c r="T20"/>
  <c r="R21"/>
  <c r="P22"/>
  <c r="X22"/>
  <c r="V23"/>
  <c r="T24"/>
  <c r="R25"/>
  <c r="P26"/>
  <c r="X26"/>
  <c r="V27"/>
  <c r="T28"/>
  <c r="R29"/>
  <c r="P31"/>
  <c r="X31"/>
  <c r="V32"/>
  <c r="T33"/>
  <c r="R34"/>
  <c r="P35"/>
  <c r="X35"/>
  <c r="V36"/>
  <c r="T38"/>
  <c r="R39"/>
  <c r="P40"/>
  <c r="X40"/>
  <c r="V41"/>
  <c r="T43"/>
  <c r="R44"/>
  <c r="P45"/>
  <c r="X45"/>
  <c r="V46"/>
  <c r="S3"/>
  <c r="Q4"/>
  <c r="Y4"/>
  <c r="W5"/>
  <c r="U6"/>
  <c r="S7"/>
  <c r="Q8"/>
  <c r="Y8"/>
  <c r="W9"/>
  <c r="U10"/>
  <c r="S11"/>
  <c r="Q12"/>
  <c r="Y12"/>
  <c r="W13"/>
  <c r="U14"/>
  <c r="S15"/>
  <c r="Q16"/>
  <c r="Y16"/>
  <c r="W17"/>
  <c r="U18"/>
  <c r="S20"/>
  <c r="Q21"/>
  <c r="Y21"/>
  <c r="W22"/>
  <c r="U23"/>
  <c r="S24"/>
  <c r="Q25"/>
  <c r="Y25"/>
  <c r="W26"/>
  <c r="U27"/>
  <c r="S28"/>
  <c r="Q29"/>
  <c r="Y29"/>
  <c r="W31"/>
  <c r="U32"/>
  <c r="S33"/>
  <c r="Q34"/>
  <c r="Y34"/>
  <c r="W35"/>
  <c r="U36"/>
  <c r="S38"/>
  <c r="Q39"/>
  <c r="Y39"/>
  <c r="W40"/>
  <c r="U41"/>
  <c r="S43"/>
  <c r="Q44"/>
  <c r="Y44"/>
  <c r="W45"/>
  <c r="U46"/>
  <c r="G468"/>
  <c r="R3"/>
  <c r="P4"/>
  <c r="X4"/>
  <c r="V5"/>
  <c r="T6"/>
  <c r="R7"/>
  <c r="P8"/>
  <c r="X8"/>
  <c r="V9"/>
  <c r="T10"/>
  <c r="R11"/>
  <c r="P12"/>
  <c r="X12"/>
  <c r="V13"/>
  <c r="T14"/>
  <c r="R15"/>
  <c r="P16"/>
  <c r="X16"/>
  <c r="V17"/>
  <c r="T18"/>
  <c r="R20"/>
  <c r="P21"/>
  <c r="X21"/>
  <c r="V22"/>
  <c r="T23"/>
  <c r="R24"/>
  <c r="P25"/>
  <c r="X25"/>
  <c r="V26"/>
  <c r="T27"/>
  <c r="R28"/>
  <c r="P29"/>
  <c r="X29"/>
  <c r="V31"/>
  <c r="T32"/>
  <c r="R33"/>
  <c r="P34"/>
  <c r="X34"/>
  <c r="V35"/>
  <c r="T36"/>
  <c r="R38"/>
  <c r="P39"/>
  <c r="X39"/>
  <c r="V40"/>
  <c r="T41"/>
  <c r="R43"/>
  <c r="P44"/>
  <c r="X44"/>
  <c r="V45"/>
  <c r="T46"/>
  <c r="Q3"/>
  <c r="Y3"/>
  <c r="W4"/>
  <c r="U5"/>
  <c r="S6"/>
  <c r="Q7"/>
  <c r="Y7"/>
  <c r="W8"/>
  <c r="U9"/>
  <c r="S10"/>
  <c r="Q11"/>
  <c r="Y11"/>
  <c r="W12"/>
  <c r="U13"/>
  <c r="S14"/>
  <c r="Q15"/>
  <c r="Y15"/>
  <c r="W16"/>
  <c r="U17"/>
  <c r="S18"/>
  <c r="Q20"/>
  <c r="Y20"/>
  <c r="W21"/>
  <c r="U22"/>
  <c r="S23"/>
  <c r="Q24"/>
  <c r="Y24"/>
  <c r="W25"/>
  <c r="U31"/>
  <c r="S32"/>
  <c r="X3"/>
  <c r="V4"/>
  <c r="T5"/>
  <c r="R6"/>
  <c r="P7"/>
  <c r="X7"/>
  <c r="V8"/>
  <c r="T9"/>
  <c r="R10"/>
  <c r="P11"/>
  <c r="X11"/>
  <c r="V12"/>
  <c r="T13"/>
  <c r="R14"/>
  <c r="P15"/>
  <c r="X15"/>
  <c r="V16"/>
  <c r="T17"/>
  <c r="R18"/>
  <c r="P20"/>
  <c r="X20"/>
  <c r="V21"/>
  <c r="T22"/>
  <c r="R23"/>
  <c r="P24"/>
  <c r="X24"/>
  <c r="V25"/>
  <c r="T31"/>
  <c r="R32"/>
  <c r="Q236" i="4"/>
  <c r="Q240"/>
  <c r="Q3"/>
  <c r="Q214"/>
  <c r="Q303"/>
  <c r="Q307"/>
  <c r="Q16"/>
  <c r="Q134"/>
  <c r="Q138"/>
  <c r="Q145"/>
  <c r="Q313"/>
  <c r="Q155"/>
  <c r="Q159"/>
  <c r="Q167"/>
  <c r="Q353"/>
  <c r="Q179"/>
  <c r="Q274"/>
  <c r="Q280"/>
  <c r="Q392"/>
  <c r="Q319"/>
  <c r="Q322"/>
  <c r="Q325"/>
  <c r="Q374"/>
  <c r="Q378"/>
  <c r="Q382"/>
  <c r="Q394"/>
  <c r="Q416"/>
  <c r="Q410"/>
  <c r="Q292"/>
  <c r="Q101"/>
  <c r="Q273"/>
  <c r="Q40"/>
  <c r="Q226"/>
  <c r="Q184"/>
  <c r="Q235"/>
  <c r="Q239"/>
  <c r="Q217"/>
  <c r="Q350"/>
  <c r="Q178"/>
  <c r="Q81"/>
  <c r="Q37"/>
  <c r="Q279"/>
  <c r="Q271"/>
  <c r="Q52"/>
  <c r="Q123"/>
  <c r="Q227"/>
  <c r="Q238"/>
  <c r="Q245"/>
  <c r="Q247"/>
  <c r="Q24"/>
  <c r="Q27"/>
  <c r="Q199"/>
  <c r="Q10"/>
  <c r="Q301"/>
  <c r="Q305"/>
  <c r="Q17"/>
  <c r="Q136"/>
  <c r="Q311"/>
  <c r="Q153"/>
  <c r="Q157"/>
  <c r="Q169"/>
  <c r="Q329"/>
  <c r="Q349"/>
  <c r="Q177"/>
  <c r="Q427"/>
  <c r="Q85"/>
  <c r="Q429"/>
  <c r="Q432"/>
  <c r="Q90"/>
  <c r="Q36"/>
  <c r="Q38"/>
  <c r="Q127"/>
  <c r="Q320"/>
  <c r="Q324"/>
  <c r="Q327"/>
  <c r="Q376"/>
  <c r="Q402"/>
  <c r="Q406"/>
  <c r="Q293"/>
  <c r="Q425"/>
  <c r="Q397"/>
  <c r="Q283"/>
  <c r="Q285"/>
  <c r="Q111"/>
  <c r="Q117"/>
  <c r="Q51"/>
  <c r="Q113"/>
  <c r="Q122"/>
  <c r="Q193"/>
  <c r="Q229"/>
  <c r="Q233"/>
  <c r="Q300"/>
  <c r="Q304"/>
  <c r="Q308"/>
  <c r="Q13"/>
  <c r="Q342"/>
  <c r="Q139"/>
  <c r="Q143"/>
  <c r="Q152"/>
  <c r="Q156"/>
  <c r="Q168"/>
  <c r="Q60"/>
  <c r="Q348"/>
  <c r="Q62"/>
  <c r="Q65"/>
  <c r="Q70"/>
  <c r="Q133"/>
  <c r="Q275"/>
  <c r="Q277"/>
  <c r="Q362"/>
  <c r="Q56"/>
  <c r="Q368"/>
  <c r="Q317"/>
  <c r="Q326"/>
  <c r="Q375"/>
  <c r="Q385"/>
  <c r="Q405"/>
  <c r="Q418"/>
  <c r="Q424"/>
  <c r="Q76"/>
  <c r="Q99"/>
  <c r="Q108"/>
  <c r="Q396"/>
  <c r="Q399"/>
  <c r="Q188"/>
  <c r="Q192"/>
  <c r="Q187"/>
  <c r="Q191"/>
  <c r="Q183"/>
  <c r="Q190"/>
  <c r="Q189"/>
  <c r="Q42"/>
  <c r="Q401"/>
  <c r="Q39"/>
  <c r="Q105"/>
  <c r="Q107"/>
  <c r="Q124"/>
  <c r="Q103"/>
  <c r="Q119"/>
  <c r="Q75"/>
  <c r="Q77"/>
  <c r="Q421"/>
  <c r="Q112"/>
  <c r="Q420"/>
  <c r="Q419"/>
  <c r="Q412"/>
  <c r="Q411"/>
  <c r="Q417"/>
  <c r="Q408"/>
  <c r="Q403"/>
  <c r="Q407"/>
  <c r="Q404"/>
  <c r="Q393"/>
  <c r="Q377"/>
  <c r="Q380"/>
  <c r="Q379"/>
  <c r="Q383"/>
  <c r="Q373"/>
  <c r="Q54"/>
  <c r="Q315"/>
  <c r="Q371"/>
  <c r="Q323"/>
  <c r="Q361"/>
  <c r="Q369"/>
  <c r="Q55"/>
  <c r="Q316"/>
  <c r="Q318"/>
  <c r="Q363"/>
  <c r="Q367"/>
  <c r="Q58"/>
  <c r="Q370"/>
  <c r="Q116"/>
  <c r="Q50"/>
  <c r="Q115"/>
  <c r="Q290"/>
  <c r="Q289"/>
  <c r="Q286"/>
  <c r="Q414"/>
  <c r="Q282"/>
  <c r="Q281"/>
  <c r="Q270"/>
  <c r="Q387"/>
  <c r="Q269"/>
  <c r="Q386"/>
  <c r="Q267"/>
  <c r="Q364"/>
  <c r="Q365"/>
  <c r="Q276"/>
  <c r="Q278"/>
  <c r="Q258"/>
  <c r="Q132"/>
  <c r="Q260"/>
  <c r="Q131"/>
  <c r="Q256"/>
  <c r="Q130"/>
  <c r="Q262"/>
  <c r="Q126"/>
  <c r="Q97"/>
  <c r="Q91"/>
  <c r="Q89"/>
  <c r="Q93"/>
  <c r="Q35"/>
  <c r="Q434"/>
  <c r="Q181"/>
  <c r="Q49"/>
  <c r="Q82"/>
  <c r="Q175"/>
  <c r="Q180"/>
  <c r="Q426"/>
  <c r="Q73"/>
  <c r="Q72"/>
  <c r="Q174"/>
  <c r="Q68"/>
  <c r="Q64"/>
  <c r="Q358"/>
  <c r="Q18"/>
  <c r="Q45"/>
  <c r="Q354"/>
  <c r="Q44"/>
  <c r="Q351"/>
  <c r="Q344"/>
  <c r="Q338"/>
  <c r="Q43"/>
  <c r="Q172"/>
  <c r="Q161"/>
  <c r="Q165"/>
  <c r="Q328"/>
  <c r="Q334"/>
  <c r="Q146"/>
  <c r="Q150"/>
  <c r="Q160"/>
  <c r="Q164"/>
  <c r="Q171"/>
  <c r="Q330"/>
  <c r="Q149"/>
  <c r="Q163"/>
  <c r="Q148"/>
  <c r="Q154"/>
  <c r="Q158"/>
  <c r="Q332"/>
  <c r="Q312"/>
  <c r="Q144"/>
  <c r="Q141"/>
  <c r="Q310"/>
  <c r="Q137"/>
  <c r="Q135"/>
  <c r="Q142"/>
  <c r="Q297"/>
  <c r="Q12"/>
  <c r="Q302"/>
  <c r="Q306"/>
  <c r="Q309"/>
  <c r="Q14"/>
  <c r="Q296"/>
  <c r="Q225"/>
  <c r="Q295"/>
  <c r="Q224"/>
  <c r="Q213"/>
  <c r="Q223"/>
  <c r="Q215"/>
  <c r="Q221"/>
  <c r="Q211"/>
  <c r="Q208"/>
  <c r="Q210"/>
  <c r="Q7"/>
  <c r="Q206"/>
  <c r="Q251"/>
  <c r="Q248"/>
  <c r="Q314"/>
  <c r="Q201"/>
  <c r="Q200"/>
  <c r="Q249"/>
  <c r="Q33"/>
  <c r="Q19"/>
</calcChain>
</file>

<file path=xl/sharedStrings.xml><?xml version="1.0" encoding="utf-8"?>
<sst xmlns="http://schemas.openxmlformats.org/spreadsheetml/2006/main" count="2962" uniqueCount="94">
  <si>
    <t>IPM_Region</t>
  </si>
  <si>
    <t>AZNM</t>
  </si>
  <si>
    <t>CA-N</t>
  </si>
  <si>
    <t>CA-S</t>
  </si>
  <si>
    <t>COMD</t>
  </si>
  <si>
    <t>DSNY</t>
  </si>
  <si>
    <t>ENTG</t>
  </si>
  <si>
    <t>ERCT</t>
  </si>
  <si>
    <t>FRCC</t>
  </si>
  <si>
    <t>GWAY</t>
  </si>
  <si>
    <t>LILC</t>
  </si>
  <si>
    <t>MACE</t>
  </si>
  <si>
    <t>MACS</t>
  </si>
  <si>
    <t>MACW</t>
  </si>
  <si>
    <t>MECS</t>
  </si>
  <si>
    <t>MRO</t>
  </si>
  <si>
    <t>NENG</t>
  </si>
  <si>
    <t>NWPE</t>
  </si>
  <si>
    <t>NYC</t>
  </si>
  <si>
    <t>PNW</t>
  </si>
  <si>
    <t>RFCO</t>
  </si>
  <si>
    <t>RFCP</t>
  </si>
  <si>
    <t>RMPA</t>
  </si>
  <si>
    <t>SNV</t>
  </si>
  <si>
    <t>SOU</t>
  </si>
  <si>
    <t>SPPN</t>
  </si>
  <si>
    <t>SPPS</t>
  </si>
  <si>
    <t>TVA</t>
  </si>
  <si>
    <t>TVAK</t>
  </si>
  <si>
    <t>UPNY</t>
  </si>
  <si>
    <t>VACA</t>
  </si>
  <si>
    <t>VAPW</t>
  </si>
  <si>
    <t>WUMS</t>
  </si>
  <si>
    <t>ReEDS Region</t>
  </si>
  <si>
    <t>Class</t>
  </si>
  <si>
    <t>% ReEDS region in IPM Region</t>
  </si>
  <si>
    <t>% IPM region in ReEDS region</t>
  </si>
  <si>
    <t>Amount of wind assigned by region and class in 20% Wind Vision report in 2030 by power class</t>
  </si>
  <si>
    <t>Onshore Wind</t>
  </si>
  <si>
    <t>Offshore Shallow Wind</t>
  </si>
  <si>
    <t>Allocated by percentage</t>
  </si>
  <si>
    <t>MW</t>
  </si>
  <si>
    <t>Class 3 Onshore (MW)</t>
  </si>
  <si>
    <t>Class 4 Onshore (MW)</t>
  </si>
  <si>
    <t>Class 5 Onshore (MW)</t>
  </si>
  <si>
    <t>Class 6 Onshore (MW)</t>
  </si>
  <si>
    <t>Class 7 Onshore (MW)</t>
  </si>
  <si>
    <t>Class 3 Offshore Shallow (MW)</t>
  </si>
  <si>
    <t>Class 4 Offshore Shallow (MW)</t>
  </si>
  <si>
    <t>Class 5 Offshore Shallow (MW)</t>
  </si>
  <si>
    <t>Class 6 Offshore Shallow (MW)</t>
  </si>
  <si>
    <t>Class 7 Offshore Shallow (MW)</t>
  </si>
  <si>
    <t>Total Onshore (MW)</t>
  </si>
  <si>
    <t>Total Offshore Shallow (MW)</t>
  </si>
  <si>
    <t>Total Wind Vision (MW)</t>
  </si>
  <si>
    <t>AZNM Total</t>
  </si>
  <si>
    <t>CA-N Total</t>
  </si>
  <si>
    <t>CA-S Total</t>
  </si>
  <si>
    <t>COMD Total</t>
  </si>
  <si>
    <t>DSNY Total</t>
  </si>
  <si>
    <t>ENTG Total</t>
  </si>
  <si>
    <t>ERCT Total</t>
  </si>
  <si>
    <t>FRCC Total</t>
  </si>
  <si>
    <t>GWAY Total</t>
  </si>
  <si>
    <t>LILC Total</t>
  </si>
  <si>
    <t>MACE Total</t>
  </si>
  <si>
    <t>MACS Total</t>
  </si>
  <si>
    <t>MACW Total</t>
  </si>
  <si>
    <t>MECS Total</t>
  </si>
  <si>
    <t>MRO Total</t>
  </si>
  <si>
    <t>NENG Total</t>
  </si>
  <si>
    <t>NWPE Total</t>
  </si>
  <si>
    <t>NYC Total</t>
  </si>
  <si>
    <t>PNW Total</t>
  </si>
  <si>
    <t>RFCO Total</t>
  </si>
  <si>
    <t>RFCP Total</t>
  </si>
  <si>
    <t>RMPA Total</t>
  </si>
  <si>
    <t>SNV Total</t>
  </si>
  <si>
    <t>SOU Total</t>
  </si>
  <si>
    <t>SPPN Total</t>
  </si>
  <si>
    <t>SPPS Total</t>
  </si>
  <si>
    <t>TVA Total</t>
  </si>
  <si>
    <t>TVAK Total</t>
  </si>
  <si>
    <t>UPNY Total</t>
  </si>
  <si>
    <t>VACA Total</t>
  </si>
  <si>
    <t>VAPW Total</t>
  </si>
  <si>
    <t>WUMS Total</t>
  </si>
  <si>
    <t>Grand Total</t>
  </si>
  <si>
    <t>Percentage of IPM regional total by class</t>
  </si>
  <si>
    <t>Class 3 Offshore Deep (MW)</t>
  </si>
  <si>
    <t>Class 4 Offshore Deep (MW)</t>
  </si>
  <si>
    <t>Class 5 Offshore Deep (MW)</t>
  </si>
  <si>
    <t>Class 6 Offshore Deep (MW)</t>
  </si>
  <si>
    <t>Class 7 Offshore Deep (MW)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</si>
</sst>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0.0%"/>
    <numFmt numFmtId="167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0" fontId="1" fillId="0" borderId="0" xfId="0" applyNumberFormat="1" applyFont="1"/>
    <xf numFmtId="49" fontId="1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1" fontId="0" fillId="0" borderId="0" xfId="0" applyNumberFormat="1"/>
    <xf numFmtId="167" fontId="0" fillId="0" borderId="0" xfId="0" applyNumberFormat="1"/>
    <xf numFmtId="1" fontId="1" fillId="0" borderId="0" xfId="0" applyNumberFormat="1" applyFont="1"/>
    <xf numFmtId="0" fontId="1" fillId="0" borderId="0" xfId="0" applyFont="1"/>
    <xf numFmtId="166" fontId="3" fillId="0" borderId="0" xfId="0" applyNumberFormat="1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4"/>
  <sheetViews>
    <sheetView workbookViewId="0">
      <selection activeCell="D2" sqref="D2"/>
    </sheetView>
  </sheetViews>
  <sheetFormatPr defaultRowHeight="15"/>
  <cols>
    <col min="1" max="1" width="11.7109375" bestFit="1" customWidth="1"/>
    <col min="2" max="2" width="13.28515625" bestFit="1" customWidth="1"/>
    <col min="3" max="3" width="10" style="5" bestFit="1" customWidth="1"/>
    <col min="4" max="4" width="9.42578125" style="5" bestFit="1" customWidth="1"/>
  </cols>
  <sheetData>
    <row r="1" spans="1:4" s="8" customFormat="1" ht="60">
      <c r="A1" s="6" t="s">
        <v>0</v>
      </c>
      <c r="B1" s="6" t="s">
        <v>33</v>
      </c>
      <c r="C1" s="7" t="s">
        <v>35</v>
      </c>
      <c r="D1" s="7" t="s">
        <v>36</v>
      </c>
    </row>
    <row r="2" spans="1:4">
      <c r="A2" s="1" t="s">
        <v>1</v>
      </c>
      <c r="B2">
        <v>33</v>
      </c>
      <c r="C2" s="5">
        <v>14.053567625499999</v>
      </c>
      <c r="D2" s="5">
        <v>2.0475920464000001</v>
      </c>
    </row>
    <row r="3" spans="1:4">
      <c r="A3" s="1" t="s">
        <v>1</v>
      </c>
      <c r="B3">
        <v>53</v>
      </c>
      <c r="C3" s="5">
        <v>99.984108315699999</v>
      </c>
      <c r="D3" s="5">
        <v>6.1538951275100002</v>
      </c>
    </row>
    <row r="4" spans="1:4">
      <c r="A4" s="1" t="s">
        <v>1</v>
      </c>
      <c r="B4">
        <v>54</v>
      </c>
      <c r="C4" s="5">
        <v>99.9996403114</v>
      </c>
      <c r="D4" s="5">
        <v>13.0753938174</v>
      </c>
    </row>
    <row r="5" spans="1:4">
      <c r="A5" s="1" t="s">
        <v>1</v>
      </c>
      <c r="B5">
        <v>55</v>
      </c>
      <c r="C5" s="5">
        <v>99.999866455599999</v>
      </c>
      <c r="D5" s="5">
        <v>5.1253520658799996</v>
      </c>
    </row>
    <row r="6" spans="1:4">
      <c r="A6" s="1" t="s">
        <v>1</v>
      </c>
      <c r="B6">
        <v>56</v>
      </c>
      <c r="C6" s="5">
        <v>99.998879328599998</v>
      </c>
      <c r="D6" s="5">
        <v>8.25456340629</v>
      </c>
    </row>
    <row r="7" spans="1:4">
      <c r="A7" s="1" t="s">
        <v>1</v>
      </c>
      <c r="B7">
        <v>57</v>
      </c>
      <c r="C7" s="5">
        <v>100</v>
      </c>
      <c r="D7" s="5">
        <v>6.6696216167099998</v>
      </c>
    </row>
    <row r="8" spans="1:4">
      <c r="A8" s="1" t="s">
        <v>1</v>
      </c>
      <c r="B8">
        <v>58</v>
      </c>
      <c r="C8" s="5">
        <v>99.999994251900006</v>
      </c>
      <c r="D8" s="5">
        <v>4.7005329788400001</v>
      </c>
    </row>
    <row r="9" spans="1:4">
      <c r="A9" s="1" t="s">
        <v>1</v>
      </c>
      <c r="B9">
        <v>59</v>
      </c>
      <c r="C9" s="5">
        <v>99.999990118300005</v>
      </c>
      <c r="D9" s="5">
        <v>7.9975691549299999</v>
      </c>
    </row>
    <row r="10" spans="1:4">
      <c r="A10" s="1" t="s">
        <v>1</v>
      </c>
      <c r="B10">
        <v>88</v>
      </c>
      <c r="C10" s="5">
        <v>99.997801178900005</v>
      </c>
      <c r="D10" s="5">
        <v>7.5856393224199996</v>
      </c>
    </row>
    <row r="11" spans="1:4">
      <c r="A11" s="1" t="s">
        <v>1</v>
      </c>
      <c r="B11">
        <v>89</v>
      </c>
      <c r="C11" s="5">
        <v>100</v>
      </c>
      <c r="D11" s="5">
        <v>2.23088203947</v>
      </c>
    </row>
    <row r="12" spans="1:4">
      <c r="A12" s="1" t="s">
        <v>1</v>
      </c>
      <c r="B12">
        <v>90</v>
      </c>
      <c r="C12" s="5">
        <v>99.999999540399997</v>
      </c>
      <c r="D12" s="5">
        <v>14.6228164962</v>
      </c>
    </row>
    <row r="13" spans="1:4">
      <c r="A13" s="1" t="s">
        <v>1</v>
      </c>
      <c r="B13">
        <v>91</v>
      </c>
      <c r="C13" s="5">
        <v>99.9978394364</v>
      </c>
      <c r="D13" s="5">
        <v>4.6238789017400004</v>
      </c>
    </row>
    <row r="14" spans="1:4">
      <c r="A14" s="1" t="s">
        <v>1</v>
      </c>
      <c r="B14">
        <v>92</v>
      </c>
      <c r="C14" s="5">
        <v>99.999535823800002</v>
      </c>
      <c r="D14" s="5">
        <v>6.7636800732399998</v>
      </c>
    </row>
    <row r="15" spans="1:4">
      <c r="A15" s="1" t="s">
        <v>1</v>
      </c>
      <c r="B15">
        <v>93</v>
      </c>
      <c r="C15" s="5">
        <v>75.342670428700004</v>
      </c>
      <c r="D15" s="5">
        <v>7.4899436146399996</v>
      </c>
    </row>
    <row r="16" spans="1:4">
      <c r="A16" s="1" t="s">
        <v>1</v>
      </c>
      <c r="B16">
        <v>94</v>
      </c>
      <c r="C16" s="5">
        <v>99.999829420099999</v>
      </c>
      <c r="D16" s="5">
        <v>0.45804951404900002</v>
      </c>
    </row>
    <row r="17" spans="1:4">
      <c r="A17" s="1" t="s">
        <v>1</v>
      </c>
      <c r="B17">
        <v>163</v>
      </c>
      <c r="C17" s="5">
        <v>14.9868788653</v>
      </c>
      <c r="D17" s="5">
        <v>2.0785035193099999</v>
      </c>
    </row>
    <row r="18" spans="1:4">
      <c r="A18" s="1" t="s">
        <v>2</v>
      </c>
      <c r="B18">
        <v>20</v>
      </c>
      <c r="C18" s="5">
        <v>94.404948946100006</v>
      </c>
      <c r="D18" s="5">
        <v>19.995088440699998</v>
      </c>
    </row>
    <row r="19" spans="1:4">
      <c r="A19" s="1" t="s">
        <v>2</v>
      </c>
      <c r="B19">
        <v>21</v>
      </c>
      <c r="C19" s="5">
        <v>30.9105072901</v>
      </c>
      <c r="D19" s="5">
        <v>5.5141272360000002</v>
      </c>
    </row>
    <row r="20" spans="1:4">
      <c r="A20" s="1" t="s">
        <v>2</v>
      </c>
      <c r="B20">
        <v>22</v>
      </c>
      <c r="C20" s="5">
        <v>100</v>
      </c>
      <c r="D20" s="5">
        <v>5.6487313974499997</v>
      </c>
    </row>
    <row r="21" spans="1:4">
      <c r="A21" s="1" t="s">
        <v>2</v>
      </c>
      <c r="B21">
        <v>23</v>
      </c>
      <c r="C21" s="5">
        <v>100</v>
      </c>
      <c r="D21" s="5">
        <v>3.4220337972400001</v>
      </c>
    </row>
    <row r="22" spans="1:4">
      <c r="A22" s="1" t="s">
        <v>2</v>
      </c>
      <c r="B22">
        <v>24</v>
      </c>
      <c r="C22" s="5">
        <v>99.999916918599993</v>
      </c>
      <c r="D22" s="5">
        <v>11.9451768561</v>
      </c>
    </row>
    <row r="23" spans="1:4">
      <c r="A23" s="1" t="s">
        <v>2</v>
      </c>
      <c r="B23">
        <v>25</v>
      </c>
      <c r="C23" s="5">
        <v>100</v>
      </c>
      <c r="D23" s="5">
        <v>8.7505446469100008</v>
      </c>
    </row>
    <row r="24" spans="1:4">
      <c r="A24" s="1" t="s">
        <v>2</v>
      </c>
      <c r="B24">
        <v>26</v>
      </c>
      <c r="C24" s="5">
        <v>100</v>
      </c>
      <c r="D24" s="5">
        <v>6.9018339980499999</v>
      </c>
    </row>
    <row r="25" spans="1:4">
      <c r="A25" s="1" t="s">
        <v>2</v>
      </c>
      <c r="B25">
        <v>27</v>
      </c>
      <c r="C25" s="5">
        <v>99.998647124599998</v>
      </c>
      <c r="D25" s="5">
        <v>13.910289765</v>
      </c>
    </row>
    <row r="26" spans="1:4">
      <c r="A26" s="1" t="s">
        <v>2</v>
      </c>
      <c r="B26">
        <v>29</v>
      </c>
      <c r="C26" s="5">
        <v>77.3937569534</v>
      </c>
      <c r="D26" s="5">
        <v>10.999624214100001</v>
      </c>
    </row>
    <row r="27" spans="1:4">
      <c r="A27" s="1" t="s">
        <v>2</v>
      </c>
      <c r="B27">
        <v>30</v>
      </c>
      <c r="C27" s="5">
        <v>62.778873983300002</v>
      </c>
      <c r="D27" s="5">
        <v>9.5340152344900009</v>
      </c>
    </row>
    <row r="28" spans="1:4">
      <c r="A28" s="1" t="s">
        <v>3</v>
      </c>
      <c r="B28">
        <v>28</v>
      </c>
      <c r="C28" s="5">
        <v>99.9914773629</v>
      </c>
      <c r="D28" s="5">
        <v>21.5368356392</v>
      </c>
    </row>
    <row r="29" spans="1:4">
      <c r="A29" s="1" t="s">
        <v>3</v>
      </c>
      <c r="B29">
        <v>29</v>
      </c>
      <c r="C29" s="5">
        <v>22.606243045799999</v>
      </c>
      <c r="D29" s="5">
        <v>4.4344278258400003</v>
      </c>
    </row>
    <row r="30" spans="1:4">
      <c r="A30" s="1" t="s">
        <v>3</v>
      </c>
      <c r="B30">
        <v>30</v>
      </c>
      <c r="C30" s="5">
        <v>37.2211260168</v>
      </c>
      <c r="D30" s="5">
        <v>7.8016974832999999</v>
      </c>
    </row>
    <row r="31" spans="1:4">
      <c r="A31" s="1" t="s">
        <v>3</v>
      </c>
      <c r="B31">
        <v>31</v>
      </c>
      <c r="C31" s="5">
        <v>99.997226662800003</v>
      </c>
      <c r="D31" s="5">
        <v>10.8707663044</v>
      </c>
    </row>
    <row r="32" spans="1:4">
      <c r="A32" s="1" t="s">
        <v>3</v>
      </c>
      <c r="B32">
        <v>32</v>
      </c>
      <c r="C32" s="5">
        <v>99.9993278635</v>
      </c>
      <c r="D32" s="5">
        <v>6.8308637428100001</v>
      </c>
    </row>
    <row r="33" spans="1:4">
      <c r="A33" s="1" t="s">
        <v>3</v>
      </c>
      <c r="B33">
        <v>33</v>
      </c>
      <c r="C33" s="5">
        <v>85.946225848300003</v>
      </c>
      <c r="D33" s="5">
        <v>44.190804821</v>
      </c>
    </row>
    <row r="34" spans="1:4">
      <c r="A34" s="1" t="s">
        <v>4</v>
      </c>
      <c r="B34">
        <v>199</v>
      </c>
      <c r="C34" s="5">
        <v>86.788885766000007</v>
      </c>
      <c r="D34" s="5">
        <v>33.653769560999997</v>
      </c>
    </row>
    <row r="35" spans="1:4">
      <c r="A35" s="1" t="s">
        <v>4</v>
      </c>
      <c r="B35">
        <v>206</v>
      </c>
      <c r="C35" s="5">
        <v>99.983698794399999</v>
      </c>
      <c r="D35" s="5">
        <v>27.554788731199999</v>
      </c>
    </row>
    <row r="36" spans="1:4">
      <c r="A36" s="1" t="s">
        <v>4</v>
      </c>
      <c r="B36">
        <v>207</v>
      </c>
      <c r="C36" s="5">
        <v>71.165463941699997</v>
      </c>
      <c r="D36" s="5">
        <v>18.9797691572</v>
      </c>
    </row>
    <row r="37" spans="1:4">
      <c r="A37" s="1" t="s">
        <v>4</v>
      </c>
      <c r="B37">
        <v>209</v>
      </c>
      <c r="C37" s="5">
        <v>27.0947268038</v>
      </c>
      <c r="D37" s="5">
        <v>8.2225855836099999</v>
      </c>
    </row>
    <row r="38" spans="1:4">
      <c r="A38" s="1" t="s">
        <v>5</v>
      </c>
      <c r="B38">
        <v>338</v>
      </c>
      <c r="C38" s="5">
        <v>66.540594105699995</v>
      </c>
      <c r="D38" s="5">
        <v>38.880264539499997</v>
      </c>
    </row>
    <row r="39" spans="1:4">
      <c r="A39" s="1" t="s">
        <v>5</v>
      </c>
      <c r="B39">
        <v>339</v>
      </c>
      <c r="C39" s="5">
        <v>40.486176584799999</v>
      </c>
      <c r="D39" s="5">
        <v>20.685027191100001</v>
      </c>
    </row>
    <row r="40" spans="1:4">
      <c r="A40" s="1" t="s">
        <v>5</v>
      </c>
      <c r="B40">
        <v>340</v>
      </c>
      <c r="C40" s="5">
        <v>99.999814184399995</v>
      </c>
      <c r="D40" s="5">
        <v>22.311315830200002</v>
      </c>
    </row>
    <row r="41" spans="1:4">
      <c r="A41" s="1" t="s">
        <v>5</v>
      </c>
      <c r="B41">
        <v>341</v>
      </c>
      <c r="C41" s="5">
        <v>89.345866651799994</v>
      </c>
      <c r="D41" s="5">
        <v>17.947815840299999</v>
      </c>
    </row>
    <row r="42" spans="1:4">
      <c r="A42" s="1" t="s">
        <v>6</v>
      </c>
      <c r="B42">
        <v>147</v>
      </c>
      <c r="C42" s="5">
        <v>22.712745706300002</v>
      </c>
      <c r="D42" s="5">
        <v>1.7656235060600001</v>
      </c>
    </row>
    <row r="43" spans="1:4">
      <c r="A43" s="1" t="s">
        <v>6</v>
      </c>
      <c r="B43">
        <v>160</v>
      </c>
      <c r="C43" s="5">
        <v>21.872414537299999</v>
      </c>
      <c r="D43" s="5">
        <v>2.2284163650700002</v>
      </c>
    </row>
    <row r="44" spans="1:4">
      <c r="A44" s="1" t="s">
        <v>6</v>
      </c>
      <c r="B44">
        <v>162</v>
      </c>
      <c r="C44" s="5">
        <v>37.6516651755</v>
      </c>
      <c r="D44" s="5">
        <v>6.9724295649599997</v>
      </c>
    </row>
    <row r="45" spans="1:4">
      <c r="A45" s="1" t="s">
        <v>6</v>
      </c>
      <c r="B45">
        <v>171</v>
      </c>
      <c r="C45" s="5">
        <v>2.8629441835299998</v>
      </c>
      <c r="D45" s="5">
        <v>0.65401289497199999</v>
      </c>
    </row>
    <row r="46" spans="1:4">
      <c r="A46" s="1" t="s">
        <v>6</v>
      </c>
      <c r="B46">
        <v>187</v>
      </c>
      <c r="C46" s="5">
        <v>84.222333920300002</v>
      </c>
      <c r="D46" s="5">
        <v>6.3755283774400002</v>
      </c>
    </row>
    <row r="47" spans="1:4">
      <c r="A47" s="1" t="s">
        <v>6</v>
      </c>
      <c r="B47">
        <v>188</v>
      </c>
      <c r="C47" s="5">
        <v>99.9993740229</v>
      </c>
      <c r="D47" s="5">
        <v>2.6813531090599998</v>
      </c>
    </row>
    <row r="48" spans="1:4">
      <c r="A48" s="1" t="s">
        <v>6</v>
      </c>
      <c r="B48">
        <v>190</v>
      </c>
      <c r="C48" s="5">
        <v>24.076938890499999</v>
      </c>
      <c r="D48" s="5">
        <v>0.69776330371499995</v>
      </c>
    </row>
    <row r="49" spans="1:4">
      <c r="A49" s="1" t="s">
        <v>6</v>
      </c>
      <c r="B49">
        <v>256</v>
      </c>
      <c r="C49" s="5">
        <v>73.086192423900002</v>
      </c>
      <c r="D49" s="5">
        <v>8.0114465255699994</v>
      </c>
    </row>
    <row r="50" spans="1:4">
      <c r="A50" s="1" t="s">
        <v>6</v>
      </c>
      <c r="B50">
        <v>257</v>
      </c>
      <c r="C50" s="5">
        <v>99.998549827100007</v>
      </c>
      <c r="D50" s="5">
        <v>4.07570191765</v>
      </c>
    </row>
    <row r="51" spans="1:4">
      <c r="A51" s="1" t="s">
        <v>6</v>
      </c>
      <c r="B51">
        <v>258</v>
      </c>
      <c r="C51" s="5">
        <v>100</v>
      </c>
      <c r="D51" s="5">
        <v>1.20122992777</v>
      </c>
    </row>
    <row r="52" spans="1:4">
      <c r="A52" s="1" t="s">
        <v>6</v>
      </c>
      <c r="B52">
        <v>259</v>
      </c>
      <c r="C52" s="5">
        <v>90.393837342899999</v>
      </c>
      <c r="D52" s="5">
        <v>23.900221205200001</v>
      </c>
    </row>
    <row r="53" spans="1:4">
      <c r="A53" s="1" t="s">
        <v>6</v>
      </c>
      <c r="B53">
        <v>260</v>
      </c>
      <c r="C53" s="5">
        <v>81.973125802300004</v>
      </c>
      <c r="D53" s="5">
        <v>4.6011207321400001</v>
      </c>
    </row>
    <row r="54" spans="1:4">
      <c r="A54" s="1" t="s">
        <v>6</v>
      </c>
      <c r="B54">
        <v>261</v>
      </c>
      <c r="C54" s="5">
        <v>99.998010640100006</v>
      </c>
      <c r="D54" s="5">
        <v>12.5420293556</v>
      </c>
    </row>
    <row r="55" spans="1:4">
      <c r="A55" s="1" t="s">
        <v>6</v>
      </c>
      <c r="B55">
        <v>262</v>
      </c>
      <c r="C55" s="5">
        <v>92.578386870800003</v>
      </c>
      <c r="D55" s="5">
        <v>17.784347544300001</v>
      </c>
    </row>
    <row r="56" spans="1:4">
      <c r="A56" s="1" t="s">
        <v>6</v>
      </c>
      <c r="B56">
        <v>263</v>
      </c>
      <c r="C56" s="5">
        <v>15.192562647999999</v>
      </c>
      <c r="D56" s="5">
        <v>1.5720836460100001</v>
      </c>
    </row>
    <row r="57" spans="1:4">
      <c r="A57" s="1" t="s">
        <v>6</v>
      </c>
      <c r="B57">
        <v>264</v>
      </c>
      <c r="C57" s="5">
        <v>7.2006971454600004</v>
      </c>
      <c r="D57" s="5">
        <v>0.67280582712899994</v>
      </c>
    </row>
    <row r="58" spans="1:4">
      <c r="A58" s="1" t="s">
        <v>7</v>
      </c>
      <c r="B58">
        <v>149</v>
      </c>
      <c r="C58" s="5">
        <v>26.777473839500001</v>
      </c>
      <c r="D58" s="5">
        <v>1.5525480281899999</v>
      </c>
    </row>
    <row r="59" spans="1:4">
      <c r="A59" s="1" t="s">
        <v>7</v>
      </c>
      <c r="B59">
        <v>150</v>
      </c>
      <c r="C59" s="5">
        <v>8.2392780112900006</v>
      </c>
      <c r="D59" s="5">
        <v>0.87349911395299995</v>
      </c>
    </row>
    <row r="60" spans="1:4">
      <c r="A60" s="1" t="s">
        <v>7</v>
      </c>
      <c r="B60">
        <v>163</v>
      </c>
      <c r="C60" s="5">
        <v>85.012961056400002</v>
      </c>
      <c r="D60" s="5">
        <v>12.169319294099999</v>
      </c>
    </row>
    <row r="61" spans="1:4">
      <c r="A61" s="1" t="s">
        <v>7</v>
      </c>
      <c r="B61">
        <v>164</v>
      </c>
      <c r="C61" s="5">
        <v>99.999769446100004</v>
      </c>
      <c r="D61" s="5">
        <v>5.0355410066699999</v>
      </c>
    </row>
    <row r="62" spans="1:4">
      <c r="A62" s="1" t="s">
        <v>7</v>
      </c>
      <c r="B62">
        <v>165</v>
      </c>
      <c r="C62" s="5">
        <v>95.765254940199995</v>
      </c>
      <c r="D62" s="5">
        <v>9.6153106802899995</v>
      </c>
    </row>
    <row r="63" spans="1:4">
      <c r="A63" s="1" t="s">
        <v>7</v>
      </c>
      <c r="B63">
        <v>166</v>
      </c>
      <c r="C63" s="5">
        <v>99.999999734100001</v>
      </c>
      <c r="D63" s="5">
        <v>9.29272673993</v>
      </c>
    </row>
    <row r="64" spans="1:4">
      <c r="A64" s="1" t="s">
        <v>7</v>
      </c>
      <c r="B64">
        <v>167</v>
      </c>
      <c r="C64" s="5">
        <v>99.986909366399999</v>
      </c>
      <c r="D64" s="5">
        <v>6.1901457467899998</v>
      </c>
    </row>
    <row r="65" spans="1:4">
      <c r="A65" s="1" t="s">
        <v>7</v>
      </c>
      <c r="B65">
        <v>168</v>
      </c>
      <c r="C65" s="5">
        <v>92.094776086500005</v>
      </c>
      <c r="D65" s="5">
        <v>5.3903687328499998</v>
      </c>
    </row>
    <row r="66" spans="1:4">
      <c r="A66" s="1" t="s">
        <v>7</v>
      </c>
      <c r="B66">
        <v>169</v>
      </c>
      <c r="C66" s="5">
        <v>99.999146366299996</v>
      </c>
      <c r="D66" s="5">
        <v>7.93613379533</v>
      </c>
    </row>
    <row r="67" spans="1:4">
      <c r="A67" s="1" t="s">
        <v>7</v>
      </c>
      <c r="B67">
        <v>170</v>
      </c>
      <c r="C67" s="5">
        <v>83.274136497499995</v>
      </c>
      <c r="D67" s="5">
        <v>4.8095934832099996</v>
      </c>
    </row>
    <row r="68" spans="1:4">
      <c r="A68" s="1" t="s">
        <v>7</v>
      </c>
      <c r="B68">
        <v>171</v>
      </c>
      <c r="C68" s="5">
        <v>97.137055816399993</v>
      </c>
      <c r="D68" s="5">
        <v>12.821228864</v>
      </c>
    </row>
    <row r="69" spans="1:4">
      <c r="A69" s="1" t="s">
        <v>7</v>
      </c>
      <c r="B69">
        <v>172</v>
      </c>
      <c r="C69" s="5">
        <v>99.999670147499998</v>
      </c>
      <c r="D69" s="5">
        <v>13.2206350054</v>
      </c>
    </row>
    <row r="70" spans="1:4">
      <c r="A70" s="1" t="s">
        <v>7</v>
      </c>
      <c r="B70">
        <v>173</v>
      </c>
      <c r="C70" s="5">
        <v>100</v>
      </c>
      <c r="D70" s="5">
        <v>0.59259297540800004</v>
      </c>
    </row>
    <row r="71" spans="1:4">
      <c r="A71" s="1" t="s">
        <v>7</v>
      </c>
      <c r="B71">
        <v>174</v>
      </c>
      <c r="C71" s="5">
        <v>99.999896010200004</v>
      </c>
      <c r="D71" s="5">
        <v>5.1400490335200004</v>
      </c>
    </row>
    <row r="72" spans="1:4">
      <c r="A72" s="1" t="s">
        <v>7</v>
      </c>
      <c r="B72">
        <v>175</v>
      </c>
      <c r="C72" s="5">
        <v>99.987850268700001</v>
      </c>
      <c r="D72" s="5">
        <v>2.1243382498000001</v>
      </c>
    </row>
    <row r="73" spans="1:4">
      <c r="A73" s="1" t="s">
        <v>7</v>
      </c>
      <c r="B73">
        <v>256</v>
      </c>
      <c r="C73" s="5">
        <v>20.700104552799999</v>
      </c>
      <c r="D73" s="5">
        <v>1.3110505182300001</v>
      </c>
    </row>
    <row r="74" spans="1:4">
      <c r="A74" s="1" t="s">
        <v>8</v>
      </c>
      <c r="B74">
        <v>309</v>
      </c>
      <c r="C74" s="5">
        <v>99.999596210199996</v>
      </c>
      <c r="D74" s="5">
        <v>29.3812388192</v>
      </c>
    </row>
    <row r="75" spans="1:4">
      <c r="A75" s="1" t="s">
        <v>8</v>
      </c>
      <c r="B75">
        <v>310</v>
      </c>
      <c r="C75" s="5">
        <v>99.975659895700005</v>
      </c>
      <c r="D75" s="5">
        <v>3.8170045587199999</v>
      </c>
    </row>
    <row r="76" spans="1:4">
      <c r="A76" s="1" t="s">
        <v>8</v>
      </c>
      <c r="B76">
        <v>311</v>
      </c>
      <c r="C76" s="5">
        <v>100</v>
      </c>
      <c r="D76" s="5">
        <v>18.305823016800002</v>
      </c>
    </row>
    <row r="77" spans="1:4">
      <c r="A77" s="1" t="s">
        <v>8</v>
      </c>
      <c r="B77">
        <v>312</v>
      </c>
      <c r="C77" s="5">
        <v>100</v>
      </c>
      <c r="D77" s="5">
        <v>19.9161167024</v>
      </c>
    </row>
    <row r="78" spans="1:4">
      <c r="A78" s="1" t="s">
        <v>8</v>
      </c>
      <c r="B78">
        <v>313</v>
      </c>
      <c r="C78" s="5">
        <v>100</v>
      </c>
      <c r="D78" s="5">
        <v>14.4406728501</v>
      </c>
    </row>
    <row r="79" spans="1:4">
      <c r="A79" s="1" t="s">
        <v>9</v>
      </c>
      <c r="B79">
        <v>144</v>
      </c>
      <c r="C79" s="5">
        <v>40.332677145799998</v>
      </c>
      <c r="D79" s="5">
        <v>7.4662018677799997</v>
      </c>
    </row>
    <row r="80" spans="1:4">
      <c r="A80" s="1" t="s">
        <v>9</v>
      </c>
      <c r="B80">
        <v>184</v>
      </c>
      <c r="C80" s="5">
        <v>99.998051419500001</v>
      </c>
      <c r="D80" s="5">
        <v>7.4713249686400003</v>
      </c>
    </row>
    <row r="81" spans="1:4">
      <c r="A81" s="1" t="s">
        <v>9</v>
      </c>
      <c r="B81">
        <v>185</v>
      </c>
      <c r="C81" s="5">
        <v>99.999630424000003</v>
      </c>
      <c r="D81" s="5">
        <v>13.8779566699</v>
      </c>
    </row>
    <row r="82" spans="1:4">
      <c r="A82" s="1" t="s">
        <v>9</v>
      </c>
      <c r="B82">
        <v>186</v>
      </c>
      <c r="C82" s="5">
        <v>99.998113374400006</v>
      </c>
      <c r="D82" s="5">
        <v>6.7681041651299996</v>
      </c>
    </row>
    <row r="83" spans="1:4">
      <c r="A83" s="1" t="s">
        <v>9</v>
      </c>
      <c r="B83">
        <v>187</v>
      </c>
      <c r="C83" s="5">
        <v>15.7774495913</v>
      </c>
      <c r="D83" s="5">
        <v>1.89846662006</v>
      </c>
    </row>
    <row r="84" spans="1:4">
      <c r="A84" s="1" t="s">
        <v>9</v>
      </c>
      <c r="B84">
        <v>189</v>
      </c>
      <c r="C84" s="5">
        <v>100</v>
      </c>
      <c r="D84" s="5">
        <v>1.53501572128</v>
      </c>
    </row>
    <row r="85" spans="1:4">
      <c r="A85" s="1" t="s">
        <v>9</v>
      </c>
      <c r="B85">
        <v>190</v>
      </c>
      <c r="C85" s="5">
        <v>75.923054358599998</v>
      </c>
      <c r="D85" s="5">
        <v>3.49750045519</v>
      </c>
    </row>
    <row r="86" spans="1:4">
      <c r="A86" s="1" t="s">
        <v>9</v>
      </c>
      <c r="B86">
        <v>199</v>
      </c>
      <c r="C86" s="5">
        <v>13.2092868897</v>
      </c>
      <c r="D86" s="5">
        <v>0.90392437889599997</v>
      </c>
    </row>
    <row r="87" spans="1:4">
      <c r="A87" s="1" t="s">
        <v>9</v>
      </c>
      <c r="B87">
        <v>200</v>
      </c>
      <c r="C87" s="5">
        <v>99.998602130600005</v>
      </c>
      <c r="D87" s="5">
        <v>6.2753482304599997</v>
      </c>
    </row>
    <row r="88" spans="1:4">
      <c r="A88" s="1" t="s">
        <v>9</v>
      </c>
      <c r="B88">
        <v>201</v>
      </c>
      <c r="C88" s="5">
        <v>100</v>
      </c>
      <c r="D88" s="5">
        <v>2.2315324683000002</v>
      </c>
    </row>
    <row r="89" spans="1:4">
      <c r="A89" s="1" t="s">
        <v>9</v>
      </c>
      <c r="B89">
        <v>202</v>
      </c>
      <c r="C89" s="5">
        <v>99.999985849699996</v>
      </c>
      <c r="D89" s="5">
        <v>9.3378355190600004</v>
      </c>
    </row>
    <row r="90" spans="1:4">
      <c r="A90" s="1" t="s">
        <v>9</v>
      </c>
      <c r="B90">
        <v>203</v>
      </c>
      <c r="C90" s="5">
        <v>99.997265921600004</v>
      </c>
      <c r="D90" s="5">
        <v>4.83368985167</v>
      </c>
    </row>
    <row r="91" spans="1:4">
      <c r="A91" s="1" t="s">
        <v>9</v>
      </c>
      <c r="B91">
        <v>204</v>
      </c>
      <c r="C91" s="5">
        <v>100</v>
      </c>
      <c r="D91" s="5">
        <v>2.3507092066799999</v>
      </c>
    </row>
    <row r="92" spans="1:4">
      <c r="A92" s="1" t="s">
        <v>9</v>
      </c>
      <c r="B92">
        <v>205</v>
      </c>
      <c r="C92" s="5">
        <v>99.995792607699997</v>
      </c>
      <c r="D92" s="5">
        <v>14.2187981519</v>
      </c>
    </row>
    <row r="93" spans="1:4">
      <c r="A93" s="1" t="s">
        <v>9</v>
      </c>
      <c r="B93">
        <v>207</v>
      </c>
      <c r="C93" s="5">
        <v>28.834008765899998</v>
      </c>
      <c r="D93" s="5">
        <v>1.35709356178</v>
      </c>
    </row>
    <row r="94" spans="1:4">
      <c r="A94" s="1" t="s">
        <v>9</v>
      </c>
      <c r="B94">
        <v>208</v>
      </c>
      <c r="C94" s="5">
        <v>100</v>
      </c>
      <c r="D94" s="5">
        <v>3.3952001547999999</v>
      </c>
    </row>
    <row r="95" spans="1:4">
      <c r="A95" s="1" t="s">
        <v>9</v>
      </c>
      <c r="B95">
        <v>209</v>
      </c>
      <c r="C95" s="5">
        <v>72.903930847799998</v>
      </c>
      <c r="D95" s="5">
        <v>3.9044304794600002</v>
      </c>
    </row>
    <row r="96" spans="1:4">
      <c r="A96" s="1" t="s">
        <v>9</v>
      </c>
      <c r="B96">
        <v>210</v>
      </c>
      <c r="C96" s="5">
        <v>99.996485286999999</v>
      </c>
      <c r="D96" s="5">
        <v>8.6752376225300001</v>
      </c>
    </row>
    <row r="97" spans="1:4">
      <c r="A97" s="1" t="s">
        <v>10</v>
      </c>
      <c r="B97">
        <v>342</v>
      </c>
      <c r="C97" s="5">
        <v>99.998275091799997</v>
      </c>
      <c r="D97" s="5">
        <v>42.496149191199997</v>
      </c>
    </row>
    <row r="98" spans="1:4">
      <c r="A98" s="1" t="s">
        <v>11</v>
      </c>
      <c r="B98">
        <v>314</v>
      </c>
      <c r="C98" s="5">
        <v>100</v>
      </c>
      <c r="D98" s="5">
        <v>2.87824835769</v>
      </c>
    </row>
    <row r="99" spans="1:4">
      <c r="A99" s="1" t="s">
        <v>11</v>
      </c>
      <c r="B99">
        <v>315</v>
      </c>
      <c r="C99" s="5">
        <v>100</v>
      </c>
      <c r="D99" s="5">
        <v>5.7498480576400004</v>
      </c>
    </row>
    <row r="100" spans="1:4">
      <c r="A100" s="1" t="s">
        <v>11</v>
      </c>
      <c r="B100">
        <v>316</v>
      </c>
      <c r="C100" s="5">
        <v>100</v>
      </c>
      <c r="D100" s="5">
        <v>8.9751977636499998</v>
      </c>
    </row>
    <row r="101" spans="1:4">
      <c r="A101" s="1" t="s">
        <v>11</v>
      </c>
      <c r="B101">
        <v>317</v>
      </c>
      <c r="C101" s="5">
        <v>7.42430942864</v>
      </c>
      <c r="D101" s="5">
        <v>1.7682982378100001</v>
      </c>
    </row>
    <row r="102" spans="1:4">
      <c r="A102" s="1" t="s">
        <v>11</v>
      </c>
      <c r="B102">
        <v>318</v>
      </c>
      <c r="C102" s="5">
        <v>100</v>
      </c>
      <c r="D102" s="5">
        <v>7.58379397624</v>
      </c>
    </row>
    <row r="103" spans="1:4">
      <c r="A103" s="1" t="s">
        <v>11</v>
      </c>
      <c r="B103">
        <v>319</v>
      </c>
      <c r="C103" s="5">
        <v>100</v>
      </c>
      <c r="D103" s="5">
        <v>2.3046920228199999</v>
      </c>
    </row>
    <row r="104" spans="1:4">
      <c r="A104" s="1" t="s">
        <v>11</v>
      </c>
      <c r="B104">
        <v>327</v>
      </c>
      <c r="C104" s="5">
        <v>99.9903504989</v>
      </c>
      <c r="D104" s="5">
        <v>10.822117284200001</v>
      </c>
    </row>
    <row r="105" spans="1:4">
      <c r="A105" s="1" t="s">
        <v>11</v>
      </c>
      <c r="B105">
        <v>328</v>
      </c>
      <c r="C105" s="5">
        <v>99.998943930400003</v>
      </c>
      <c r="D105" s="5">
        <v>4.4155660982600002</v>
      </c>
    </row>
    <row r="106" spans="1:4">
      <c r="A106" s="1" t="s">
        <v>11</v>
      </c>
      <c r="B106">
        <v>329</v>
      </c>
      <c r="C106" s="5">
        <v>99.999875680599999</v>
      </c>
      <c r="D106" s="5">
        <v>12.263357944799999</v>
      </c>
    </row>
    <row r="107" spans="1:4">
      <c r="A107" s="1" t="s">
        <v>11</v>
      </c>
      <c r="B107">
        <v>330</v>
      </c>
      <c r="C107" s="5">
        <v>100</v>
      </c>
      <c r="D107" s="5">
        <v>5.4857602457299999</v>
      </c>
    </row>
    <row r="108" spans="1:4">
      <c r="A108" s="1" t="s">
        <v>11</v>
      </c>
      <c r="B108">
        <v>331</v>
      </c>
      <c r="C108" s="5">
        <v>100</v>
      </c>
      <c r="D108" s="5">
        <v>8.5081144580599997</v>
      </c>
    </row>
    <row r="109" spans="1:4">
      <c r="A109" s="1" t="s">
        <v>11</v>
      </c>
      <c r="B109">
        <v>332</v>
      </c>
      <c r="C109" s="5">
        <v>100</v>
      </c>
      <c r="D109" s="5">
        <v>6.3994229485899998</v>
      </c>
    </row>
    <row r="110" spans="1:4">
      <c r="A110" s="1" t="s">
        <v>12</v>
      </c>
      <c r="B110">
        <v>253</v>
      </c>
      <c r="C110" s="5">
        <v>51.099270281400003</v>
      </c>
      <c r="D110" s="5">
        <v>18.7691274375</v>
      </c>
    </row>
    <row r="111" spans="1:4">
      <c r="A111" s="1" t="s">
        <v>12</v>
      </c>
      <c r="B111">
        <v>303</v>
      </c>
      <c r="C111" s="5">
        <v>1.49222386289</v>
      </c>
      <c r="D111" s="5">
        <v>0.27069320899499999</v>
      </c>
    </row>
    <row r="112" spans="1:4">
      <c r="A112" s="1" t="s">
        <v>12</v>
      </c>
      <c r="B112">
        <v>317</v>
      </c>
      <c r="C112" s="5">
        <v>83.320753633699994</v>
      </c>
      <c r="D112" s="5">
        <v>66.806956580900007</v>
      </c>
    </row>
    <row r="113" spans="1:4">
      <c r="A113" s="1" t="s">
        <v>13</v>
      </c>
      <c r="B113">
        <v>252</v>
      </c>
      <c r="C113" s="5">
        <v>35.937180970500002</v>
      </c>
      <c r="D113" s="5">
        <v>4.2043640974500001</v>
      </c>
    </row>
    <row r="114" spans="1:4">
      <c r="A114" s="1" t="s">
        <v>13</v>
      </c>
      <c r="B114">
        <v>253</v>
      </c>
      <c r="C114" s="5">
        <v>29.5382836647</v>
      </c>
      <c r="D114" s="5">
        <v>1.62153434575</v>
      </c>
    </row>
    <row r="115" spans="1:4">
      <c r="A115" s="1" t="s">
        <v>13</v>
      </c>
      <c r="B115">
        <v>254</v>
      </c>
      <c r="C115" s="5">
        <v>99.994821438200006</v>
      </c>
      <c r="D115" s="5">
        <v>2.9927508020500002</v>
      </c>
    </row>
    <row r="116" spans="1:4">
      <c r="A116" s="1" t="s">
        <v>13</v>
      </c>
      <c r="B116">
        <v>255</v>
      </c>
      <c r="C116" s="5">
        <v>99.999545484699993</v>
      </c>
      <c r="D116" s="5">
        <v>10.6849736459</v>
      </c>
    </row>
    <row r="117" spans="1:4">
      <c r="A117" s="1" t="s">
        <v>13</v>
      </c>
      <c r="B117">
        <v>317</v>
      </c>
      <c r="C117" s="5">
        <v>9.2419598135599994</v>
      </c>
      <c r="D117" s="5">
        <v>1.1075008910299999</v>
      </c>
    </row>
    <row r="118" spans="1:4">
      <c r="A118" s="1" t="s">
        <v>13</v>
      </c>
      <c r="B118">
        <v>320</v>
      </c>
      <c r="C118" s="5">
        <v>99.997599068400007</v>
      </c>
      <c r="D118" s="5">
        <v>7.70708872275</v>
      </c>
    </row>
    <row r="119" spans="1:4">
      <c r="A119" s="1" t="s">
        <v>13</v>
      </c>
      <c r="B119">
        <v>321</v>
      </c>
      <c r="C119" s="5">
        <v>93.970702133299994</v>
      </c>
      <c r="D119" s="5">
        <v>13.9849593494</v>
      </c>
    </row>
    <row r="120" spans="1:4">
      <c r="A120" s="1" t="s">
        <v>13</v>
      </c>
      <c r="B120">
        <v>322</v>
      </c>
      <c r="C120" s="5">
        <v>99.995792886299995</v>
      </c>
      <c r="D120" s="5">
        <v>18.0971809425</v>
      </c>
    </row>
    <row r="121" spans="1:4">
      <c r="A121" s="1" t="s">
        <v>13</v>
      </c>
      <c r="B121">
        <v>323</v>
      </c>
      <c r="C121" s="5">
        <v>99.998842831100006</v>
      </c>
      <c r="D121" s="5">
        <v>13.787812261699999</v>
      </c>
    </row>
    <row r="122" spans="1:4">
      <c r="A122" s="1" t="s">
        <v>13</v>
      </c>
      <c r="B122">
        <v>324</v>
      </c>
      <c r="C122" s="5">
        <v>100</v>
      </c>
      <c r="D122" s="5">
        <v>4.3914855303199998</v>
      </c>
    </row>
    <row r="123" spans="1:4">
      <c r="A123" s="1" t="s">
        <v>13</v>
      </c>
      <c r="B123">
        <v>325</v>
      </c>
      <c r="C123" s="5">
        <v>99.999928177699999</v>
      </c>
      <c r="D123" s="5">
        <v>5.8193017468899999</v>
      </c>
    </row>
    <row r="124" spans="1:4">
      <c r="A124" s="1" t="s">
        <v>13</v>
      </c>
      <c r="B124">
        <v>326</v>
      </c>
      <c r="C124" s="5">
        <v>99.993460158000005</v>
      </c>
      <c r="D124" s="5">
        <v>13.5419227557</v>
      </c>
    </row>
    <row r="125" spans="1:4">
      <c r="A125" s="1" t="s">
        <v>14</v>
      </c>
      <c r="B125">
        <v>211</v>
      </c>
      <c r="C125" s="5">
        <v>99.997075291200005</v>
      </c>
      <c r="D125" s="5">
        <v>7.1718968546599999</v>
      </c>
    </row>
    <row r="126" spans="1:4">
      <c r="A126" s="1" t="s">
        <v>14</v>
      </c>
      <c r="B126">
        <v>212</v>
      </c>
      <c r="C126" s="5">
        <v>100</v>
      </c>
      <c r="D126" s="5">
        <v>8.5851933656099995</v>
      </c>
    </row>
    <row r="127" spans="1:4">
      <c r="A127" s="1" t="s">
        <v>14</v>
      </c>
      <c r="B127">
        <v>213</v>
      </c>
      <c r="C127" s="5">
        <v>42.778421157499999</v>
      </c>
      <c r="D127" s="5">
        <v>1.8080956079299999</v>
      </c>
    </row>
    <row r="128" spans="1:4">
      <c r="A128" s="1" t="s">
        <v>14</v>
      </c>
      <c r="B128">
        <v>214</v>
      </c>
      <c r="C128" s="5">
        <v>100</v>
      </c>
      <c r="D128" s="5">
        <v>15.960751628100001</v>
      </c>
    </row>
    <row r="129" spans="1:4">
      <c r="A129" s="1" t="s">
        <v>14</v>
      </c>
      <c r="B129">
        <v>215</v>
      </c>
      <c r="C129" s="5">
        <v>99.999662714999999</v>
      </c>
      <c r="D129" s="5">
        <v>12.5699886667</v>
      </c>
    </row>
    <row r="130" spans="1:4">
      <c r="A130" s="1" t="s">
        <v>14</v>
      </c>
      <c r="B130">
        <v>216</v>
      </c>
      <c r="C130" s="5">
        <v>100</v>
      </c>
      <c r="D130" s="5">
        <v>5.21340977888</v>
      </c>
    </row>
    <row r="131" spans="1:4">
      <c r="A131" s="1" t="s">
        <v>14</v>
      </c>
      <c r="B131">
        <v>217</v>
      </c>
      <c r="C131" s="5">
        <v>99.999800939400004</v>
      </c>
      <c r="D131" s="5">
        <v>10.497812268200001</v>
      </c>
    </row>
    <row r="132" spans="1:4">
      <c r="A132" s="1" t="s">
        <v>14</v>
      </c>
      <c r="B132">
        <v>218</v>
      </c>
      <c r="C132" s="5">
        <v>100</v>
      </c>
      <c r="D132" s="5">
        <v>5.0150273291899996</v>
      </c>
    </row>
    <row r="133" spans="1:4">
      <c r="A133" s="1" t="s">
        <v>15</v>
      </c>
      <c r="B133">
        <v>96</v>
      </c>
      <c r="C133" s="5">
        <v>99.999569163900006</v>
      </c>
      <c r="D133" s="5">
        <v>6.0980835731100003</v>
      </c>
    </row>
    <row r="134" spans="1:4">
      <c r="A134" s="1" t="s">
        <v>15</v>
      </c>
      <c r="B134">
        <v>97</v>
      </c>
      <c r="C134" s="5">
        <v>99.999617143999998</v>
      </c>
      <c r="D134" s="5">
        <v>2.6009217660899999</v>
      </c>
    </row>
    <row r="135" spans="1:4">
      <c r="A135" s="1" t="s">
        <v>15</v>
      </c>
      <c r="B135">
        <v>98</v>
      </c>
      <c r="C135" s="5">
        <v>100</v>
      </c>
      <c r="D135" s="5">
        <v>2.55575559535</v>
      </c>
    </row>
    <row r="136" spans="1:4">
      <c r="A136" s="1" t="s">
        <v>15</v>
      </c>
      <c r="B136">
        <v>99</v>
      </c>
      <c r="C136" s="5">
        <v>99.999878525200003</v>
      </c>
      <c r="D136" s="5">
        <v>6.3814994242000003</v>
      </c>
    </row>
    <row r="137" spans="1:4">
      <c r="A137" s="1" t="s">
        <v>15</v>
      </c>
      <c r="B137">
        <v>100</v>
      </c>
      <c r="C137" s="5">
        <v>100</v>
      </c>
      <c r="D137" s="5">
        <v>1.3825956586499999</v>
      </c>
    </row>
    <row r="138" spans="1:4">
      <c r="A138" s="1" t="s">
        <v>15</v>
      </c>
      <c r="B138">
        <v>101</v>
      </c>
      <c r="C138" s="5">
        <v>100</v>
      </c>
      <c r="D138" s="5">
        <v>1.8994086374500001</v>
      </c>
    </row>
    <row r="139" spans="1:4">
      <c r="A139" s="1" t="s">
        <v>15</v>
      </c>
      <c r="B139">
        <v>102</v>
      </c>
      <c r="C139" s="5">
        <v>100</v>
      </c>
      <c r="D139" s="5">
        <v>2.4253263228100002</v>
      </c>
    </row>
    <row r="140" spans="1:4">
      <c r="A140" s="1" t="s">
        <v>15</v>
      </c>
      <c r="B140">
        <v>103</v>
      </c>
      <c r="C140" s="5">
        <v>100</v>
      </c>
      <c r="D140" s="5">
        <v>0.66646309248299995</v>
      </c>
    </row>
    <row r="141" spans="1:4">
      <c r="A141" s="1" t="s">
        <v>15</v>
      </c>
      <c r="B141">
        <v>104</v>
      </c>
      <c r="C141" s="5">
        <v>99.999961691500005</v>
      </c>
      <c r="D141" s="5">
        <v>2.05166606404</v>
      </c>
    </row>
    <row r="142" spans="1:4">
      <c r="A142" s="1" t="s">
        <v>15</v>
      </c>
      <c r="B142">
        <v>105</v>
      </c>
      <c r="C142" s="5">
        <v>67.184726648899996</v>
      </c>
      <c r="D142" s="5">
        <v>1.8064472433400001</v>
      </c>
    </row>
    <row r="143" spans="1:4">
      <c r="A143" s="1" t="s">
        <v>15</v>
      </c>
      <c r="B143">
        <v>106</v>
      </c>
      <c r="C143" s="5">
        <v>99.999505963700003</v>
      </c>
      <c r="D143" s="5">
        <v>1.52599377084</v>
      </c>
    </row>
    <row r="144" spans="1:4">
      <c r="A144" s="1" t="s">
        <v>15</v>
      </c>
      <c r="B144">
        <v>107</v>
      </c>
      <c r="C144" s="5">
        <v>59.356358215900002</v>
      </c>
      <c r="D144" s="5">
        <v>0.77578237649399995</v>
      </c>
    </row>
    <row r="145" spans="1:4">
      <c r="A145" s="1" t="s">
        <v>15</v>
      </c>
      <c r="B145">
        <v>108</v>
      </c>
      <c r="C145" s="5">
        <v>100</v>
      </c>
      <c r="D145" s="5">
        <v>1.3609602292</v>
      </c>
    </row>
    <row r="146" spans="1:4">
      <c r="A146" s="1" t="s">
        <v>15</v>
      </c>
      <c r="B146">
        <v>109</v>
      </c>
      <c r="C146" s="5">
        <v>100</v>
      </c>
      <c r="D146" s="5">
        <v>2.6023207340000001</v>
      </c>
    </row>
    <row r="147" spans="1:4">
      <c r="A147" s="1" t="s">
        <v>15</v>
      </c>
      <c r="B147">
        <v>110</v>
      </c>
      <c r="C147" s="5">
        <v>100</v>
      </c>
      <c r="D147" s="5">
        <v>1.6958305655100001</v>
      </c>
    </row>
    <row r="148" spans="1:4">
      <c r="A148" s="1" t="s">
        <v>15</v>
      </c>
      <c r="B148">
        <v>111</v>
      </c>
      <c r="C148" s="5">
        <v>100</v>
      </c>
      <c r="D148" s="5">
        <v>0.88998524238900001</v>
      </c>
    </row>
    <row r="149" spans="1:4">
      <c r="A149" s="1" t="s">
        <v>15</v>
      </c>
      <c r="B149">
        <v>112</v>
      </c>
      <c r="C149" s="5">
        <v>99.999999999799996</v>
      </c>
      <c r="D149" s="5">
        <v>1.6831819917899999</v>
      </c>
    </row>
    <row r="150" spans="1:4">
      <c r="A150" s="1" t="s">
        <v>15</v>
      </c>
      <c r="B150">
        <v>113</v>
      </c>
      <c r="C150" s="5">
        <v>100</v>
      </c>
      <c r="D150" s="5">
        <v>1.4123804653700001</v>
      </c>
    </row>
    <row r="151" spans="1:4">
      <c r="A151" s="1" t="s">
        <v>15</v>
      </c>
      <c r="B151">
        <v>115</v>
      </c>
      <c r="C151" s="5">
        <v>99.995868063900005</v>
      </c>
      <c r="D151" s="5">
        <v>2.5223830734899999</v>
      </c>
    </row>
    <row r="152" spans="1:4">
      <c r="A152" s="1" t="s">
        <v>15</v>
      </c>
      <c r="B152">
        <v>116</v>
      </c>
      <c r="C152" s="5">
        <v>100</v>
      </c>
      <c r="D152" s="5">
        <v>5.1758222936899996</v>
      </c>
    </row>
    <row r="153" spans="1:4">
      <c r="A153" s="1" t="s">
        <v>15</v>
      </c>
      <c r="B153">
        <v>117</v>
      </c>
      <c r="C153" s="5">
        <v>99.996316975900001</v>
      </c>
      <c r="D153" s="5">
        <v>5.4371054901100004</v>
      </c>
    </row>
    <row r="154" spans="1:4">
      <c r="A154" s="1" t="s">
        <v>15</v>
      </c>
      <c r="B154">
        <v>118</v>
      </c>
      <c r="C154" s="5">
        <v>100</v>
      </c>
      <c r="D154" s="5">
        <v>2.2511114842</v>
      </c>
    </row>
    <row r="155" spans="1:4">
      <c r="A155" s="1" t="s">
        <v>15</v>
      </c>
      <c r="B155">
        <v>119</v>
      </c>
      <c r="C155" s="5">
        <v>99.996984763200004</v>
      </c>
      <c r="D155" s="5">
        <v>1.77572340068</v>
      </c>
    </row>
    <row r="156" spans="1:4">
      <c r="A156" s="1" t="s">
        <v>15</v>
      </c>
      <c r="B156">
        <v>120</v>
      </c>
      <c r="C156" s="5">
        <v>99.997432933400006</v>
      </c>
      <c r="D156" s="5">
        <v>5.2232751639000004</v>
      </c>
    </row>
    <row r="157" spans="1:4">
      <c r="A157" s="1" t="s">
        <v>15</v>
      </c>
      <c r="B157">
        <v>121</v>
      </c>
      <c r="C157" s="5">
        <v>100</v>
      </c>
      <c r="D157" s="5">
        <v>2.10098825134</v>
      </c>
    </row>
    <row r="158" spans="1:4">
      <c r="A158" s="1" t="s">
        <v>15</v>
      </c>
      <c r="B158">
        <v>122</v>
      </c>
      <c r="C158" s="5">
        <v>100</v>
      </c>
      <c r="D158" s="5">
        <v>1.0129159341</v>
      </c>
    </row>
    <row r="159" spans="1:4">
      <c r="A159" s="1" t="s">
        <v>15</v>
      </c>
      <c r="B159">
        <v>123</v>
      </c>
      <c r="C159" s="5">
        <v>100</v>
      </c>
      <c r="D159" s="5">
        <v>0.92748140164399995</v>
      </c>
    </row>
    <row r="160" spans="1:4">
      <c r="A160" s="1" t="s">
        <v>15</v>
      </c>
      <c r="B160">
        <v>124</v>
      </c>
      <c r="C160" s="5">
        <v>100</v>
      </c>
      <c r="D160" s="5">
        <v>2.8569961643499999</v>
      </c>
    </row>
    <row r="161" spans="1:4">
      <c r="A161" s="1" t="s">
        <v>15</v>
      </c>
      <c r="B161">
        <v>125</v>
      </c>
      <c r="C161" s="5">
        <v>99.9998644243</v>
      </c>
      <c r="D161" s="5">
        <v>3.42467131634</v>
      </c>
    </row>
    <row r="162" spans="1:4">
      <c r="A162" s="1" t="s">
        <v>15</v>
      </c>
      <c r="B162">
        <v>126</v>
      </c>
      <c r="C162" s="5">
        <v>100</v>
      </c>
      <c r="D162" s="5">
        <v>1.51961763879</v>
      </c>
    </row>
    <row r="163" spans="1:4">
      <c r="A163" s="1" t="s">
        <v>15</v>
      </c>
      <c r="B163">
        <v>127</v>
      </c>
      <c r="C163" s="5">
        <v>100</v>
      </c>
      <c r="D163" s="5">
        <v>0.75428031355500003</v>
      </c>
    </row>
    <row r="164" spans="1:4">
      <c r="A164" s="1" t="s">
        <v>15</v>
      </c>
      <c r="B164">
        <v>128</v>
      </c>
      <c r="C164" s="5">
        <v>100</v>
      </c>
      <c r="D164" s="5">
        <v>1.4173714364800001</v>
      </c>
    </row>
    <row r="165" spans="1:4">
      <c r="A165" s="1" t="s">
        <v>15</v>
      </c>
      <c r="B165">
        <v>129</v>
      </c>
      <c r="C165" s="5">
        <v>99.999964017400004</v>
      </c>
      <c r="D165" s="5">
        <v>1.17784473912</v>
      </c>
    </row>
    <row r="166" spans="1:4">
      <c r="A166" s="1" t="s">
        <v>15</v>
      </c>
      <c r="B166">
        <v>130</v>
      </c>
      <c r="C166" s="5">
        <v>99.9982501697</v>
      </c>
      <c r="D166" s="5">
        <v>3.3496630552300002</v>
      </c>
    </row>
    <row r="167" spans="1:4">
      <c r="A167" s="1" t="s">
        <v>15</v>
      </c>
      <c r="B167">
        <v>131</v>
      </c>
      <c r="C167" s="5">
        <v>100</v>
      </c>
      <c r="D167" s="5">
        <v>0.55238298187799995</v>
      </c>
    </row>
    <row r="168" spans="1:4">
      <c r="A168" s="1" t="s">
        <v>15</v>
      </c>
      <c r="B168">
        <v>132</v>
      </c>
      <c r="C168" s="5">
        <v>100</v>
      </c>
      <c r="D168" s="5">
        <v>3.4725550889000001</v>
      </c>
    </row>
    <row r="169" spans="1:4">
      <c r="A169" s="1" t="s">
        <v>15</v>
      </c>
      <c r="B169">
        <v>133</v>
      </c>
      <c r="C169" s="5">
        <v>100</v>
      </c>
      <c r="D169" s="5">
        <v>0.80326377992099995</v>
      </c>
    </row>
    <row r="170" spans="1:4">
      <c r="A170" s="1" t="s">
        <v>15</v>
      </c>
      <c r="B170">
        <v>134</v>
      </c>
      <c r="C170" s="5">
        <v>100</v>
      </c>
      <c r="D170" s="5">
        <v>2.0291475275000002</v>
      </c>
    </row>
    <row r="171" spans="1:4">
      <c r="A171" s="1" t="s">
        <v>15</v>
      </c>
      <c r="B171">
        <v>144</v>
      </c>
      <c r="C171" s="5">
        <v>16.948669563300001</v>
      </c>
      <c r="D171" s="5">
        <v>0.61276863819000005</v>
      </c>
    </row>
    <row r="172" spans="1:4">
      <c r="A172" s="1" t="s">
        <v>15</v>
      </c>
      <c r="B172">
        <v>176</v>
      </c>
      <c r="C172" s="5">
        <v>99.999362083600005</v>
      </c>
      <c r="D172" s="5">
        <v>2.1305779239699998</v>
      </c>
    </row>
    <row r="173" spans="1:4">
      <c r="A173" s="1" t="s">
        <v>15</v>
      </c>
      <c r="B173">
        <v>177</v>
      </c>
      <c r="C173" s="5">
        <v>84.7564663255</v>
      </c>
      <c r="D173" s="5">
        <v>0.92800684783999998</v>
      </c>
    </row>
    <row r="174" spans="1:4">
      <c r="A174" s="1" t="s">
        <v>15</v>
      </c>
      <c r="B174">
        <v>178</v>
      </c>
      <c r="C174" s="5">
        <v>100</v>
      </c>
      <c r="D174" s="5">
        <v>1.5762776539200001</v>
      </c>
    </row>
    <row r="175" spans="1:4">
      <c r="A175" s="1" t="s">
        <v>15</v>
      </c>
      <c r="B175">
        <v>179</v>
      </c>
      <c r="C175" s="5">
        <v>100</v>
      </c>
      <c r="D175" s="5">
        <v>0.877433579967</v>
      </c>
    </row>
    <row r="176" spans="1:4">
      <c r="A176" s="1" t="s">
        <v>15</v>
      </c>
      <c r="B176">
        <v>180</v>
      </c>
      <c r="C176" s="5">
        <v>99.999851130400003</v>
      </c>
      <c r="D176" s="5">
        <v>1.5682470259900001</v>
      </c>
    </row>
    <row r="177" spans="1:4">
      <c r="A177" s="1" t="s">
        <v>15</v>
      </c>
      <c r="B177">
        <v>181</v>
      </c>
      <c r="C177" s="5">
        <v>99.997204797999999</v>
      </c>
      <c r="D177" s="5">
        <v>0.82476098388399999</v>
      </c>
    </row>
    <row r="178" spans="1:4">
      <c r="A178" s="1" t="s">
        <v>15</v>
      </c>
      <c r="B178">
        <v>182</v>
      </c>
      <c r="C178" s="5">
        <v>99.999661005500002</v>
      </c>
      <c r="D178" s="5">
        <v>0.63283994760899998</v>
      </c>
    </row>
    <row r="179" spans="1:4">
      <c r="A179" s="1" t="s">
        <v>15</v>
      </c>
      <c r="B179">
        <v>183</v>
      </c>
      <c r="C179" s="5">
        <v>88.662813802399995</v>
      </c>
      <c r="D179" s="5">
        <v>1.2217507167799999</v>
      </c>
    </row>
    <row r="180" spans="1:4">
      <c r="A180" s="1" t="s">
        <v>15</v>
      </c>
      <c r="B180">
        <v>194</v>
      </c>
      <c r="C180" s="5">
        <v>45.103406670399998</v>
      </c>
      <c r="D180" s="5">
        <v>0.83968555292400004</v>
      </c>
    </row>
    <row r="181" spans="1:4">
      <c r="A181" s="1" t="s">
        <v>16</v>
      </c>
      <c r="B181">
        <v>343</v>
      </c>
      <c r="C181" s="5">
        <v>99.9999742177</v>
      </c>
      <c r="D181" s="5">
        <v>3.6420768046199998</v>
      </c>
    </row>
    <row r="182" spans="1:4">
      <c r="A182" s="1" t="s">
        <v>16</v>
      </c>
      <c r="B182">
        <v>344</v>
      </c>
      <c r="C182" s="5">
        <v>99.998561363500002</v>
      </c>
      <c r="D182" s="5">
        <v>3.2385233921999999</v>
      </c>
    </row>
    <row r="183" spans="1:4">
      <c r="A183" s="1" t="s">
        <v>16</v>
      </c>
      <c r="B183">
        <v>345</v>
      </c>
      <c r="C183" s="5">
        <v>100</v>
      </c>
      <c r="D183" s="5">
        <v>1.32126582237</v>
      </c>
    </row>
    <row r="184" spans="1:4">
      <c r="A184" s="1" t="s">
        <v>16</v>
      </c>
      <c r="B184">
        <v>346</v>
      </c>
      <c r="C184" s="5">
        <v>100</v>
      </c>
      <c r="D184" s="5">
        <v>0.18456871533899999</v>
      </c>
    </row>
    <row r="185" spans="1:4">
      <c r="A185" s="1" t="s">
        <v>16</v>
      </c>
      <c r="B185">
        <v>347</v>
      </c>
      <c r="C185" s="5">
        <v>99.999912364099998</v>
      </c>
      <c r="D185" s="5">
        <v>6.1257503135000002</v>
      </c>
    </row>
    <row r="186" spans="1:4">
      <c r="A186" s="1" t="s">
        <v>16</v>
      </c>
      <c r="B186">
        <v>348</v>
      </c>
      <c r="C186" s="5">
        <v>100</v>
      </c>
      <c r="D186" s="5">
        <v>4.2970443978399997</v>
      </c>
    </row>
    <row r="187" spans="1:4">
      <c r="A187" s="1" t="s">
        <v>16</v>
      </c>
      <c r="B187">
        <v>349</v>
      </c>
      <c r="C187" s="5">
        <v>100</v>
      </c>
      <c r="D187" s="5">
        <v>0.80436260199999998</v>
      </c>
    </row>
    <row r="188" spans="1:4">
      <c r="A188" s="1" t="s">
        <v>16</v>
      </c>
      <c r="B188">
        <v>350</v>
      </c>
      <c r="C188" s="5">
        <v>99.999374500000002</v>
      </c>
      <c r="D188" s="5">
        <v>2.0838014624499999</v>
      </c>
    </row>
    <row r="189" spans="1:4">
      <c r="A189" s="1" t="s">
        <v>16</v>
      </c>
      <c r="B189">
        <v>351</v>
      </c>
      <c r="C189" s="5">
        <v>99.999450058799994</v>
      </c>
      <c r="D189" s="5">
        <v>6.5152754169399998</v>
      </c>
    </row>
    <row r="190" spans="1:4">
      <c r="A190" s="1" t="s">
        <v>16</v>
      </c>
      <c r="B190">
        <v>352</v>
      </c>
      <c r="C190" s="5">
        <v>99.997499054299993</v>
      </c>
      <c r="D190" s="5">
        <v>4.6964532517200004</v>
      </c>
    </row>
    <row r="191" spans="1:4">
      <c r="A191" s="1" t="s">
        <v>16</v>
      </c>
      <c r="B191">
        <v>353</v>
      </c>
      <c r="C191" s="5">
        <v>99.999474795300003</v>
      </c>
      <c r="D191" s="5">
        <v>6.9712708334100002</v>
      </c>
    </row>
    <row r="192" spans="1:4">
      <c r="A192" s="1" t="s">
        <v>16</v>
      </c>
      <c r="B192">
        <v>354</v>
      </c>
      <c r="C192" s="5">
        <v>100</v>
      </c>
      <c r="D192" s="5">
        <v>5.8406824675399998</v>
      </c>
    </row>
    <row r="193" spans="1:4">
      <c r="A193" s="1" t="s">
        <v>16</v>
      </c>
      <c r="B193">
        <v>355</v>
      </c>
      <c r="C193" s="5">
        <v>99.994693807600001</v>
      </c>
      <c r="D193" s="5">
        <v>26.5488411121</v>
      </c>
    </row>
    <row r="194" spans="1:4">
      <c r="A194" s="1" t="s">
        <v>16</v>
      </c>
      <c r="B194">
        <v>356</v>
      </c>
      <c r="C194" s="5">
        <v>99.9983758395</v>
      </c>
      <c r="D194" s="5">
        <v>18.351864161200002</v>
      </c>
    </row>
    <row r="195" spans="1:4">
      <c r="A195" s="1" t="s">
        <v>17</v>
      </c>
      <c r="B195">
        <v>34</v>
      </c>
      <c r="C195" s="5">
        <v>99.999539507700007</v>
      </c>
      <c r="D195" s="5">
        <v>2.3844474360499999</v>
      </c>
    </row>
    <row r="196" spans="1:4">
      <c r="A196" s="1" t="s">
        <v>17</v>
      </c>
      <c r="B196">
        <v>35</v>
      </c>
      <c r="C196" s="5">
        <v>99.999857887900006</v>
      </c>
      <c r="D196" s="5">
        <v>6.2340226536900003</v>
      </c>
    </row>
    <row r="197" spans="1:4">
      <c r="A197" s="1" t="s">
        <v>17</v>
      </c>
      <c r="B197">
        <v>36</v>
      </c>
      <c r="C197" s="5">
        <v>99.999855436199994</v>
      </c>
      <c r="D197" s="5">
        <v>6.3995404692699998</v>
      </c>
    </row>
    <row r="198" spans="1:4">
      <c r="A198" s="1" t="s">
        <v>17</v>
      </c>
      <c r="B198">
        <v>37</v>
      </c>
      <c r="C198" s="5">
        <v>99.999884809500003</v>
      </c>
      <c r="D198" s="5">
        <v>3.0466578432200002</v>
      </c>
    </row>
    <row r="199" spans="1:4">
      <c r="A199" s="1" t="s">
        <v>17</v>
      </c>
      <c r="B199">
        <v>38</v>
      </c>
      <c r="C199" s="5">
        <v>99.999897282399999</v>
      </c>
      <c r="D199" s="5">
        <v>4.4524231932099996</v>
      </c>
    </row>
    <row r="200" spans="1:4">
      <c r="A200" s="1" t="s">
        <v>17</v>
      </c>
      <c r="B200">
        <v>39</v>
      </c>
      <c r="C200" s="5">
        <v>99.999966020599999</v>
      </c>
      <c r="D200" s="5">
        <v>2.6082456087399999</v>
      </c>
    </row>
    <row r="201" spans="1:4">
      <c r="A201" s="1" t="s">
        <v>17</v>
      </c>
      <c r="B201">
        <v>43</v>
      </c>
      <c r="C201" s="5">
        <v>99.9995466134</v>
      </c>
      <c r="D201" s="5">
        <v>2.8784787898799999</v>
      </c>
    </row>
    <row r="202" spans="1:4">
      <c r="A202" s="1" t="s">
        <v>17</v>
      </c>
      <c r="B202">
        <v>45</v>
      </c>
      <c r="C202" s="5">
        <v>73.361163950900007</v>
      </c>
      <c r="D202" s="5">
        <v>1.13511317074</v>
      </c>
    </row>
    <row r="203" spans="1:4">
      <c r="A203" s="1" t="s">
        <v>17</v>
      </c>
      <c r="B203">
        <v>46</v>
      </c>
      <c r="C203" s="5">
        <v>76.766802483000006</v>
      </c>
      <c r="D203" s="5">
        <v>1.5623717512199999</v>
      </c>
    </row>
    <row r="204" spans="1:4">
      <c r="A204" s="1" t="s">
        <v>17</v>
      </c>
      <c r="B204">
        <v>47</v>
      </c>
      <c r="C204" s="5">
        <v>100</v>
      </c>
      <c r="D204" s="5">
        <v>3.2433091089000001</v>
      </c>
    </row>
    <row r="205" spans="1:4">
      <c r="A205" s="1" t="s">
        <v>17</v>
      </c>
      <c r="B205">
        <v>48</v>
      </c>
      <c r="C205" s="5">
        <v>99.999958711199994</v>
      </c>
      <c r="D205" s="5">
        <v>7.9863982554600002</v>
      </c>
    </row>
    <row r="206" spans="1:4">
      <c r="A206" s="1" t="s">
        <v>17</v>
      </c>
      <c r="B206">
        <v>49</v>
      </c>
      <c r="C206" s="5">
        <v>100</v>
      </c>
      <c r="D206" s="5">
        <v>1.3277135955499999</v>
      </c>
    </row>
    <row r="207" spans="1:4">
      <c r="A207" s="1" t="s">
        <v>17</v>
      </c>
      <c r="B207">
        <v>50</v>
      </c>
      <c r="C207" s="5">
        <v>99.999990014399998</v>
      </c>
      <c r="D207" s="5">
        <v>3.2528131682499999</v>
      </c>
    </row>
    <row r="208" spans="1:4">
      <c r="A208" s="1" t="s">
        <v>17</v>
      </c>
      <c r="B208">
        <v>51</v>
      </c>
      <c r="C208" s="5">
        <v>99.999996553900004</v>
      </c>
      <c r="D208" s="5">
        <v>5.3982637112400003</v>
      </c>
    </row>
    <row r="209" spans="1:4">
      <c r="A209" s="1" t="s">
        <v>17</v>
      </c>
      <c r="B209">
        <v>52</v>
      </c>
      <c r="C209" s="5">
        <v>99.999852496599999</v>
      </c>
      <c r="D209" s="5">
        <v>2.8509390736700002</v>
      </c>
    </row>
    <row r="210" spans="1:4">
      <c r="A210" s="1" t="s">
        <v>17</v>
      </c>
      <c r="B210">
        <v>60</v>
      </c>
      <c r="C210" s="5">
        <v>58.863668518700003</v>
      </c>
      <c r="D210" s="5">
        <v>1.2883865724600001</v>
      </c>
    </row>
    <row r="211" spans="1:4">
      <c r="A211" s="1" t="s">
        <v>17</v>
      </c>
      <c r="B211">
        <v>61</v>
      </c>
      <c r="C211" s="5">
        <v>29.1822508451</v>
      </c>
      <c r="D211" s="5">
        <v>0.40549354404100002</v>
      </c>
    </row>
    <row r="212" spans="1:4">
      <c r="A212" s="1" t="s">
        <v>17</v>
      </c>
      <c r="B212">
        <v>62</v>
      </c>
      <c r="C212" s="5">
        <v>99.998715838699994</v>
      </c>
      <c r="D212" s="5">
        <v>2.2274179844600002</v>
      </c>
    </row>
    <row r="213" spans="1:4">
      <c r="A213" s="1" t="s">
        <v>17</v>
      </c>
      <c r="B213">
        <v>63</v>
      </c>
      <c r="C213" s="5">
        <v>100</v>
      </c>
      <c r="D213" s="5">
        <v>3.3181630106700002</v>
      </c>
    </row>
    <row r="214" spans="1:4">
      <c r="A214" s="1" t="s">
        <v>17</v>
      </c>
      <c r="B214">
        <v>64</v>
      </c>
      <c r="C214" s="5">
        <v>99.999660069900003</v>
      </c>
      <c r="D214" s="5">
        <v>3.7084412332099999</v>
      </c>
    </row>
    <row r="215" spans="1:4">
      <c r="A215" s="1" t="s">
        <v>17</v>
      </c>
      <c r="B215">
        <v>65</v>
      </c>
      <c r="C215" s="5">
        <v>99.999837744600001</v>
      </c>
      <c r="D215" s="5">
        <v>4.36679885601</v>
      </c>
    </row>
    <row r="216" spans="1:4">
      <c r="A216" s="1" t="s">
        <v>17</v>
      </c>
      <c r="B216">
        <v>66</v>
      </c>
      <c r="C216" s="5">
        <v>100</v>
      </c>
      <c r="D216" s="5">
        <v>3.68272610564</v>
      </c>
    </row>
    <row r="217" spans="1:4">
      <c r="A217" s="1" t="s">
        <v>17</v>
      </c>
      <c r="B217">
        <v>67</v>
      </c>
      <c r="C217" s="5">
        <v>100</v>
      </c>
      <c r="D217" s="5">
        <v>4.5566247959100004</v>
      </c>
    </row>
    <row r="218" spans="1:4">
      <c r="A218" s="1" t="s">
        <v>17</v>
      </c>
      <c r="B218">
        <v>68</v>
      </c>
      <c r="C218" s="5">
        <v>99.999639900899993</v>
      </c>
      <c r="D218" s="5">
        <v>2.4296081278899999</v>
      </c>
    </row>
    <row r="219" spans="1:4">
      <c r="A219" s="1" t="s">
        <v>17</v>
      </c>
      <c r="B219">
        <v>69</v>
      </c>
      <c r="C219" s="5">
        <v>99.999781855199998</v>
      </c>
      <c r="D219" s="5">
        <v>2.2824523244899999</v>
      </c>
    </row>
    <row r="220" spans="1:4">
      <c r="A220" s="1" t="s">
        <v>17</v>
      </c>
      <c r="B220">
        <v>70</v>
      </c>
      <c r="C220" s="5">
        <v>99.999999844599998</v>
      </c>
      <c r="D220" s="5">
        <v>6.8321375944299998</v>
      </c>
    </row>
    <row r="221" spans="1:4">
      <c r="A221" s="1" t="s">
        <v>17</v>
      </c>
      <c r="B221">
        <v>71</v>
      </c>
      <c r="C221" s="5">
        <v>99.999818450199996</v>
      </c>
      <c r="D221" s="5">
        <v>5.2970079992799999</v>
      </c>
    </row>
    <row r="222" spans="1:4">
      <c r="A222" s="1" t="s">
        <v>17</v>
      </c>
      <c r="B222">
        <v>72</v>
      </c>
      <c r="C222" s="5">
        <v>99.9999939028</v>
      </c>
      <c r="D222" s="5">
        <v>1.6432089699400001</v>
      </c>
    </row>
    <row r="223" spans="1:4">
      <c r="A223" s="1" t="s">
        <v>17</v>
      </c>
      <c r="B223">
        <v>73</v>
      </c>
      <c r="C223" s="5">
        <v>76.171000654300002</v>
      </c>
      <c r="D223" s="5">
        <v>1.8811370031800001</v>
      </c>
    </row>
    <row r="224" spans="1:4">
      <c r="A224" s="1" t="s">
        <v>17</v>
      </c>
      <c r="B224">
        <v>74</v>
      </c>
      <c r="C224" s="5">
        <v>17.026737952200001</v>
      </c>
      <c r="D224" s="5">
        <v>1.3180978944199999</v>
      </c>
    </row>
    <row r="225" spans="1:4">
      <c r="A225" s="1" t="s">
        <v>18</v>
      </c>
      <c r="B225">
        <v>341</v>
      </c>
      <c r="C225" s="5">
        <v>10.6376266373</v>
      </c>
      <c r="D225" s="5">
        <v>65.778198993399997</v>
      </c>
    </row>
    <row r="226" spans="1:4">
      <c r="A226" s="1" t="s">
        <v>19</v>
      </c>
      <c r="B226">
        <v>1</v>
      </c>
      <c r="C226" s="5">
        <v>100</v>
      </c>
      <c r="D226" s="5">
        <v>3.2514195190900002</v>
      </c>
    </row>
    <row r="227" spans="1:4">
      <c r="A227" s="1" t="s">
        <v>19</v>
      </c>
      <c r="B227">
        <v>2</v>
      </c>
      <c r="C227" s="5">
        <v>99.999166275199997</v>
      </c>
      <c r="D227" s="5">
        <v>1.7227726891999999</v>
      </c>
    </row>
    <row r="228" spans="1:4">
      <c r="A228" s="1" t="s">
        <v>19</v>
      </c>
      <c r="B228">
        <v>3</v>
      </c>
      <c r="C228" s="5">
        <v>100</v>
      </c>
      <c r="D228" s="5">
        <v>3.0973791177400001</v>
      </c>
    </row>
    <row r="229" spans="1:4">
      <c r="A229" s="1" t="s">
        <v>19</v>
      </c>
      <c r="B229">
        <v>4</v>
      </c>
      <c r="C229" s="5">
        <v>100</v>
      </c>
      <c r="D229" s="5">
        <v>2.2499508005700002</v>
      </c>
    </row>
    <row r="230" spans="1:4">
      <c r="A230" s="1" t="s">
        <v>19</v>
      </c>
      <c r="B230">
        <v>5</v>
      </c>
      <c r="C230" s="5">
        <v>100</v>
      </c>
      <c r="D230" s="5">
        <v>5.13554672285</v>
      </c>
    </row>
    <row r="231" spans="1:4">
      <c r="A231" s="1" t="s">
        <v>19</v>
      </c>
      <c r="B231">
        <v>6</v>
      </c>
      <c r="C231" s="5">
        <v>99.999988301800002</v>
      </c>
      <c r="D231" s="5">
        <v>2.2434121307399999</v>
      </c>
    </row>
    <row r="232" spans="1:4">
      <c r="A232" s="1" t="s">
        <v>19</v>
      </c>
      <c r="B232">
        <v>7</v>
      </c>
      <c r="C232" s="5">
        <v>100</v>
      </c>
      <c r="D232" s="5">
        <v>1.95985747513</v>
      </c>
    </row>
    <row r="233" spans="1:4">
      <c r="A233" s="1" t="s">
        <v>19</v>
      </c>
      <c r="B233">
        <v>8</v>
      </c>
      <c r="C233" s="5">
        <v>99.9999924241</v>
      </c>
      <c r="D233" s="5">
        <v>6.6370429101299999</v>
      </c>
    </row>
    <row r="234" spans="1:4">
      <c r="A234" s="1" t="s">
        <v>19</v>
      </c>
      <c r="B234">
        <v>9</v>
      </c>
      <c r="C234" s="5">
        <v>100</v>
      </c>
      <c r="D234" s="5">
        <v>2.2351645847400001</v>
      </c>
    </row>
    <row r="235" spans="1:4">
      <c r="A235" s="1" t="s">
        <v>19</v>
      </c>
      <c r="B235">
        <v>10</v>
      </c>
      <c r="C235" s="5">
        <v>100</v>
      </c>
      <c r="D235" s="5">
        <v>1.1013322325199999</v>
      </c>
    </row>
    <row r="236" spans="1:4">
      <c r="A236" s="1" t="s">
        <v>19</v>
      </c>
      <c r="B236">
        <v>11</v>
      </c>
      <c r="C236" s="5">
        <v>100</v>
      </c>
      <c r="D236" s="5">
        <v>0.503497068725</v>
      </c>
    </row>
    <row r="237" spans="1:4">
      <c r="A237" s="1" t="s">
        <v>19</v>
      </c>
      <c r="B237">
        <v>12</v>
      </c>
      <c r="C237" s="5">
        <v>100</v>
      </c>
      <c r="D237" s="5">
        <v>1.60190494452</v>
      </c>
    </row>
    <row r="238" spans="1:4">
      <c r="A238" s="1" t="s">
        <v>19</v>
      </c>
      <c r="B238">
        <v>13</v>
      </c>
      <c r="C238" s="5">
        <v>100</v>
      </c>
      <c r="D238" s="5">
        <v>3.9431059413499998</v>
      </c>
    </row>
    <row r="239" spans="1:4">
      <c r="A239" s="1" t="s">
        <v>19</v>
      </c>
      <c r="B239">
        <v>14</v>
      </c>
      <c r="C239" s="5">
        <v>100</v>
      </c>
      <c r="D239" s="5">
        <v>2.0634759860299998</v>
      </c>
    </row>
    <row r="240" spans="1:4">
      <c r="A240" s="1" t="s">
        <v>19</v>
      </c>
      <c r="B240">
        <v>15</v>
      </c>
      <c r="C240" s="5">
        <v>100</v>
      </c>
      <c r="D240" s="5">
        <v>5.9165685580499998</v>
      </c>
    </row>
    <row r="241" spans="1:4">
      <c r="A241" s="1" t="s">
        <v>19</v>
      </c>
      <c r="B241">
        <v>16</v>
      </c>
      <c r="C241" s="5">
        <v>100</v>
      </c>
      <c r="D241" s="5">
        <v>6.5271651788399998</v>
      </c>
    </row>
    <row r="242" spans="1:4">
      <c r="A242" s="1" t="s">
        <v>19</v>
      </c>
      <c r="B242">
        <v>17</v>
      </c>
      <c r="C242" s="5">
        <v>100</v>
      </c>
      <c r="D242" s="5">
        <v>5.9464166599599997</v>
      </c>
    </row>
    <row r="243" spans="1:4">
      <c r="A243" s="1" t="s">
        <v>19</v>
      </c>
      <c r="B243">
        <v>18</v>
      </c>
      <c r="C243" s="5">
        <v>99.999994292099998</v>
      </c>
      <c r="D243" s="5">
        <v>7.8501235127299998</v>
      </c>
    </row>
    <row r="244" spans="1:4">
      <c r="A244" s="1" t="s">
        <v>19</v>
      </c>
      <c r="B244">
        <v>19</v>
      </c>
      <c r="C244" s="5">
        <v>99.999615980000002</v>
      </c>
      <c r="D244" s="5">
        <v>5.4987742377700002</v>
      </c>
    </row>
    <row r="245" spans="1:4">
      <c r="A245" s="1" t="s">
        <v>19</v>
      </c>
      <c r="B245">
        <v>20</v>
      </c>
      <c r="C245" s="5">
        <v>5.5950510535499998</v>
      </c>
      <c r="D245" s="5">
        <v>0.42849745894199998</v>
      </c>
    </row>
    <row r="246" spans="1:4">
      <c r="A246" s="1" t="s">
        <v>19</v>
      </c>
      <c r="B246">
        <v>21</v>
      </c>
      <c r="C246" s="5">
        <v>69.089417611100004</v>
      </c>
      <c r="D246" s="5">
        <v>4.4565400283700001</v>
      </c>
    </row>
    <row r="247" spans="1:4">
      <c r="A247" s="1" t="s">
        <v>19</v>
      </c>
      <c r="B247">
        <v>41</v>
      </c>
      <c r="C247" s="5">
        <v>99.998572530999994</v>
      </c>
      <c r="D247" s="5">
        <v>3.25624838361</v>
      </c>
    </row>
    <row r="248" spans="1:4">
      <c r="A248" s="1" t="s">
        <v>19</v>
      </c>
      <c r="B248">
        <v>42</v>
      </c>
      <c r="C248" s="5">
        <v>99.999758400999994</v>
      </c>
      <c r="D248" s="5">
        <v>9.7513881793300001</v>
      </c>
    </row>
    <row r="249" spans="1:4">
      <c r="A249" s="1" t="s">
        <v>19</v>
      </c>
      <c r="B249">
        <v>44</v>
      </c>
      <c r="C249" s="5">
        <v>99.999968631000002</v>
      </c>
      <c r="D249" s="5">
        <v>5.5734391099199998</v>
      </c>
    </row>
    <row r="250" spans="1:4">
      <c r="A250" s="1" t="s">
        <v>19</v>
      </c>
      <c r="B250">
        <v>45</v>
      </c>
      <c r="C250" s="5">
        <v>26.638836048999998</v>
      </c>
      <c r="D250" s="5">
        <v>0.71005198624700006</v>
      </c>
    </row>
    <row r="251" spans="1:4">
      <c r="A251" s="1" t="s">
        <v>19</v>
      </c>
      <c r="B251">
        <v>46</v>
      </c>
      <c r="C251" s="5">
        <v>23.233197518400001</v>
      </c>
      <c r="D251" s="5">
        <v>0.81455771819099998</v>
      </c>
    </row>
    <row r="252" spans="1:4">
      <c r="A252" s="1" t="s">
        <v>19</v>
      </c>
      <c r="B252">
        <v>60</v>
      </c>
      <c r="C252" s="5">
        <v>41.136309738100003</v>
      </c>
      <c r="D252" s="5">
        <v>1.55105124472</v>
      </c>
    </row>
    <row r="253" spans="1:4">
      <c r="A253" s="1" t="s">
        <v>19</v>
      </c>
      <c r="B253">
        <v>61</v>
      </c>
      <c r="C253" s="5">
        <v>70.817749147300006</v>
      </c>
      <c r="D253" s="5">
        <v>1.6951542744300001</v>
      </c>
    </row>
    <row r="254" spans="1:4">
      <c r="A254" s="1" t="s">
        <v>20</v>
      </c>
      <c r="B254">
        <v>213</v>
      </c>
      <c r="C254" s="5">
        <v>57.221578841400003</v>
      </c>
      <c r="D254" s="5">
        <v>2.3815010138199999</v>
      </c>
    </row>
    <row r="255" spans="1:4">
      <c r="A255" s="1" t="s">
        <v>20</v>
      </c>
      <c r="B255">
        <v>219</v>
      </c>
      <c r="C255" s="5">
        <v>99.995780378999996</v>
      </c>
      <c r="D255" s="5">
        <v>2.2567477792499999</v>
      </c>
    </row>
    <row r="256" spans="1:4">
      <c r="A256" s="1" t="s">
        <v>20</v>
      </c>
      <c r="B256">
        <v>220</v>
      </c>
      <c r="C256" s="5">
        <v>100</v>
      </c>
      <c r="D256" s="5">
        <v>1.3740767967900001</v>
      </c>
    </row>
    <row r="257" spans="1:4">
      <c r="A257" s="1" t="s">
        <v>20</v>
      </c>
      <c r="B257">
        <v>221</v>
      </c>
      <c r="C257" s="5">
        <v>99.995824338399999</v>
      </c>
      <c r="D257" s="5">
        <v>9.9559076030899991</v>
      </c>
    </row>
    <row r="258" spans="1:4">
      <c r="A258" s="1" t="s">
        <v>20</v>
      </c>
      <c r="B258">
        <v>222</v>
      </c>
      <c r="C258" s="5">
        <v>100</v>
      </c>
      <c r="D258" s="5">
        <v>2.52486305036</v>
      </c>
    </row>
    <row r="259" spans="1:4">
      <c r="A259" s="1" t="s">
        <v>20</v>
      </c>
      <c r="B259">
        <v>223</v>
      </c>
      <c r="C259" s="5">
        <v>100</v>
      </c>
      <c r="D259" s="5">
        <v>1.1920576465999999</v>
      </c>
    </row>
    <row r="260" spans="1:4">
      <c r="A260" s="1" t="s">
        <v>20</v>
      </c>
      <c r="B260">
        <v>224</v>
      </c>
      <c r="C260" s="5">
        <v>99.989766379100004</v>
      </c>
      <c r="D260" s="5">
        <v>23.673511772099999</v>
      </c>
    </row>
    <row r="261" spans="1:4">
      <c r="A261" s="1" t="s">
        <v>20</v>
      </c>
      <c r="B261">
        <v>225</v>
      </c>
      <c r="C261" s="5">
        <v>99.997069709900003</v>
      </c>
      <c r="D261" s="5">
        <v>3.5251474305400001</v>
      </c>
    </row>
    <row r="262" spans="1:4">
      <c r="A262" s="1" t="s">
        <v>20</v>
      </c>
      <c r="B262">
        <v>226</v>
      </c>
      <c r="C262" s="5">
        <v>100</v>
      </c>
      <c r="D262" s="5">
        <v>9.0227607962699992</v>
      </c>
    </row>
    <row r="263" spans="1:4">
      <c r="A263" s="1" t="s">
        <v>20</v>
      </c>
      <c r="B263">
        <v>227</v>
      </c>
      <c r="C263" s="5">
        <v>99.999298510800003</v>
      </c>
      <c r="D263" s="5">
        <v>3.0365491764199999</v>
      </c>
    </row>
    <row r="264" spans="1:4">
      <c r="A264" s="1" t="s">
        <v>20</v>
      </c>
      <c r="B264">
        <v>228</v>
      </c>
      <c r="C264" s="5">
        <v>76.876375175500002</v>
      </c>
      <c r="D264" s="5">
        <v>11.3315641965</v>
      </c>
    </row>
    <row r="265" spans="1:4">
      <c r="A265" s="1" t="s">
        <v>20</v>
      </c>
      <c r="B265">
        <v>230</v>
      </c>
      <c r="C265" s="5">
        <v>62.236562665199997</v>
      </c>
      <c r="D265" s="5">
        <v>3.1352206728600001</v>
      </c>
    </row>
    <row r="266" spans="1:4">
      <c r="A266" s="1" t="s">
        <v>20</v>
      </c>
      <c r="B266">
        <v>231</v>
      </c>
      <c r="C266" s="5">
        <v>77.955902355500001</v>
      </c>
      <c r="D266" s="5">
        <v>2.5868189237000001</v>
      </c>
    </row>
    <row r="267" spans="1:4">
      <c r="A267" s="1" t="s">
        <v>20</v>
      </c>
      <c r="B267">
        <v>233</v>
      </c>
      <c r="C267" s="5">
        <v>99.988548801099995</v>
      </c>
      <c r="D267" s="5">
        <v>1.37150763889</v>
      </c>
    </row>
    <row r="268" spans="1:4">
      <c r="A268" s="1" t="s">
        <v>20</v>
      </c>
      <c r="B268">
        <v>234</v>
      </c>
      <c r="C268" s="5">
        <v>99.998487976999996</v>
      </c>
      <c r="D268" s="5">
        <v>9.0009391282200006</v>
      </c>
    </row>
    <row r="269" spans="1:4">
      <c r="A269" s="1" t="s">
        <v>20</v>
      </c>
      <c r="B269">
        <v>235</v>
      </c>
      <c r="C269" s="5">
        <v>45.118155712499998</v>
      </c>
      <c r="D269" s="5">
        <v>4.9520274502800001</v>
      </c>
    </row>
    <row r="270" spans="1:4">
      <c r="A270" s="1" t="s">
        <v>20</v>
      </c>
      <c r="B270">
        <v>238</v>
      </c>
      <c r="C270" s="5">
        <v>3.7364360913499999</v>
      </c>
      <c r="D270" s="5">
        <v>0.380138715929</v>
      </c>
    </row>
    <row r="271" spans="1:4">
      <c r="A271" s="1" t="s">
        <v>20</v>
      </c>
      <c r="B271">
        <v>251</v>
      </c>
      <c r="C271" s="5">
        <v>37.353767130400001</v>
      </c>
      <c r="D271" s="5">
        <v>0.656860731029</v>
      </c>
    </row>
    <row r="272" spans="1:4">
      <c r="A272" s="1" t="s">
        <v>20</v>
      </c>
      <c r="B272">
        <v>321</v>
      </c>
      <c r="C272" s="5">
        <v>6.0281898114099999</v>
      </c>
      <c r="D272" s="5">
        <v>0.53687201141399998</v>
      </c>
    </row>
    <row r="273" spans="1:4">
      <c r="A273" s="1" t="s">
        <v>21</v>
      </c>
      <c r="B273">
        <v>228</v>
      </c>
      <c r="C273" s="5">
        <v>23.123540783199999</v>
      </c>
      <c r="D273" s="5">
        <v>4.1791828198500003</v>
      </c>
    </row>
    <row r="274" spans="1:4">
      <c r="A274" s="1" t="s">
        <v>21</v>
      </c>
      <c r="B274">
        <v>229</v>
      </c>
      <c r="C274" s="5">
        <v>99.999388137400004</v>
      </c>
      <c r="D274" s="5">
        <v>5.6958539973400004</v>
      </c>
    </row>
    <row r="275" spans="1:4">
      <c r="A275" s="1" t="s">
        <v>21</v>
      </c>
      <c r="B275">
        <v>230</v>
      </c>
      <c r="C275" s="5">
        <v>37.763437334800003</v>
      </c>
      <c r="D275" s="5">
        <v>2.3325668633599999</v>
      </c>
    </row>
    <row r="276" spans="1:4">
      <c r="A276" s="1" t="s">
        <v>21</v>
      </c>
      <c r="B276">
        <v>231</v>
      </c>
      <c r="C276" s="5">
        <v>22.0413208746</v>
      </c>
      <c r="D276" s="5">
        <v>0.89679816584000005</v>
      </c>
    </row>
    <row r="277" spans="1:4">
      <c r="A277" s="1" t="s">
        <v>21</v>
      </c>
      <c r="B277">
        <v>232</v>
      </c>
      <c r="C277" s="5">
        <v>99.999705418900007</v>
      </c>
      <c r="D277" s="5">
        <v>10.930878061</v>
      </c>
    </row>
    <row r="278" spans="1:4">
      <c r="A278" s="1" t="s">
        <v>21</v>
      </c>
      <c r="B278">
        <v>235</v>
      </c>
      <c r="C278" s="5">
        <v>54.8818442862</v>
      </c>
      <c r="D278" s="5">
        <v>7.3858497724000003</v>
      </c>
    </row>
    <row r="279" spans="1:4">
      <c r="A279" s="1" t="s">
        <v>21</v>
      </c>
      <c r="B279">
        <v>238</v>
      </c>
      <c r="C279" s="5">
        <v>5.1544215703300003</v>
      </c>
      <c r="D279" s="5">
        <v>0.64299048862999997</v>
      </c>
    </row>
    <row r="280" spans="1:4">
      <c r="A280" s="1" t="s">
        <v>21</v>
      </c>
      <c r="B280">
        <v>242</v>
      </c>
      <c r="C280" s="5">
        <v>9.6725673101900007</v>
      </c>
      <c r="D280" s="5">
        <v>0.76212033547900004</v>
      </c>
    </row>
    <row r="281" spans="1:4">
      <c r="A281" s="1" t="s">
        <v>21</v>
      </c>
      <c r="B281">
        <v>243</v>
      </c>
      <c r="C281" s="5">
        <v>99.987049111000005</v>
      </c>
      <c r="D281" s="5">
        <v>9.0215086667200008</v>
      </c>
    </row>
    <row r="282" spans="1:4">
      <c r="A282" s="1" t="s">
        <v>21</v>
      </c>
      <c r="B282">
        <v>244</v>
      </c>
      <c r="C282" s="5">
        <v>63.495553569099997</v>
      </c>
      <c r="D282" s="5">
        <v>4.7221066707499997</v>
      </c>
    </row>
    <row r="283" spans="1:4">
      <c r="A283" s="1" t="s">
        <v>21</v>
      </c>
      <c r="B283">
        <v>246</v>
      </c>
      <c r="C283" s="5">
        <v>100</v>
      </c>
      <c r="D283" s="5">
        <v>3.6174241273700001</v>
      </c>
    </row>
    <row r="284" spans="1:4">
      <c r="A284" s="1" t="s">
        <v>21</v>
      </c>
      <c r="B284">
        <v>247</v>
      </c>
      <c r="C284" s="5">
        <v>99.999538531499994</v>
      </c>
      <c r="D284" s="5">
        <v>4.2323611185000001</v>
      </c>
    </row>
    <row r="285" spans="1:4">
      <c r="A285" s="1" t="s">
        <v>21</v>
      </c>
      <c r="B285">
        <v>248</v>
      </c>
      <c r="C285" s="5">
        <v>100</v>
      </c>
      <c r="D285" s="5">
        <v>4.9614046920900003</v>
      </c>
    </row>
    <row r="286" spans="1:4">
      <c r="A286" s="1" t="s">
        <v>21</v>
      </c>
      <c r="B286">
        <v>249</v>
      </c>
      <c r="C286" s="5">
        <v>99.999557390899994</v>
      </c>
      <c r="D286" s="5">
        <v>19.252443199199998</v>
      </c>
    </row>
    <row r="287" spans="1:4">
      <c r="A287" s="1" t="s">
        <v>21</v>
      </c>
      <c r="B287">
        <v>250</v>
      </c>
      <c r="C287" s="5">
        <v>99.998571083399995</v>
      </c>
      <c r="D287" s="5">
        <v>8.2747442078500004</v>
      </c>
    </row>
    <row r="288" spans="1:4">
      <c r="A288" s="1" t="s">
        <v>21</v>
      </c>
      <c r="B288">
        <v>251</v>
      </c>
      <c r="C288" s="5">
        <v>62.626209763299997</v>
      </c>
      <c r="D288" s="5">
        <v>1.3503149892099999</v>
      </c>
    </row>
    <row r="289" spans="1:4">
      <c r="A289" s="1" t="s">
        <v>21</v>
      </c>
      <c r="B289">
        <v>252</v>
      </c>
      <c r="C289" s="5">
        <v>64.059121232899997</v>
      </c>
      <c r="D289" s="5">
        <v>5.4991107380999997</v>
      </c>
    </row>
    <row r="290" spans="1:4">
      <c r="A290" s="1" t="s">
        <v>21</v>
      </c>
      <c r="B290">
        <v>253</v>
      </c>
      <c r="C290" s="5">
        <v>19.356245180799998</v>
      </c>
      <c r="D290" s="5">
        <v>0.77968142200000001</v>
      </c>
    </row>
    <row r="291" spans="1:4">
      <c r="A291" s="1" t="s">
        <v>21</v>
      </c>
      <c r="B291">
        <v>300</v>
      </c>
      <c r="C291" s="5">
        <v>8.0913774683100002</v>
      </c>
      <c r="D291" s="5">
        <v>0.75456010394999995</v>
      </c>
    </row>
    <row r="292" spans="1:4">
      <c r="A292" s="1" t="s">
        <v>21</v>
      </c>
      <c r="B292">
        <v>301</v>
      </c>
      <c r="C292" s="5">
        <v>32.085920768199998</v>
      </c>
      <c r="D292" s="5">
        <v>1.0937465388500001</v>
      </c>
    </row>
    <row r="293" spans="1:4">
      <c r="A293" s="1" t="s">
        <v>21</v>
      </c>
      <c r="B293">
        <v>308</v>
      </c>
      <c r="C293" s="5">
        <v>99.999473534100005</v>
      </c>
      <c r="D293" s="5">
        <v>3.6132087676400002</v>
      </c>
    </row>
    <row r="294" spans="1:4">
      <c r="A294" s="1" t="s">
        <v>22</v>
      </c>
      <c r="B294">
        <v>73</v>
      </c>
      <c r="C294" s="5">
        <v>23.828802686</v>
      </c>
      <c r="D294" s="5">
        <v>1.52825334298</v>
      </c>
    </row>
    <row r="295" spans="1:4">
      <c r="A295" s="1" t="s">
        <v>22</v>
      </c>
      <c r="B295">
        <v>74</v>
      </c>
      <c r="C295" s="5">
        <v>82.9732620467</v>
      </c>
      <c r="D295" s="5">
        <v>16.680795055000001</v>
      </c>
    </row>
    <row r="296" spans="1:4">
      <c r="A296" s="1" t="s">
        <v>22</v>
      </c>
      <c r="B296">
        <v>75</v>
      </c>
      <c r="C296" s="5">
        <v>99.999705556099997</v>
      </c>
      <c r="D296" s="5">
        <v>4.5330655231800003</v>
      </c>
    </row>
    <row r="297" spans="1:4">
      <c r="A297" s="1" t="s">
        <v>22</v>
      </c>
      <c r="B297">
        <v>76</v>
      </c>
      <c r="C297" s="5">
        <v>99.999975851499997</v>
      </c>
      <c r="D297" s="5">
        <v>6.6810383163099996</v>
      </c>
    </row>
    <row r="298" spans="1:4">
      <c r="A298" s="1" t="s">
        <v>22</v>
      </c>
      <c r="B298">
        <v>77</v>
      </c>
      <c r="C298" s="5">
        <v>99.999781068399997</v>
      </c>
      <c r="D298" s="5">
        <v>6.6340897635899996</v>
      </c>
    </row>
    <row r="299" spans="1:4">
      <c r="A299" s="1" t="s">
        <v>22</v>
      </c>
      <c r="B299">
        <v>78</v>
      </c>
      <c r="C299" s="5">
        <v>99.999832631900006</v>
      </c>
      <c r="D299" s="5">
        <v>9.5247708315999997</v>
      </c>
    </row>
    <row r="300" spans="1:4">
      <c r="A300" s="1" t="s">
        <v>22</v>
      </c>
      <c r="B300">
        <v>79</v>
      </c>
      <c r="C300" s="5">
        <v>100</v>
      </c>
      <c r="D300" s="5">
        <v>1.67714630057</v>
      </c>
    </row>
    <row r="301" spans="1:4">
      <c r="A301" s="1" t="s">
        <v>22</v>
      </c>
      <c r="B301">
        <v>80</v>
      </c>
      <c r="C301" s="5">
        <v>100</v>
      </c>
      <c r="D301" s="5">
        <v>2.7967602547400001</v>
      </c>
    </row>
    <row r="302" spans="1:4">
      <c r="A302" s="1" t="s">
        <v>22</v>
      </c>
      <c r="B302">
        <v>81</v>
      </c>
      <c r="C302" s="5">
        <v>100</v>
      </c>
      <c r="D302" s="5">
        <v>3.7321012102400002</v>
      </c>
    </row>
    <row r="303" spans="1:4">
      <c r="A303" s="1" t="s">
        <v>22</v>
      </c>
      <c r="B303">
        <v>82</v>
      </c>
      <c r="C303" s="5">
        <v>100</v>
      </c>
      <c r="D303" s="5">
        <v>2.40624879255</v>
      </c>
    </row>
    <row r="304" spans="1:4">
      <c r="A304" s="1" t="s">
        <v>22</v>
      </c>
      <c r="B304">
        <v>83</v>
      </c>
      <c r="C304" s="5">
        <v>100</v>
      </c>
      <c r="D304" s="5">
        <v>1.3560274858100001</v>
      </c>
    </row>
    <row r="305" spans="1:4">
      <c r="A305" s="1" t="s">
        <v>22</v>
      </c>
      <c r="B305">
        <v>84</v>
      </c>
      <c r="C305" s="5">
        <v>100</v>
      </c>
      <c r="D305" s="5">
        <v>2.9746600492700002</v>
      </c>
    </row>
    <row r="306" spans="1:4">
      <c r="A306" s="1" t="s">
        <v>22</v>
      </c>
      <c r="B306">
        <v>85</v>
      </c>
      <c r="C306" s="5">
        <v>99.999024367000004</v>
      </c>
      <c r="D306" s="5">
        <v>8.4629705824800006</v>
      </c>
    </row>
    <row r="307" spans="1:4">
      <c r="A307" s="1" t="s">
        <v>22</v>
      </c>
      <c r="B307">
        <v>86</v>
      </c>
      <c r="C307" s="5">
        <v>99.9999983294</v>
      </c>
      <c r="D307" s="5">
        <v>6.98291537348</v>
      </c>
    </row>
    <row r="308" spans="1:4">
      <c r="A308" s="1" t="s">
        <v>22</v>
      </c>
      <c r="B308">
        <v>87</v>
      </c>
      <c r="C308" s="5">
        <v>99.999893665299993</v>
      </c>
      <c r="D308" s="5">
        <v>8.5206243833399995</v>
      </c>
    </row>
    <row r="309" spans="1:4">
      <c r="A309" s="1" t="s">
        <v>22</v>
      </c>
      <c r="B309">
        <v>95</v>
      </c>
      <c r="C309" s="5">
        <v>99.998829118900005</v>
      </c>
      <c r="D309" s="5">
        <v>5.83216005332</v>
      </c>
    </row>
    <row r="310" spans="1:4">
      <c r="A310" s="1" t="s">
        <v>22</v>
      </c>
      <c r="B310">
        <v>105</v>
      </c>
      <c r="C310" s="5">
        <v>32.815273351400002</v>
      </c>
      <c r="D310" s="5">
        <v>2.21744059241</v>
      </c>
    </row>
    <row r="311" spans="1:4">
      <c r="A311" s="1" t="s">
        <v>22</v>
      </c>
      <c r="B311">
        <v>107</v>
      </c>
      <c r="C311" s="5">
        <v>40.643641780400003</v>
      </c>
      <c r="D311" s="5">
        <v>1.33501614027</v>
      </c>
    </row>
    <row r="312" spans="1:4">
      <c r="A312" s="1" t="s">
        <v>22</v>
      </c>
      <c r="B312">
        <v>114</v>
      </c>
      <c r="C312" s="5">
        <v>99.999135458599994</v>
      </c>
      <c r="D312" s="5">
        <v>6.1232745163900004</v>
      </c>
    </row>
    <row r="313" spans="1:4">
      <c r="A313" s="1" t="s">
        <v>23</v>
      </c>
      <c r="B313">
        <v>40</v>
      </c>
      <c r="C313" s="5">
        <v>99.999403770800001</v>
      </c>
      <c r="D313" s="5">
        <v>99.999019357500003</v>
      </c>
    </row>
    <row r="314" spans="1:4">
      <c r="A314" s="1" t="s">
        <v>24</v>
      </c>
      <c r="B314">
        <v>262</v>
      </c>
      <c r="C314" s="5">
        <v>4.4255822073599997</v>
      </c>
      <c r="D314" s="5">
        <v>0.85692054492299996</v>
      </c>
    </row>
    <row r="315" spans="1:4">
      <c r="A315" s="1" t="s">
        <v>24</v>
      </c>
      <c r="B315">
        <v>264</v>
      </c>
      <c r="C315" s="5">
        <v>87.736724415500007</v>
      </c>
      <c r="D315" s="5">
        <v>8.2630128944300001</v>
      </c>
    </row>
    <row r="316" spans="1:4">
      <c r="A316" s="1" t="s">
        <v>24</v>
      </c>
      <c r="B316">
        <v>265</v>
      </c>
      <c r="C316" s="5">
        <v>53.210647364899998</v>
      </c>
      <c r="D316" s="5">
        <v>8.7796539992000007</v>
      </c>
    </row>
    <row r="317" spans="1:4">
      <c r="A317" s="1" t="s">
        <v>24</v>
      </c>
      <c r="B317">
        <v>266</v>
      </c>
      <c r="C317" s="5">
        <v>99.999668829399994</v>
      </c>
      <c r="D317" s="5">
        <v>1.59042721137</v>
      </c>
    </row>
    <row r="318" spans="1:4">
      <c r="A318" s="1" t="s">
        <v>24</v>
      </c>
      <c r="B318">
        <v>267</v>
      </c>
      <c r="C318" s="5">
        <v>97.709604034700007</v>
      </c>
      <c r="D318" s="5">
        <v>22.837334486700001</v>
      </c>
    </row>
    <row r="319" spans="1:4">
      <c r="A319" s="1" t="s">
        <v>24</v>
      </c>
      <c r="B319">
        <v>268</v>
      </c>
      <c r="C319" s="5">
        <v>100</v>
      </c>
      <c r="D319" s="5">
        <v>1.0309466575599999</v>
      </c>
    </row>
    <row r="320" spans="1:4">
      <c r="A320" s="1" t="s">
        <v>24</v>
      </c>
      <c r="B320">
        <v>269</v>
      </c>
      <c r="C320" s="5">
        <v>100</v>
      </c>
      <c r="D320" s="5">
        <v>1.3932969374699999</v>
      </c>
    </row>
    <row r="321" spans="1:4">
      <c r="A321" s="1" t="s">
        <v>24</v>
      </c>
      <c r="B321">
        <v>270</v>
      </c>
      <c r="C321" s="5">
        <v>99.780862807099993</v>
      </c>
      <c r="D321" s="5">
        <v>4.2870331952200003</v>
      </c>
    </row>
    <row r="322" spans="1:4">
      <c r="A322" s="1" t="s">
        <v>24</v>
      </c>
      <c r="B322">
        <v>271</v>
      </c>
      <c r="C322" s="5">
        <v>100</v>
      </c>
      <c r="D322" s="5">
        <v>0.64197062157399998</v>
      </c>
    </row>
    <row r="323" spans="1:4">
      <c r="A323" s="1" t="s">
        <v>24</v>
      </c>
      <c r="B323">
        <v>272</v>
      </c>
      <c r="C323" s="5">
        <v>82.935116918399999</v>
      </c>
      <c r="D323" s="5">
        <v>3.5688459272999999</v>
      </c>
    </row>
    <row r="324" spans="1:4">
      <c r="A324" s="1" t="s">
        <v>24</v>
      </c>
      <c r="B324">
        <v>273</v>
      </c>
      <c r="C324" s="5">
        <v>100</v>
      </c>
      <c r="D324" s="5">
        <v>3.4415781587200001</v>
      </c>
    </row>
    <row r="325" spans="1:4">
      <c r="A325" s="1" t="s">
        <v>24</v>
      </c>
      <c r="B325">
        <v>274</v>
      </c>
      <c r="C325" s="5">
        <v>100</v>
      </c>
      <c r="D325" s="5">
        <v>3.3349785079699998</v>
      </c>
    </row>
    <row r="326" spans="1:4">
      <c r="A326" s="1" t="s">
        <v>24</v>
      </c>
      <c r="B326">
        <v>275</v>
      </c>
      <c r="C326" s="5">
        <v>99.994921036899996</v>
      </c>
      <c r="D326" s="5">
        <v>37.314304288099997</v>
      </c>
    </row>
    <row r="327" spans="1:4">
      <c r="A327" s="1" t="s">
        <v>25</v>
      </c>
      <c r="B327">
        <v>135</v>
      </c>
      <c r="C327" s="5">
        <v>99.9993419547</v>
      </c>
      <c r="D327" s="5">
        <v>19.935907111799999</v>
      </c>
    </row>
    <row r="328" spans="1:4">
      <c r="A328" s="1" t="s">
        <v>25</v>
      </c>
      <c r="B328">
        <v>136</v>
      </c>
      <c r="C328" s="5">
        <v>99.999760743600007</v>
      </c>
      <c r="D328" s="5">
        <v>13.8168592211</v>
      </c>
    </row>
    <row r="329" spans="1:4">
      <c r="A329" s="1" t="s">
        <v>25</v>
      </c>
      <c r="B329">
        <v>137</v>
      </c>
      <c r="C329" s="5">
        <v>99.998955063699995</v>
      </c>
      <c r="D329" s="5">
        <v>10.462225292699999</v>
      </c>
    </row>
    <row r="330" spans="1:4">
      <c r="A330" s="1" t="s">
        <v>25</v>
      </c>
      <c r="B330">
        <v>138</v>
      </c>
      <c r="C330" s="5">
        <v>100</v>
      </c>
      <c r="D330" s="5">
        <v>6.4871425326500001</v>
      </c>
    </row>
    <row r="331" spans="1:4">
      <c r="A331" s="1" t="s">
        <v>25</v>
      </c>
      <c r="B331">
        <v>139</v>
      </c>
      <c r="C331" s="5">
        <v>99.999955615600001</v>
      </c>
      <c r="D331" s="5">
        <v>5.1476014185299999</v>
      </c>
    </row>
    <row r="332" spans="1:4">
      <c r="A332" s="1" t="s">
        <v>25</v>
      </c>
      <c r="B332">
        <v>140</v>
      </c>
      <c r="C332" s="5">
        <v>99.999644302899995</v>
      </c>
      <c r="D332" s="5">
        <v>7.3164353200800001</v>
      </c>
    </row>
    <row r="333" spans="1:4">
      <c r="A333" s="1" t="s">
        <v>25</v>
      </c>
      <c r="B333">
        <v>141</v>
      </c>
      <c r="C333" s="5">
        <v>99.999223790000002</v>
      </c>
      <c r="D333" s="5">
        <v>6.1266252048899998</v>
      </c>
    </row>
    <row r="334" spans="1:4">
      <c r="A334" s="1" t="s">
        <v>25</v>
      </c>
      <c r="B334">
        <v>142</v>
      </c>
      <c r="C334" s="5">
        <v>99.994387566499995</v>
      </c>
      <c r="D334" s="5">
        <v>3.54338333921</v>
      </c>
    </row>
    <row r="335" spans="1:4">
      <c r="A335" s="1" t="s">
        <v>25</v>
      </c>
      <c r="B335">
        <v>143</v>
      </c>
      <c r="C335" s="5">
        <v>99.999673747000003</v>
      </c>
      <c r="D335" s="5">
        <v>6.9196287956899996</v>
      </c>
    </row>
    <row r="336" spans="1:4">
      <c r="A336" s="1" t="s">
        <v>25</v>
      </c>
      <c r="B336">
        <v>144</v>
      </c>
      <c r="C336" s="5">
        <v>42.718653291000003</v>
      </c>
      <c r="D336" s="5">
        <v>5.9089458624300004</v>
      </c>
    </row>
    <row r="337" spans="1:4">
      <c r="A337" s="1" t="s">
        <v>25</v>
      </c>
      <c r="B337">
        <v>145</v>
      </c>
      <c r="C337" s="5">
        <v>100</v>
      </c>
      <c r="D337" s="5">
        <v>2.0891593314299999</v>
      </c>
    </row>
    <row r="338" spans="1:4">
      <c r="A338" s="1" t="s">
        <v>25</v>
      </c>
      <c r="B338">
        <v>146</v>
      </c>
      <c r="C338" s="5">
        <v>99.999366577499998</v>
      </c>
      <c r="D338" s="5">
        <v>4.6389687445399996</v>
      </c>
    </row>
    <row r="339" spans="1:4">
      <c r="A339" s="1" t="s">
        <v>25</v>
      </c>
      <c r="B339">
        <v>147</v>
      </c>
      <c r="C339" s="5">
        <v>77.284358494299994</v>
      </c>
      <c r="D339" s="5">
        <v>7.1358728507200002</v>
      </c>
    </row>
    <row r="340" spans="1:4">
      <c r="A340" s="1" t="s">
        <v>25</v>
      </c>
      <c r="B340">
        <v>157</v>
      </c>
      <c r="C340" s="5">
        <v>4.1130430500799999</v>
      </c>
      <c r="D340" s="5">
        <v>0.46991745694300002</v>
      </c>
    </row>
    <row r="341" spans="1:4">
      <c r="A341" s="1" t="s">
        <v>26</v>
      </c>
      <c r="B341">
        <v>93</v>
      </c>
      <c r="C341" s="5">
        <v>24.657244203499999</v>
      </c>
      <c r="D341" s="5">
        <v>3.1884159903999998</v>
      </c>
    </row>
    <row r="342" spans="1:4">
      <c r="A342" s="1" t="s">
        <v>26</v>
      </c>
      <c r="B342">
        <v>148</v>
      </c>
      <c r="C342" s="5">
        <v>99.998900529799997</v>
      </c>
      <c r="D342" s="5">
        <v>12.723854769000001</v>
      </c>
    </row>
    <row r="343" spans="1:4">
      <c r="A343" s="1" t="s">
        <v>26</v>
      </c>
      <c r="B343">
        <v>149</v>
      </c>
      <c r="C343" s="5">
        <v>73.222526163500007</v>
      </c>
      <c r="D343" s="5">
        <v>5.3502179663099998</v>
      </c>
    </row>
    <row r="344" spans="1:4">
      <c r="A344" s="1" t="s">
        <v>26</v>
      </c>
      <c r="B344">
        <v>150</v>
      </c>
      <c r="C344" s="5">
        <v>91.760714395400001</v>
      </c>
      <c r="D344" s="5">
        <v>12.259744658300001</v>
      </c>
    </row>
    <row r="345" spans="1:4">
      <c r="A345" s="1" t="s">
        <v>26</v>
      </c>
      <c r="B345">
        <v>151</v>
      </c>
      <c r="C345" s="5">
        <v>99.998744193799993</v>
      </c>
      <c r="D345" s="5">
        <v>3.44466681266</v>
      </c>
    </row>
    <row r="346" spans="1:4">
      <c r="A346" s="1" t="s">
        <v>26</v>
      </c>
      <c r="B346">
        <v>152</v>
      </c>
      <c r="C346" s="5">
        <v>99.9995105884</v>
      </c>
      <c r="D346" s="5">
        <v>3.3918161981399999</v>
      </c>
    </row>
    <row r="347" spans="1:4">
      <c r="A347" s="1" t="s">
        <v>26</v>
      </c>
      <c r="B347">
        <v>153</v>
      </c>
      <c r="C347" s="5">
        <v>99.999904231499997</v>
      </c>
      <c r="D347" s="5">
        <v>6.3847382705799998</v>
      </c>
    </row>
    <row r="348" spans="1:4">
      <c r="A348" s="1" t="s">
        <v>26</v>
      </c>
      <c r="B348">
        <v>154</v>
      </c>
      <c r="C348" s="5">
        <v>99.985154001200002</v>
      </c>
      <c r="D348" s="5">
        <v>7.7806976704900004</v>
      </c>
    </row>
    <row r="349" spans="1:4">
      <c r="A349" s="1" t="s">
        <v>26</v>
      </c>
      <c r="B349">
        <v>155</v>
      </c>
      <c r="C349" s="5">
        <v>99.999917850900005</v>
      </c>
      <c r="D349" s="5">
        <v>2.9969813890400001</v>
      </c>
    </row>
    <row r="350" spans="1:4">
      <c r="A350" s="1" t="s">
        <v>26</v>
      </c>
      <c r="B350">
        <v>156</v>
      </c>
      <c r="C350" s="5">
        <v>100</v>
      </c>
      <c r="D350" s="5">
        <v>4.3269516228300002</v>
      </c>
    </row>
    <row r="351" spans="1:4">
      <c r="A351" s="1" t="s">
        <v>26</v>
      </c>
      <c r="B351">
        <v>157</v>
      </c>
      <c r="C351" s="5">
        <v>95.886956951399995</v>
      </c>
      <c r="D351" s="5">
        <v>6.7160425698799999</v>
      </c>
    </row>
    <row r="352" spans="1:4">
      <c r="A352" s="1" t="s">
        <v>26</v>
      </c>
      <c r="B352">
        <v>158</v>
      </c>
      <c r="C352" s="5">
        <v>99.9999880803</v>
      </c>
      <c r="D352" s="5">
        <v>9.6521320500000005</v>
      </c>
    </row>
    <row r="353" spans="1:4">
      <c r="A353" s="1" t="s">
        <v>26</v>
      </c>
      <c r="B353">
        <v>159</v>
      </c>
      <c r="C353" s="5">
        <v>99.999695354799996</v>
      </c>
      <c r="D353" s="5">
        <v>1.0891695398500001</v>
      </c>
    </row>
    <row r="354" spans="1:4">
      <c r="A354" s="1" t="s">
        <v>26</v>
      </c>
      <c r="B354">
        <v>160</v>
      </c>
      <c r="C354" s="5">
        <v>78.1265920174</v>
      </c>
      <c r="D354" s="5">
        <v>5.7959029485400002</v>
      </c>
    </row>
    <row r="355" spans="1:4">
      <c r="A355" s="1" t="s">
        <v>26</v>
      </c>
      <c r="B355">
        <v>161</v>
      </c>
      <c r="C355" s="5">
        <v>99.999487433499993</v>
      </c>
      <c r="D355" s="5">
        <v>1.0719748678200001</v>
      </c>
    </row>
    <row r="356" spans="1:4">
      <c r="A356" s="1" t="s">
        <v>26</v>
      </c>
      <c r="B356">
        <v>162</v>
      </c>
      <c r="C356" s="5">
        <v>62.348328325700002</v>
      </c>
      <c r="D356" s="5">
        <v>8.4071224895099999</v>
      </c>
    </row>
    <row r="357" spans="1:4">
      <c r="A357" s="1" t="s">
        <v>26</v>
      </c>
      <c r="B357">
        <v>165</v>
      </c>
      <c r="C357" s="5">
        <v>4.2347450583199997</v>
      </c>
      <c r="D357" s="5">
        <v>0.535838542955</v>
      </c>
    </row>
    <row r="358" spans="1:4">
      <c r="A358" s="1" t="s">
        <v>26</v>
      </c>
      <c r="B358">
        <v>168</v>
      </c>
      <c r="C358" s="5">
        <v>7.9052239129200004</v>
      </c>
      <c r="D358" s="5">
        <v>0.58310797491099997</v>
      </c>
    </row>
    <row r="359" spans="1:4">
      <c r="A359" s="1" t="s">
        <v>26</v>
      </c>
      <c r="B359">
        <v>170</v>
      </c>
      <c r="C359" s="5">
        <v>16.7254572794</v>
      </c>
      <c r="D359" s="5">
        <v>1.2173839172600001</v>
      </c>
    </row>
    <row r="360" spans="1:4">
      <c r="A360" s="1" t="s">
        <v>26</v>
      </c>
      <c r="B360">
        <v>256</v>
      </c>
      <c r="C360" s="5">
        <v>6.2137030233699999</v>
      </c>
      <c r="D360" s="5">
        <v>0.495962348213</v>
      </c>
    </row>
    <row r="361" spans="1:4">
      <c r="A361" s="1" t="s">
        <v>26</v>
      </c>
      <c r="B361">
        <v>259</v>
      </c>
      <c r="C361" s="5">
        <v>9.6044020018600005</v>
      </c>
      <c r="D361" s="5">
        <v>1.8490814444100001</v>
      </c>
    </row>
    <row r="362" spans="1:4">
      <c r="A362" s="1" t="s">
        <v>26</v>
      </c>
      <c r="B362">
        <v>260</v>
      </c>
      <c r="C362" s="5">
        <v>18.026874202199998</v>
      </c>
      <c r="D362" s="5">
        <v>0.73677549835199996</v>
      </c>
    </row>
    <row r="363" spans="1:4">
      <c r="A363" s="1" t="s">
        <v>27</v>
      </c>
      <c r="B363">
        <v>236</v>
      </c>
      <c r="C363" s="5">
        <v>8.6481842314299993</v>
      </c>
      <c r="D363" s="5">
        <v>0.62535532301899999</v>
      </c>
    </row>
    <row r="364" spans="1:4">
      <c r="A364" s="1" t="s">
        <v>27</v>
      </c>
      <c r="B364">
        <v>240</v>
      </c>
      <c r="C364" s="5">
        <v>5.1347956479499999</v>
      </c>
      <c r="D364" s="5">
        <v>0.57880635045600004</v>
      </c>
    </row>
    <row r="365" spans="1:4">
      <c r="A365" s="1" t="s">
        <v>27</v>
      </c>
      <c r="B365">
        <v>241</v>
      </c>
      <c r="C365" s="5">
        <v>50.106969702900003</v>
      </c>
      <c r="D365" s="5">
        <v>1.08638596641</v>
      </c>
    </row>
    <row r="366" spans="1:4">
      <c r="A366" s="1" t="s">
        <v>27</v>
      </c>
      <c r="B366">
        <v>262</v>
      </c>
      <c r="C366" s="5">
        <v>2.9960309271500001</v>
      </c>
      <c r="D366" s="5">
        <v>0.91986069837700002</v>
      </c>
    </row>
    <row r="367" spans="1:4">
      <c r="A367" s="1" t="s">
        <v>27</v>
      </c>
      <c r="B367">
        <v>263</v>
      </c>
      <c r="C367" s="5">
        <v>84.807377356200007</v>
      </c>
      <c r="D367" s="5">
        <v>14.025736994900001</v>
      </c>
    </row>
    <row r="368" spans="1:4">
      <c r="A368" s="1" t="s">
        <v>27</v>
      </c>
      <c r="B368">
        <v>264</v>
      </c>
      <c r="C368" s="5">
        <v>5.0625784382800001</v>
      </c>
      <c r="D368" s="5">
        <v>0.75602195555399998</v>
      </c>
    </row>
    <row r="369" spans="1:4">
      <c r="A369" s="1" t="s">
        <v>27</v>
      </c>
      <c r="B369">
        <v>265</v>
      </c>
      <c r="C369" s="5">
        <v>46.789352632300002</v>
      </c>
      <c r="D369" s="5">
        <v>12.241412241600001</v>
      </c>
    </row>
    <row r="370" spans="1:4">
      <c r="A370" s="1" t="s">
        <v>27</v>
      </c>
      <c r="B370">
        <v>267</v>
      </c>
      <c r="C370" s="5">
        <v>2.2903959650900001</v>
      </c>
      <c r="D370" s="5">
        <v>0.84883711013999996</v>
      </c>
    </row>
    <row r="371" spans="1:4">
      <c r="A371" s="1" t="s">
        <v>27</v>
      </c>
      <c r="B371">
        <v>272</v>
      </c>
      <c r="C371" s="5">
        <v>17.064823073399999</v>
      </c>
      <c r="D371" s="5">
        <v>1.1643854141700001</v>
      </c>
    </row>
    <row r="372" spans="1:4">
      <c r="A372" s="1" t="s">
        <v>27</v>
      </c>
      <c r="B372">
        <v>276</v>
      </c>
      <c r="C372" s="5">
        <v>99.910236821500007</v>
      </c>
      <c r="D372" s="5">
        <v>2.56031559438</v>
      </c>
    </row>
    <row r="373" spans="1:4">
      <c r="A373" s="1" t="s">
        <v>27</v>
      </c>
      <c r="B373">
        <v>277</v>
      </c>
      <c r="C373" s="5">
        <v>99.999962461899997</v>
      </c>
      <c r="D373" s="5">
        <v>18.389633295300001</v>
      </c>
    </row>
    <row r="374" spans="1:4">
      <c r="A374" s="1" t="s">
        <v>27</v>
      </c>
      <c r="B374">
        <v>278</v>
      </c>
      <c r="C374" s="5">
        <v>99.999920550799999</v>
      </c>
      <c r="D374" s="5">
        <v>6.1031856151800001</v>
      </c>
    </row>
    <row r="375" spans="1:4">
      <c r="A375" s="1" t="s">
        <v>27</v>
      </c>
      <c r="B375">
        <v>279</v>
      </c>
      <c r="C375" s="5">
        <v>100</v>
      </c>
      <c r="D375" s="5">
        <v>10.9762030002</v>
      </c>
    </row>
    <row r="376" spans="1:4">
      <c r="A376" s="1" t="s">
        <v>27</v>
      </c>
      <c r="B376">
        <v>280</v>
      </c>
      <c r="C376" s="5">
        <v>99.995367197799993</v>
      </c>
      <c r="D376" s="5">
        <v>2.2004502591300001</v>
      </c>
    </row>
    <row r="377" spans="1:4">
      <c r="A377" s="1" t="s">
        <v>27</v>
      </c>
      <c r="B377">
        <v>281</v>
      </c>
      <c r="C377" s="5">
        <v>99.999797314700004</v>
      </c>
      <c r="D377" s="5">
        <v>4.5450488887300002</v>
      </c>
    </row>
    <row r="378" spans="1:4">
      <c r="A378" s="1" t="s">
        <v>27</v>
      </c>
      <c r="B378">
        <v>282</v>
      </c>
      <c r="C378" s="5">
        <v>100</v>
      </c>
      <c r="D378" s="5">
        <v>2.2624129539000002</v>
      </c>
    </row>
    <row r="379" spans="1:4">
      <c r="A379" s="1" t="s">
        <v>27</v>
      </c>
      <c r="B379">
        <v>283</v>
      </c>
      <c r="C379" s="5">
        <v>99.999958633399999</v>
      </c>
      <c r="D379" s="5">
        <v>1.99244845073</v>
      </c>
    </row>
    <row r="380" spans="1:4">
      <c r="A380" s="1" t="s">
        <v>27</v>
      </c>
      <c r="B380">
        <v>284</v>
      </c>
      <c r="C380" s="5">
        <v>99.999269573399999</v>
      </c>
      <c r="D380" s="5">
        <v>2.39150469448</v>
      </c>
    </row>
    <row r="381" spans="1:4">
      <c r="A381" s="1" t="s">
        <v>27</v>
      </c>
      <c r="B381">
        <v>285</v>
      </c>
      <c r="C381" s="5">
        <v>99.997064516999998</v>
      </c>
      <c r="D381" s="5">
        <v>3.5479449110500001</v>
      </c>
    </row>
    <row r="382" spans="1:4">
      <c r="A382" s="1" t="s">
        <v>27</v>
      </c>
      <c r="B382">
        <v>286</v>
      </c>
      <c r="C382" s="5">
        <v>72.522670201699995</v>
      </c>
      <c r="D382" s="5">
        <v>6.4676965296000004</v>
      </c>
    </row>
    <row r="383" spans="1:4">
      <c r="A383" s="1" t="s">
        <v>27</v>
      </c>
      <c r="B383">
        <v>287</v>
      </c>
      <c r="C383" s="5">
        <v>77.536098495999994</v>
      </c>
      <c r="D383" s="5">
        <v>3.0484774439</v>
      </c>
    </row>
    <row r="384" spans="1:4">
      <c r="A384" s="1" t="s">
        <v>27</v>
      </c>
      <c r="B384">
        <v>288</v>
      </c>
      <c r="C384" s="5">
        <v>24.575959967199999</v>
      </c>
      <c r="D384" s="5">
        <v>3.26688928471</v>
      </c>
    </row>
    <row r="385" spans="1:4">
      <c r="A385" s="1" t="s">
        <v>28</v>
      </c>
      <c r="B385">
        <v>236</v>
      </c>
      <c r="C385" s="5">
        <v>91.345384457400002</v>
      </c>
      <c r="D385" s="5">
        <v>16.697710445599999</v>
      </c>
    </row>
    <row r="386" spans="1:4">
      <c r="A386" s="1" t="s">
        <v>28</v>
      </c>
      <c r="B386">
        <v>237</v>
      </c>
      <c r="C386" s="5">
        <v>99.987946186599999</v>
      </c>
      <c r="D386" s="5">
        <v>6.6126215218600004</v>
      </c>
    </row>
    <row r="387" spans="1:4">
      <c r="A387" s="1" t="s">
        <v>28</v>
      </c>
      <c r="B387">
        <v>238</v>
      </c>
      <c r="C387" s="5">
        <v>91.1091423365</v>
      </c>
      <c r="D387" s="5">
        <v>20.660229856899999</v>
      </c>
    </row>
    <row r="388" spans="1:4">
      <c r="A388" s="1" t="s">
        <v>28</v>
      </c>
      <c r="B388">
        <v>239</v>
      </c>
      <c r="C388" s="5">
        <v>100</v>
      </c>
      <c r="D388" s="5">
        <v>4.89362466607</v>
      </c>
    </row>
    <row r="389" spans="1:4">
      <c r="A389" s="1" t="s">
        <v>28</v>
      </c>
      <c r="B389">
        <v>240</v>
      </c>
      <c r="C389" s="5">
        <v>94.865204347000002</v>
      </c>
      <c r="D389" s="5">
        <v>27.032453777800001</v>
      </c>
    </row>
    <row r="390" spans="1:4">
      <c r="A390" s="1" t="s">
        <v>28</v>
      </c>
      <c r="B390">
        <v>241</v>
      </c>
      <c r="C390" s="5">
        <v>49.8926142742</v>
      </c>
      <c r="D390" s="5">
        <v>2.7345802210099999</v>
      </c>
    </row>
    <row r="391" spans="1:4">
      <c r="A391" s="1" t="s">
        <v>28</v>
      </c>
      <c r="B391">
        <v>242</v>
      </c>
      <c r="C391" s="5">
        <v>90.3274326895</v>
      </c>
      <c r="D391" s="5">
        <v>12.937490199000001</v>
      </c>
    </row>
    <row r="392" spans="1:4">
      <c r="A392" s="1" t="s">
        <v>28</v>
      </c>
      <c r="B392">
        <v>286</v>
      </c>
      <c r="C392" s="5">
        <v>27.474790211999998</v>
      </c>
      <c r="D392" s="5">
        <v>6.1941059946400001</v>
      </c>
    </row>
    <row r="393" spans="1:4">
      <c r="A393" s="1" t="s">
        <v>28</v>
      </c>
      <c r="B393">
        <v>287</v>
      </c>
      <c r="C393" s="5">
        <v>22.463901518299998</v>
      </c>
      <c r="D393" s="5">
        <v>2.2327115955300001</v>
      </c>
    </row>
    <row r="394" spans="1:4">
      <c r="A394" s="1" t="s">
        <v>29</v>
      </c>
      <c r="B394">
        <v>333</v>
      </c>
      <c r="C394" s="5">
        <v>99.999036387900006</v>
      </c>
      <c r="D394" s="5">
        <v>11.2387719468</v>
      </c>
    </row>
    <row r="395" spans="1:4">
      <c r="A395" s="1" t="s">
        <v>29</v>
      </c>
      <c r="B395">
        <v>334</v>
      </c>
      <c r="C395" s="5">
        <v>100</v>
      </c>
      <c r="D395" s="5">
        <v>12.8383513291</v>
      </c>
    </row>
    <row r="396" spans="1:4">
      <c r="A396" s="1" t="s">
        <v>29</v>
      </c>
      <c r="B396">
        <v>335</v>
      </c>
      <c r="C396" s="5">
        <v>99.999335779299997</v>
      </c>
      <c r="D396" s="5">
        <v>23.912541654200002</v>
      </c>
    </row>
    <row r="397" spans="1:4">
      <c r="A397" s="1" t="s">
        <v>29</v>
      </c>
      <c r="B397">
        <v>336</v>
      </c>
      <c r="C397" s="5">
        <v>100</v>
      </c>
      <c r="D397" s="5">
        <v>6.2443980551799996</v>
      </c>
    </row>
    <row r="398" spans="1:4">
      <c r="A398" s="1" t="s">
        <v>29</v>
      </c>
      <c r="B398">
        <v>337</v>
      </c>
      <c r="C398" s="5">
        <v>99.989945397699998</v>
      </c>
      <c r="D398" s="5">
        <v>15.0654990082</v>
      </c>
    </row>
    <row r="399" spans="1:4">
      <c r="A399" s="1" t="s">
        <v>29</v>
      </c>
      <c r="B399">
        <v>338</v>
      </c>
      <c r="C399" s="5">
        <v>33.459099284300002</v>
      </c>
      <c r="D399" s="5">
        <v>7.6374947890199998</v>
      </c>
    </row>
    <row r="400" spans="1:4">
      <c r="A400" s="1" t="s">
        <v>29</v>
      </c>
      <c r="B400">
        <v>339</v>
      </c>
      <c r="C400" s="5">
        <v>59.513681258699997</v>
      </c>
      <c r="D400" s="5">
        <v>11.8784641165</v>
      </c>
    </row>
    <row r="401" spans="1:4">
      <c r="A401" s="1" t="s">
        <v>30</v>
      </c>
      <c r="B401">
        <v>288</v>
      </c>
      <c r="C401" s="5">
        <v>75.423979120599995</v>
      </c>
      <c r="D401" s="5">
        <v>10.2001745334</v>
      </c>
    </row>
    <row r="402" spans="1:4">
      <c r="A402" s="1" t="s">
        <v>30</v>
      </c>
      <c r="B402">
        <v>289</v>
      </c>
      <c r="C402" s="5">
        <v>99.999543991799996</v>
      </c>
      <c r="D402" s="5">
        <v>7.9333462038200002</v>
      </c>
    </row>
    <row r="403" spans="1:4">
      <c r="A403" s="1" t="s">
        <v>30</v>
      </c>
      <c r="B403">
        <v>290</v>
      </c>
      <c r="C403" s="5">
        <v>100</v>
      </c>
      <c r="D403" s="5">
        <v>4.7508218001699998</v>
      </c>
    </row>
    <row r="404" spans="1:4">
      <c r="A404" s="1" t="s">
        <v>30</v>
      </c>
      <c r="B404">
        <v>291</v>
      </c>
      <c r="C404" s="5">
        <v>99.999735104699994</v>
      </c>
      <c r="D404" s="5">
        <v>7.4704345099599996</v>
      </c>
    </row>
    <row r="405" spans="1:4">
      <c r="A405" s="1" t="s">
        <v>30</v>
      </c>
      <c r="B405">
        <v>292</v>
      </c>
      <c r="C405" s="5">
        <v>100</v>
      </c>
      <c r="D405" s="5">
        <v>10.0516748593</v>
      </c>
    </row>
    <row r="406" spans="1:4">
      <c r="A406" s="1" t="s">
        <v>30</v>
      </c>
      <c r="B406">
        <v>293</v>
      </c>
      <c r="C406" s="5">
        <v>68.710071404399997</v>
      </c>
      <c r="D406" s="5">
        <v>10.6645697462</v>
      </c>
    </row>
    <row r="407" spans="1:4">
      <c r="A407" s="1" t="s">
        <v>30</v>
      </c>
      <c r="B407">
        <v>294</v>
      </c>
      <c r="C407" s="5">
        <v>51.075303227200003</v>
      </c>
      <c r="D407" s="5">
        <v>3.1961504780999999</v>
      </c>
    </row>
    <row r="408" spans="1:4">
      <c r="A408" s="1" t="s">
        <v>30</v>
      </c>
      <c r="B408">
        <v>295</v>
      </c>
      <c r="C408" s="5">
        <v>99.999858038400006</v>
      </c>
      <c r="D408" s="5">
        <v>10.6234234887</v>
      </c>
    </row>
    <row r="409" spans="1:4">
      <c r="A409" s="1" t="s">
        <v>30</v>
      </c>
      <c r="B409">
        <v>296</v>
      </c>
      <c r="C409" s="5">
        <v>100</v>
      </c>
      <c r="D409" s="5">
        <v>5.3359275861700004</v>
      </c>
    </row>
    <row r="410" spans="1:4">
      <c r="A410" s="1" t="s">
        <v>30</v>
      </c>
      <c r="B410">
        <v>297</v>
      </c>
      <c r="C410" s="5">
        <v>99.994559669099999</v>
      </c>
      <c r="D410" s="5">
        <v>10.4217762855</v>
      </c>
    </row>
    <row r="411" spans="1:4">
      <c r="A411" s="1" t="s">
        <v>30</v>
      </c>
      <c r="B411">
        <v>298</v>
      </c>
      <c r="C411" s="5">
        <v>100</v>
      </c>
      <c r="D411" s="5">
        <v>10.987719438899999</v>
      </c>
    </row>
    <row r="412" spans="1:4">
      <c r="A412" s="1" t="s">
        <v>30</v>
      </c>
      <c r="B412">
        <v>299</v>
      </c>
      <c r="C412" s="5">
        <v>100</v>
      </c>
      <c r="D412" s="5">
        <v>3.7039615120299998</v>
      </c>
    </row>
    <row r="413" spans="1:4">
      <c r="A413" s="1" t="s">
        <v>31</v>
      </c>
      <c r="B413">
        <v>244</v>
      </c>
      <c r="C413" s="5">
        <v>36.504308000899997</v>
      </c>
      <c r="D413" s="5">
        <v>3.7392976999899998</v>
      </c>
    </row>
    <row r="414" spans="1:4">
      <c r="A414" s="1" t="s">
        <v>31</v>
      </c>
      <c r="B414">
        <v>245</v>
      </c>
      <c r="C414" s="5">
        <v>99.999465055200005</v>
      </c>
      <c r="D414" s="5">
        <v>7.4040705028399998</v>
      </c>
    </row>
    <row r="415" spans="1:4">
      <c r="A415" s="1" t="s">
        <v>31</v>
      </c>
      <c r="B415">
        <v>293</v>
      </c>
      <c r="C415" s="5">
        <v>31.289928595799999</v>
      </c>
      <c r="D415" s="5">
        <v>9.1437962226499998</v>
      </c>
    </row>
    <row r="416" spans="1:4">
      <c r="A416" s="1" t="s">
        <v>31</v>
      </c>
      <c r="B416">
        <v>294</v>
      </c>
      <c r="C416" s="5">
        <v>48.924696772799997</v>
      </c>
      <c r="D416" s="5">
        <v>5.7642583180500004</v>
      </c>
    </row>
    <row r="417" spans="1:4">
      <c r="A417" s="1" t="s">
        <v>31</v>
      </c>
      <c r="B417">
        <v>300</v>
      </c>
      <c r="C417" s="5">
        <v>91.908622529100001</v>
      </c>
      <c r="D417" s="5">
        <v>11.8054100653</v>
      </c>
    </row>
    <row r="418" spans="1:4">
      <c r="A418" s="1" t="s">
        <v>31</v>
      </c>
      <c r="B418">
        <v>301</v>
      </c>
      <c r="C418" s="5">
        <v>67.914079230499993</v>
      </c>
      <c r="D418" s="5">
        <v>3.1887130904599998</v>
      </c>
    </row>
    <row r="419" spans="1:4">
      <c r="A419" s="1" t="s">
        <v>31</v>
      </c>
      <c r="B419">
        <v>302</v>
      </c>
      <c r="C419" s="5">
        <v>99.992515197299994</v>
      </c>
      <c r="D419" s="5">
        <v>3.88506949825</v>
      </c>
    </row>
    <row r="420" spans="1:4">
      <c r="A420" s="1" t="s">
        <v>31</v>
      </c>
      <c r="B420">
        <v>303</v>
      </c>
      <c r="C420" s="5">
        <v>98.507776137500002</v>
      </c>
      <c r="D420" s="5">
        <v>2.69919352894</v>
      </c>
    </row>
    <row r="421" spans="1:4">
      <c r="A421" s="1" t="s">
        <v>31</v>
      </c>
      <c r="B421">
        <v>304</v>
      </c>
      <c r="C421" s="5">
        <v>99.999855548200003</v>
      </c>
      <c r="D421" s="5">
        <v>26.9787841401</v>
      </c>
    </row>
    <row r="422" spans="1:4">
      <c r="A422" s="1" t="s">
        <v>31</v>
      </c>
      <c r="B422">
        <v>305</v>
      </c>
      <c r="C422" s="5">
        <v>99.9934713233</v>
      </c>
      <c r="D422" s="5">
        <v>7.47540351523</v>
      </c>
    </row>
    <row r="423" spans="1:4">
      <c r="A423" s="1" t="s">
        <v>31</v>
      </c>
      <c r="B423">
        <v>306</v>
      </c>
      <c r="C423" s="5">
        <v>100</v>
      </c>
      <c r="D423" s="5">
        <v>4.8487210637000002</v>
      </c>
    </row>
    <row r="424" spans="1:4">
      <c r="A424" s="1" t="s">
        <v>31</v>
      </c>
      <c r="B424">
        <v>307</v>
      </c>
      <c r="C424" s="5">
        <v>100</v>
      </c>
      <c r="D424" s="5">
        <v>4.87939588324</v>
      </c>
    </row>
    <row r="425" spans="1:4">
      <c r="A425" s="1" t="s">
        <v>32</v>
      </c>
      <c r="B425">
        <v>177</v>
      </c>
      <c r="C425" s="5">
        <v>15.2435336744</v>
      </c>
      <c r="D425" s="5">
        <v>0.95651378755600003</v>
      </c>
    </row>
    <row r="426" spans="1:4">
      <c r="A426" s="1" t="s">
        <v>32</v>
      </c>
      <c r="B426">
        <v>183</v>
      </c>
      <c r="C426" s="5">
        <v>11.3370350594</v>
      </c>
      <c r="D426" s="5">
        <v>0.895298430315</v>
      </c>
    </row>
    <row r="427" spans="1:4">
      <c r="A427" s="1" t="s">
        <v>32</v>
      </c>
      <c r="B427">
        <v>191</v>
      </c>
      <c r="C427" s="5">
        <v>99.999720756299993</v>
      </c>
      <c r="D427" s="5">
        <v>17.438906051</v>
      </c>
    </row>
    <row r="428" spans="1:4">
      <c r="A428" s="1" t="s">
        <v>32</v>
      </c>
      <c r="B428">
        <v>192</v>
      </c>
      <c r="C428" s="5">
        <v>99.999757826999996</v>
      </c>
      <c r="D428" s="5">
        <v>15.1566792682</v>
      </c>
    </row>
    <row r="429" spans="1:4">
      <c r="A429" s="1" t="s">
        <v>32</v>
      </c>
      <c r="B429">
        <v>193</v>
      </c>
      <c r="C429" s="5">
        <v>99.999269698800006</v>
      </c>
      <c r="D429" s="5">
        <v>12.0409325814</v>
      </c>
    </row>
    <row r="430" spans="1:4">
      <c r="A430" s="1" t="s">
        <v>32</v>
      </c>
      <c r="B430">
        <v>194</v>
      </c>
      <c r="C430" s="5">
        <v>54.895457696900003</v>
      </c>
      <c r="D430" s="5">
        <v>5.8569428565699999</v>
      </c>
    </row>
    <row r="431" spans="1:4">
      <c r="A431" s="1" t="s">
        <v>32</v>
      </c>
      <c r="B431">
        <v>195</v>
      </c>
      <c r="C431" s="5">
        <v>99.993582952500006</v>
      </c>
      <c r="D431" s="5">
        <v>3.7011211354300002</v>
      </c>
    </row>
    <row r="432" spans="1:4">
      <c r="A432" s="1" t="s">
        <v>32</v>
      </c>
      <c r="B432">
        <v>196</v>
      </c>
      <c r="C432" s="5">
        <v>100</v>
      </c>
      <c r="D432" s="5">
        <v>2.3524979881900001</v>
      </c>
    </row>
    <row r="433" spans="1:4">
      <c r="A433" s="1" t="s">
        <v>32</v>
      </c>
      <c r="B433">
        <v>197</v>
      </c>
      <c r="C433" s="5">
        <v>100</v>
      </c>
      <c r="D433" s="5">
        <v>2.8502367945499998</v>
      </c>
    </row>
    <row r="434" spans="1:4">
      <c r="A434" s="1" t="s">
        <v>32</v>
      </c>
      <c r="B434">
        <v>198</v>
      </c>
      <c r="C434" s="5">
        <v>99.980338221099998</v>
      </c>
      <c r="D434" s="5">
        <v>5.5018329488499997</v>
      </c>
    </row>
  </sheetData>
  <sortState ref="A2:D434">
    <sortCondition ref="A2:A434"/>
    <sortCondition ref="B2:B4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4"/>
  <sheetViews>
    <sheetView tabSelected="1" workbookViewId="0">
      <selection activeCell="B2" sqref="B2"/>
    </sheetView>
  </sheetViews>
  <sheetFormatPr defaultRowHeight="15"/>
  <cols>
    <col min="1" max="1" width="13.28515625" bestFit="1" customWidth="1"/>
    <col min="2" max="11" width="10" style="2" customWidth="1"/>
  </cols>
  <sheetData>
    <row r="1" spans="1:11">
      <c r="A1" t="s">
        <v>37</v>
      </c>
    </row>
    <row r="2" spans="1:11">
      <c r="B2" s="2">
        <f>SUM(B7:F364)</f>
        <v>250548.95766599994</v>
      </c>
      <c r="G2" s="2">
        <f>SUM(G7:K364)</f>
        <v>53891.253324999991</v>
      </c>
    </row>
    <row r="3" spans="1:11">
      <c r="B3" s="26" t="s">
        <v>38</v>
      </c>
      <c r="C3" s="26"/>
      <c r="D3" s="26"/>
      <c r="E3" s="26"/>
      <c r="F3" s="26"/>
      <c r="G3" s="26" t="s">
        <v>39</v>
      </c>
      <c r="H3" s="26"/>
      <c r="I3" s="26"/>
      <c r="J3" s="26"/>
      <c r="K3" s="26"/>
    </row>
    <row r="4" spans="1:11"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9" t="s">
        <v>34</v>
      </c>
      <c r="H4" s="4" t="s">
        <v>34</v>
      </c>
      <c r="I4" s="4" t="s">
        <v>34</v>
      </c>
      <c r="J4" s="4" t="s">
        <v>34</v>
      </c>
      <c r="K4" s="4" t="s">
        <v>34</v>
      </c>
    </row>
    <row r="5" spans="1:11">
      <c r="B5" s="3">
        <v>3</v>
      </c>
      <c r="C5" s="3">
        <v>4</v>
      </c>
      <c r="D5" s="3">
        <v>5</v>
      </c>
      <c r="E5" s="3">
        <v>6</v>
      </c>
      <c r="F5" s="3">
        <v>7</v>
      </c>
      <c r="G5" s="10">
        <v>13</v>
      </c>
      <c r="H5" s="3">
        <v>14</v>
      </c>
      <c r="I5" s="3">
        <v>15</v>
      </c>
      <c r="J5" s="3">
        <v>16</v>
      </c>
      <c r="K5" s="3">
        <v>17</v>
      </c>
    </row>
    <row r="6" spans="1:11" ht="15.75" thickBot="1">
      <c r="A6" t="s">
        <v>33</v>
      </c>
      <c r="B6" s="3" t="s">
        <v>41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3" t="s">
        <v>41</v>
      </c>
    </row>
    <row r="7" spans="1:11">
      <c r="A7">
        <v>1</v>
      </c>
      <c r="B7" s="12">
        <v>0</v>
      </c>
      <c r="C7" s="13">
        <v>299.000022</v>
      </c>
      <c r="D7" s="13">
        <v>82.599989999999991</v>
      </c>
      <c r="E7" s="13">
        <v>41.5</v>
      </c>
      <c r="F7" s="13">
        <v>18.8</v>
      </c>
      <c r="G7" s="12">
        <v>0</v>
      </c>
      <c r="H7" s="13">
        <v>0</v>
      </c>
      <c r="I7" s="13">
        <v>0</v>
      </c>
      <c r="J7" s="13">
        <v>0</v>
      </c>
      <c r="K7" s="14">
        <v>0</v>
      </c>
    </row>
    <row r="8" spans="1:11">
      <c r="A8">
        <v>2</v>
      </c>
      <c r="B8" s="11">
        <v>0</v>
      </c>
      <c r="C8" s="15">
        <v>69</v>
      </c>
      <c r="D8" s="15">
        <v>43.7</v>
      </c>
      <c r="E8" s="15">
        <v>43.7</v>
      </c>
      <c r="F8" s="15">
        <v>16.7</v>
      </c>
      <c r="G8" s="11">
        <v>0</v>
      </c>
      <c r="H8" s="15">
        <v>0</v>
      </c>
      <c r="I8" s="15">
        <v>0</v>
      </c>
      <c r="J8" s="15">
        <v>0</v>
      </c>
      <c r="K8" s="16">
        <v>0</v>
      </c>
    </row>
    <row r="9" spans="1:11">
      <c r="A9">
        <v>3</v>
      </c>
      <c r="B9" s="11">
        <v>0</v>
      </c>
      <c r="C9" s="15">
        <v>0</v>
      </c>
      <c r="D9" s="15">
        <v>126.9</v>
      </c>
      <c r="E9" s="15">
        <v>119</v>
      </c>
      <c r="F9" s="15">
        <v>67.600000000000009</v>
      </c>
      <c r="G9" s="11">
        <v>0</v>
      </c>
      <c r="H9" s="15">
        <v>0</v>
      </c>
      <c r="I9" s="15">
        <v>0</v>
      </c>
      <c r="J9" s="15">
        <v>0</v>
      </c>
      <c r="K9" s="16">
        <v>0</v>
      </c>
    </row>
    <row r="10" spans="1:11">
      <c r="A10">
        <v>4</v>
      </c>
      <c r="B10" s="11">
        <v>567.54319999999996</v>
      </c>
      <c r="C10" s="15">
        <v>2110.8003899999999</v>
      </c>
      <c r="D10" s="15">
        <v>497.29996499999993</v>
      </c>
      <c r="E10" s="15">
        <v>87.7</v>
      </c>
      <c r="F10" s="15">
        <v>5.4</v>
      </c>
      <c r="G10" s="11">
        <v>0</v>
      </c>
      <c r="H10" s="15">
        <v>0</v>
      </c>
      <c r="I10" s="15">
        <v>0</v>
      </c>
      <c r="J10" s="15">
        <v>0</v>
      </c>
      <c r="K10" s="16">
        <v>0</v>
      </c>
    </row>
    <row r="11" spans="1:11">
      <c r="A11">
        <v>5</v>
      </c>
      <c r="B11" s="11">
        <v>0</v>
      </c>
      <c r="C11" s="15">
        <v>2549.10025</v>
      </c>
      <c r="D11" s="15">
        <v>550.70000000000005</v>
      </c>
      <c r="E11" s="15">
        <v>268.60000000000002</v>
      </c>
      <c r="F11" s="15">
        <v>61.4</v>
      </c>
      <c r="G11" s="11">
        <v>0</v>
      </c>
      <c r="H11" s="15">
        <v>0</v>
      </c>
      <c r="I11" s="15">
        <v>0</v>
      </c>
      <c r="J11" s="15">
        <v>0</v>
      </c>
      <c r="K11" s="16">
        <v>0</v>
      </c>
    </row>
    <row r="12" spans="1:11">
      <c r="A12">
        <v>6</v>
      </c>
      <c r="B12" s="11">
        <v>0</v>
      </c>
      <c r="C12" s="15">
        <v>16.399999999999999</v>
      </c>
      <c r="D12" s="15">
        <v>2.4</v>
      </c>
      <c r="E12" s="15">
        <v>0</v>
      </c>
      <c r="F12" s="15">
        <v>0</v>
      </c>
      <c r="G12" s="11">
        <v>0</v>
      </c>
      <c r="H12" s="15">
        <v>0</v>
      </c>
      <c r="I12" s="15">
        <v>0</v>
      </c>
      <c r="J12" s="15">
        <v>0</v>
      </c>
      <c r="K12" s="16">
        <v>0</v>
      </c>
    </row>
    <row r="13" spans="1:11">
      <c r="A13">
        <v>7</v>
      </c>
      <c r="B13" s="11">
        <v>0</v>
      </c>
      <c r="C13" s="15">
        <v>187.10000000000002</v>
      </c>
      <c r="D13" s="15">
        <v>30.2</v>
      </c>
      <c r="E13" s="15">
        <v>3.8</v>
      </c>
      <c r="F13" s="15">
        <v>0</v>
      </c>
      <c r="G13" s="11">
        <v>0</v>
      </c>
      <c r="H13" s="15">
        <v>0</v>
      </c>
      <c r="I13" s="15">
        <v>0</v>
      </c>
      <c r="J13" s="15">
        <v>0</v>
      </c>
      <c r="K13" s="16">
        <v>0</v>
      </c>
    </row>
    <row r="14" spans="1:11">
      <c r="A14">
        <v>8</v>
      </c>
      <c r="B14" s="11">
        <v>0</v>
      </c>
      <c r="C14" s="15">
        <v>138</v>
      </c>
      <c r="D14" s="15">
        <v>58.9</v>
      </c>
      <c r="E14" s="15">
        <v>25.9</v>
      </c>
      <c r="F14" s="15">
        <v>2.2999999999999998</v>
      </c>
      <c r="G14" s="11">
        <v>0</v>
      </c>
      <c r="H14" s="15">
        <v>0</v>
      </c>
      <c r="I14" s="15">
        <v>0</v>
      </c>
      <c r="J14" s="15">
        <v>0</v>
      </c>
      <c r="K14" s="16">
        <v>0</v>
      </c>
    </row>
    <row r="15" spans="1:11">
      <c r="A15">
        <v>9</v>
      </c>
      <c r="B15" s="11">
        <v>0</v>
      </c>
      <c r="C15" s="15">
        <v>1540.3</v>
      </c>
      <c r="D15" s="15">
        <v>208.60000000000002</v>
      </c>
      <c r="E15" s="15">
        <v>21.6</v>
      </c>
      <c r="F15" s="15">
        <v>3.3</v>
      </c>
      <c r="G15" s="11">
        <v>0</v>
      </c>
      <c r="H15" s="15">
        <v>0</v>
      </c>
      <c r="I15" s="15">
        <v>0</v>
      </c>
      <c r="J15" s="15">
        <v>0</v>
      </c>
      <c r="K15" s="16">
        <v>0</v>
      </c>
    </row>
    <row r="16" spans="1:11">
      <c r="A16">
        <v>10</v>
      </c>
      <c r="B16" s="11">
        <v>0</v>
      </c>
      <c r="C16" s="15">
        <v>372.78111999999999</v>
      </c>
      <c r="D16" s="15">
        <v>156.70001000000002</v>
      </c>
      <c r="E16" s="15">
        <v>87.4</v>
      </c>
      <c r="F16" s="15">
        <v>14.6</v>
      </c>
      <c r="G16" s="11">
        <v>0</v>
      </c>
      <c r="H16" s="15">
        <v>0</v>
      </c>
      <c r="I16" s="15">
        <v>0</v>
      </c>
      <c r="J16" s="15">
        <v>0</v>
      </c>
      <c r="K16" s="16">
        <v>0</v>
      </c>
    </row>
    <row r="17" spans="1:11">
      <c r="A17">
        <v>11</v>
      </c>
      <c r="B17" s="11">
        <v>0</v>
      </c>
      <c r="C17" s="15">
        <v>0</v>
      </c>
      <c r="D17" s="15">
        <v>0</v>
      </c>
      <c r="E17" s="15">
        <v>0</v>
      </c>
      <c r="F17" s="15">
        <v>0</v>
      </c>
      <c r="G17" s="11">
        <v>0</v>
      </c>
      <c r="H17" s="15">
        <v>0</v>
      </c>
      <c r="I17" s="15">
        <v>0</v>
      </c>
      <c r="J17" s="15">
        <v>0</v>
      </c>
      <c r="K17" s="16">
        <v>0</v>
      </c>
    </row>
    <row r="18" spans="1:11">
      <c r="A18">
        <v>12</v>
      </c>
      <c r="B18" s="11">
        <v>0</v>
      </c>
      <c r="C18" s="15">
        <v>136.19999999999999</v>
      </c>
      <c r="D18" s="15">
        <v>39.799999999999997</v>
      </c>
      <c r="E18" s="15">
        <v>26.2</v>
      </c>
      <c r="F18" s="15">
        <v>8.6999999999999993</v>
      </c>
      <c r="G18" s="11">
        <v>0</v>
      </c>
      <c r="H18" s="15">
        <v>0</v>
      </c>
      <c r="I18" s="15">
        <v>0</v>
      </c>
      <c r="J18" s="15">
        <v>0</v>
      </c>
      <c r="K18" s="16">
        <v>0</v>
      </c>
    </row>
    <row r="19" spans="1:11">
      <c r="A19">
        <v>13</v>
      </c>
      <c r="B19" s="11">
        <v>0</v>
      </c>
      <c r="C19" s="15">
        <v>296.7</v>
      </c>
      <c r="D19" s="15">
        <v>132</v>
      </c>
      <c r="E19" s="15">
        <v>69</v>
      </c>
      <c r="F19" s="15">
        <v>5.9</v>
      </c>
      <c r="G19" s="11">
        <v>0</v>
      </c>
      <c r="H19" s="15">
        <v>0</v>
      </c>
      <c r="I19" s="15">
        <v>0</v>
      </c>
      <c r="J19" s="15">
        <v>0</v>
      </c>
      <c r="K19" s="16">
        <v>0</v>
      </c>
    </row>
    <row r="20" spans="1:11">
      <c r="A20">
        <v>14</v>
      </c>
      <c r="B20" s="11">
        <v>0</v>
      </c>
      <c r="C20" s="15">
        <v>630.00006000000008</v>
      </c>
      <c r="D20" s="15">
        <v>301.3</v>
      </c>
      <c r="E20" s="15">
        <v>194.49999999999997</v>
      </c>
      <c r="F20" s="15">
        <v>39</v>
      </c>
      <c r="G20" s="11">
        <v>0</v>
      </c>
      <c r="H20" s="15">
        <v>0</v>
      </c>
      <c r="I20" s="15">
        <v>0</v>
      </c>
      <c r="J20" s="15">
        <v>0</v>
      </c>
      <c r="K20" s="16">
        <v>72.289789999999996</v>
      </c>
    </row>
    <row r="21" spans="1:11">
      <c r="A21">
        <v>15</v>
      </c>
      <c r="B21" s="11">
        <v>168.893</v>
      </c>
      <c r="C21" s="15">
        <v>252.1</v>
      </c>
      <c r="D21" s="15">
        <v>82.8</v>
      </c>
      <c r="E21" s="15">
        <v>41.9</v>
      </c>
      <c r="F21" s="15">
        <v>11.2</v>
      </c>
      <c r="G21" s="11">
        <v>0</v>
      </c>
      <c r="H21" s="15">
        <v>0</v>
      </c>
      <c r="I21" s="15">
        <v>0</v>
      </c>
      <c r="J21" s="15">
        <v>0</v>
      </c>
      <c r="K21" s="16">
        <v>0</v>
      </c>
    </row>
    <row r="22" spans="1:11">
      <c r="A22">
        <v>16</v>
      </c>
      <c r="B22" s="11">
        <v>0</v>
      </c>
      <c r="C22" s="15">
        <v>2187.1970099999999</v>
      </c>
      <c r="D22" s="15">
        <v>467.86605999999995</v>
      </c>
      <c r="E22" s="15">
        <v>159.69999999999999</v>
      </c>
      <c r="F22" s="15">
        <v>24.2</v>
      </c>
      <c r="G22" s="11">
        <v>0</v>
      </c>
      <c r="H22" s="15">
        <v>0</v>
      </c>
      <c r="I22" s="15">
        <v>0</v>
      </c>
      <c r="J22" s="15">
        <v>0</v>
      </c>
      <c r="K22" s="16">
        <v>0</v>
      </c>
    </row>
    <row r="23" spans="1:11">
      <c r="A23">
        <v>17</v>
      </c>
      <c r="B23" s="11">
        <v>0</v>
      </c>
      <c r="C23" s="15">
        <v>36.12753</v>
      </c>
      <c r="D23" s="15">
        <v>46.4</v>
      </c>
      <c r="E23" s="15">
        <v>27.2</v>
      </c>
      <c r="F23" s="15">
        <v>6.6</v>
      </c>
      <c r="G23" s="11">
        <v>0</v>
      </c>
      <c r="H23" s="15">
        <v>0</v>
      </c>
      <c r="I23" s="15">
        <v>0</v>
      </c>
      <c r="J23" s="15">
        <v>0</v>
      </c>
      <c r="K23" s="16">
        <v>0</v>
      </c>
    </row>
    <row r="24" spans="1:11">
      <c r="A24">
        <v>18</v>
      </c>
      <c r="B24" s="11">
        <v>0</v>
      </c>
      <c r="C24" s="15">
        <v>715.02206699999999</v>
      </c>
      <c r="D24" s="15">
        <v>174.760684</v>
      </c>
      <c r="E24" s="15">
        <v>106.9</v>
      </c>
      <c r="F24" s="15">
        <v>20</v>
      </c>
      <c r="G24" s="11">
        <v>0</v>
      </c>
      <c r="H24" s="15">
        <v>0</v>
      </c>
      <c r="I24" s="15">
        <v>0</v>
      </c>
      <c r="J24" s="15">
        <v>0</v>
      </c>
      <c r="K24" s="16">
        <v>0</v>
      </c>
    </row>
    <row r="25" spans="1:11">
      <c r="A25">
        <v>19</v>
      </c>
      <c r="B25" s="11">
        <v>0</v>
      </c>
      <c r="C25" s="15">
        <v>765.49998900000003</v>
      </c>
      <c r="D25" s="15">
        <v>87.2</v>
      </c>
      <c r="E25" s="15">
        <v>22.8</v>
      </c>
      <c r="F25" s="15">
        <v>3.2</v>
      </c>
      <c r="G25" s="11">
        <v>0</v>
      </c>
      <c r="H25" s="15">
        <v>0</v>
      </c>
      <c r="I25" s="15">
        <v>0</v>
      </c>
      <c r="J25" s="15">
        <v>0</v>
      </c>
      <c r="K25" s="16">
        <v>0</v>
      </c>
    </row>
    <row r="26" spans="1:11">
      <c r="A26">
        <v>20</v>
      </c>
      <c r="B26" s="11">
        <v>0</v>
      </c>
      <c r="C26" s="15">
        <v>423.60003</v>
      </c>
      <c r="D26" s="15">
        <v>160.60000000000002</v>
      </c>
      <c r="E26" s="15">
        <v>123.19999999999999</v>
      </c>
      <c r="F26" s="15">
        <v>52.699996999999996</v>
      </c>
      <c r="G26" s="11">
        <v>0</v>
      </c>
      <c r="H26" s="15">
        <v>0</v>
      </c>
      <c r="I26" s="15">
        <v>0</v>
      </c>
      <c r="J26" s="15">
        <v>0</v>
      </c>
      <c r="K26" s="16">
        <v>7</v>
      </c>
    </row>
    <row r="27" spans="1:11">
      <c r="A27">
        <v>21</v>
      </c>
      <c r="B27" s="11">
        <v>0</v>
      </c>
      <c r="C27" s="15">
        <v>430.10001</v>
      </c>
      <c r="D27" s="15">
        <v>66.95187</v>
      </c>
      <c r="E27" s="15">
        <v>78</v>
      </c>
      <c r="F27" s="15">
        <v>27.900000000000002</v>
      </c>
      <c r="G27" s="11">
        <v>0</v>
      </c>
      <c r="H27" s="15">
        <v>0</v>
      </c>
      <c r="I27" s="15">
        <v>0</v>
      </c>
      <c r="J27" s="15">
        <v>0</v>
      </c>
      <c r="K27" s="16">
        <v>0</v>
      </c>
    </row>
    <row r="28" spans="1:11">
      <c r="A28">
        <v>22</v>
      </c>
      <c r="B28" s="11">
        <v>0</v>
      </c>
      <c r="C28" s="15">
        <v>50.8</v>
      </c>
      <c r="D28" s="15">
        <v>10.5</v>
      </c>
      <c r="E28" s="15">
        <v>1.8</v>
      </c>
      <c r="F28" s="15">
        <v>0</v>
      </c>
      <c r="G28" s="11">
        <v>0</v>
      </c>
      <c r="H28" s="15">
        <v>0</v>
      </c>
      <c r="I28" s="15">
        <v>0</v>
      </c>
      <c r="J28" s="15">
        <v>0</v>
      </c>
      <c r="K28" s="16">
        <v>0</v>
      </c>
    </row>
    <row r="29" spans="1:11">
      <c r="A29">
        <v>23</v>
      </c>
      <c r="B29" s="11">
        <v>0</v>
      </c>
      <c r="C29" s="15">
        <v>0</v>
      </c>
      <c r="D29" s="15">
        <v>4</v>
      </c>
      <c r="E29" s="15">
        <v>0</v>
      </c>
      <c r="F29" s="15">
        <v>0</v>
      </c>
      <c r="G29" s="11">
        <v>0</v>
      </c>
      <c r="H29" s="15">
        <v>0</v>
      </c>
      <c r="I29" s="15">
        <v>0</v>
      </c>
      <c r="J29" s="15">
        <v>0</v>
      </c>
      <c r="K29" s="16">
        <v>0</v>
      </c>
    </row>
    <row r="30" spans="1:11">
      <c r="A30">
        <v>24</v>
      </c>
      <c r="B30" s="11">
        <v>0</v>
      </c>
      <c r="C30" s="15">
        <v>121.4</v>
      </c>
      <c r="D30" s="15">
        <v>47.100003999999998</v>
      </c>
      <c r="E30" s="15">
        <v>24.5</v>
      </c>
      <c r="F30" s="15">
        <v>7.5</v>
      </c>
      <c r="G30" s="11">
        <v>0</v>
      </c>
      <c r="H30" s="15">
        <v>0</v>
      </c>
      <c r="I30" s="15">
        <v>0</v>
      </c>
      <c r="J30" s="15">
        <v>0</v>
      </c>
      <c r="K30" s="16">
        <v>0</v>
      </c>
    </row>
    <row r="31" spans="1:11">
      <c r="A31">
        <v>25</v>
      </c>
      <c r="B31" s="11">
        <v>0</v>
      </c>
      <c r="C31" s="15">
        <v>1138.3</v>
      </c>
      <c r="D31" s="15">
        <v>98.8</v>
      </c>
      <c r="E31" s="15">
        <v>172.1</v>
      </c>
      <c r="F31" s="15">
        <v>0</v>
      </c>
      <c r="G31" s="11">
        <v>0</v>
      </c>
      <c r="H31" s="15">
        <v>810.04579999999999</v>
      </c>
      <c r="I31" s="15">
        <v>51</v>
      </c>
      <c r="J31" s="15">
        <v>0</v>
      </c>
      <c r="K31" s="16">
        <v>0</v>
      </c>
    </row>
    <row r="32" spans="1:11">
      <c r="A32">
        <v>26</v>
      </c>
      <c r="B32" s="11">
        <v>148.49</v>
      </c>
      <c r="C32" s="15">
        <v>107</v>
      </c>
      <c r="D32" s="15">
        <v>29</v>
      </c>
      <c r="E32" s="15">
        <v>147.31</v>
      </c>
      <c r="F32" s="15">
        <v>0</v>
      </c>
      <c r="G32" s="11">
        <v>0</v>
      </c>
      <c r="H32" s="15">
        <v>0</v>
      </c>
      <c r="I32" s="15">
        <v>0</v>
      </c>
      <c r="J32" s="15">
        <v>0</v>
      </c>
      <c r="K32" s="16">
        <v>0</v>
      </c>
    </row>
    <row r="33" spans="1:11">
      <c r="A33">
        <v>27</v>
      </c>
      <c r="B33" s="11">
        <v>0</v>
      </c>
      <c r="C33" s="15">
        <v>16.600000000000001</v>
      </c>
      <c r="D33" s="15">
        <v>1.9</v>
      </c>
      <c r="E33" s="15">
        <v>0</v>
      </c>
      <c r="F33" s="15">
        <v>0</v>
      </c>
      <c r="G33" s="11">
        <v>0</v>
      </c>
      <c r="H33" s="15">
        <v>0</v>
      </c>
      <c r="I33" s="15">
        <v>0</v>
      </c>
      <c r="J33" s="15">
        <v>0</v>
      </c>
      <c r="K33" s="16">
        <v>0</v>
      </c>
    </row>
    <row r="34" spans="1:11">
      <c r="A34">
        <v>28</v>
      </c>
      <c r="B34" s="11">
        <v>0</v>
      </c>
      <c r="C34" s="15">
        <v>139.34988899999999</v>
      </c>
      <c r="D34" s="15">
        <v>198.49999399999999</v>
      </c>
      <c r="E34" s="15">
        <v>64.400000000000006</v>
      </c>
      <c r="F34" s="15">
        <v>12.4</v>
      </c>
      <c r="G34" s="11">
        <v>0</v>
      </c>
      <c r="H34" s="15">
        <v>0</v>
      </c>
      <c r="I34" s="15">
        <v>0</v>
      </c>
      <c r="J34" s="15">
        <v>0</v>
      </c>
      <c r="K34" s="16">
        <v>0</v>
      </c>
    </row>
    <row r="35" spans="1:11">
      <c r="A35">
        <v>29</v>
      </c>
      <c r="B35" s="11">
        <v>0</v>
      </c>
      <c r="C35" s="15">
        <v>168.8</v>
      </c>
      <c r="D35" s="15">
        <v>56</v>
      </c>
      <c r="E35" s="15">
        <v>29.200000000000003</v>
      </c>
      <c r="F35" s="15">
        <v>6</v>
      </c>
      <c r="G35" s="11">
        <v>0</v>
      </c>
      <c r="H35" s="15">
        <v>0</v>
      </c>
      <c r="I35" s="15">
        <v>0</v>
      </c>
      <c r="J35" s="15">
        <v>0</v>
      </c>
      <c r="K35" s="16">
        <v>7</v>
      </c>
    </row>
    <row r="36" spans="1:11">
      <c r="A36">
        <v>30</v>
      </c>
      <c r="B36" s="11">
        <v>140</v>
      </c>
      <c r="C36" s="15">
        <v>1190.0081</v>
      </c>
      <c r="D36" s="15">
        <v>1818.4000499999997</v>
      </c>
      <c r="E36" s="15">
        <v>1619.29998</v>
      </c>
      <c r="F36" s="15">
        <v>683.7</v>
      </c>
      <c r="G36" s="11">
        <v>0</v>
      </c>
      <c r="H36" s="15">
        <v>0</v>
      </c>
      <c r="I36" s="15">
        <v>0</v>
      </c>
      <c r="J36" s="15">
        <v>0</v>
      </c>
      <c r="K36" s="16">
        <v>0</v>
      </c>
    </row>
    <row r="37" spans="1:11">
      <c r="A37">
        <v>31</v>
      </c>
      <c r="B37" s="11">
        <v>0</v>
      </c>
      <c r="C37" s="15">
        <v>0</v>
      </c>
      <c r="D37" s="15">
        <v>0</v>
      </c>
      <c r="E37" s="15">
        <v>6.98</v>
      </c>
      <c r="F37" s="15">
        <v>0</v>
      </c>
      <c r="G37" s="11">
        <v>0</v>
      </c>
      <c r="H37" s="15">
        <v>0</v>
      </c>
      <c r="I37" s="15">
        <v>0</v>
      </c>
      <c r="J37" s="15">
        <v>0</v>
      </c>
      <c r="K37" s="16">
        <v>0</v>
      </c>
    </row>
    <row r="38" spans="1:11">
      <c r="A38">
        <v>32</v>
      </c>
      <c r="B38" s="11">
        <v>9.25</v>
      </c>
      <c r="C38" s="15">
        <v>0</v>
      </c>
      <c r="D38" s="15">
        <v>0</v>
      </c>
      <c r="E38" s="15">
        <v>0</v>
      </c>
      <c r="F38" s="15">
        <v>42.4</v>
      </c>
      <c r="G38" s="11">
        <v>0</v>
      </c>
      <c r="H38" s="15">
        <v>0</v>
      </c>
      <c r="I38" s="15">
        <v>0</v>
      </c>
      <c r="J38" s="15">
        <v>0</v>
      </c>
      <c r="K38" s="16">
        <v>0</v>
      </c>
    </row>
    <row r="39" spans="1:11">
      <c r="A39">
        <v>33</v>
      </c>
      <c r="B39" s="11">
        <v>0</v>
      </c>
      <c r="C39" s="15">
        <v>3890.1998999999996</v>
      </c>
      <c r="D39" s="15">
        <v>1168.5</v>
      </c>
      <c r="E39" s="15">
        <v>685.19999999999993</v>
      </c>
      <c r="F39" s="15">
        <v>400.7</v>
      </c>
      <c r="G39" s="11">
        <v>0</v>
      </c>
      <c r="H39" s="15">
        <v>0</v>
      </c>
      <c r="I39" s="15">
        <v>0</v>
      </c>
      <c r="J39" s="15">
        <v>0</v>
      </c>
      <c r="K39" s="16">
        <v>0</v>
      </c>
    </row>
    <row r="40" spans="1:11">
      <c r="A40">
        <v>34</v>
      </c>
      <c r="B40" s="11">
        <v>522.10413000000005</v>
      </c>
      <c r="C40" s="15">
        <v>607.69994999999994</v>
      </c>
      <c r="D40" s="15">
        <v>276.2</v>
      </c>
      <c r="E40" s="15">
        <v>199.8</v>
      </c>
      <c r="F40" s="15">
        <v>72.7</v>
      </c>
      <c r="G40" s="11">
        <v>0</v>
      </c>
      <c r="H40" s="15">
        <v>0</v>
      </c>
      <c r="I40" s="15">
        <v>0</v>
      </c>
      <c r="J40" s="15">
        <v>0</v>
      </c>
      <c r="K40" s="16">
        <v>0</v>
      </c>
    </row>
    <row r="41" spans="1:11">
      <c r="A41">
        <v>35</v>
      </c>
      <c r="B41" s="11">
        <v>0</v>
      </c>
      <c r="C41" s="15">
        <v>696.70888000000002</v>
      </c>
      <c r="D41" s="15">
        <v>249.89996400000001</v>
      </c>
      <c r="E41" s="15">
        <v>100.5</v>
      </c>
      <c r="F41" s="15">
        <v>12.4</v>
      </c>
      <c r="G41" s="11">
        <v>0</v>
      </c>
      <c r="H41" s="15">
        <v>0</v>
      </c>
      <c r="I41" s="15">
        <v>0</v>
      </c>
      <c r="J41" s="15">
        <v>0</v>
      </c>
      <c r="K41" s="16">
        <v>0</v>
      </c>
    </row>
    <row r="42" spans="1:11">
      <c r="A42">
        <v>36</v>
      </c>
      <c r="B42" s="11">
        <v>0</v>
      </c>
      <c r="C42" s="15">
        <v>1293.499881</v>
      </c>
      <c r="D42" s="15">
        <v>326.94239299999998</v>
      </c>
      <c r="E42" s="15">
        <v>186.4</v>
      </c>
      <c r="F42" s="15">
        <v>50.3</v>
      </c>
      <c r="G42" s="11">
        <v>0</v>
      </c>
      <c r="H42" s="15">
        <v>0</v>
      </c>
      <c r="I42" s="15">
        <v>0</v>
      </c>
      <c r="J42" s="15">
        <v>0</v>
      </c>
      <c r="K42" s="16">
        <v>0</v>
      </c>
    </row>
    <row r="43" spans="1:11">
      <c r="A43">
        <v>37</v>
      </c>
      <c r="B43" s="11">
        <v>0</v>
      </c>
      <c r="C43" s="15">
        <v>596.70000000000005</v>
      </c>
      <c r="D43" s="15">
        <v>188.9</v>
      </c>
      <c r="E43" s="15">
        <v>104.4</v>
      </c>
      <c r="F43" s="15">
        <v>45.4</v>
      </c>
      <c r="G43" s="11">
        <v>0</v>
      </c>
      <c r="H43" s="15">
        <v>0</v>
      </c>
      <c r="I43" s="15">
        <v>0</v>
      </c>
      <c r="J43" s="15">
        <v>0</v>
      </c>
      <c r="K43" s="16">
        <v>0</v>
      </c>
    </row>
    <row r="44" spans="1:11">
      <c r="A44">
        <v>38</v>
      </c>
      <c r="B44" s="11">
        <v>443.99526900000001</v>
      </c>
      <c r="C44" s="15">
        <v>453.10002900000001</v>
      </c>
      <c r="D44" s="15">
        <v>109</v>
      </c>
      <c r="E44" s="15">
        <v>27.5</v>
      </c>
      <c r="F44" s="15">
        <v>1.2</v>
      </c>
      <c r="G44" s="11">
        <v>0</v>
      </c>
      <c r="H44" s="15">
        <v>0</v>
      </c>
      <c r="I44" s="15">
        <v>0</v>
      </c>
      <c r="J44" s="15">
        <v>0</v>
      </c>
      <c r="K44" s="16">
        <v>0</v>
      </c>
    </row>
    <row r="45" spans="1:11">
      <c r="A45">
        <v>39</v>
      </c>
      <c r="B45" s="11">
        <v>0</v>
      </c>
      <c r="C45" s="15">
        <v>164.5</v>
      </c>
      <c r="D45" s="15">
        <v>34</v>
      </c>
      <c r="E45" s="15">
        <v>6.8000480000000003</v>
      </c>
      <c r="F45" s="15">
        <v>0.8</v>
      </c>
      <c r="G45" s="11">
        <v>0</v>
      </c>
      <c r="H45" s="15">
        <v>0</v>
      </c>
      <c r="I45" s="15">
        <v>0</v>
      </c>
      <c r="J45" s="15">
        <v>0</v>
      </c>
      <c r="K45" s="16">
        <v>0</v>
      </c>
    </row>
    <row r="46" spans="1:11">
      <c r="A46">
        <v>40</v>
      </c>
      <c r="B46" s="11">
        <v>421.55180000000001</v>
      </c>
      <c r="C46" s="15">
        <v>234.5</v>
      </c>
      <c r="D46" s="15">
        <v>48.7</v>
      </c>
      <c r="E46" s="15">
        <v>11.6</v>
      </c>
      <c r="F46" s="15">
        <v>0</v>
      </c>
      <c r="G46" s="11">
        <v>0</v>
      </c>
      <c r="H46" s="15">
        <v>0</v>
      </c>
      <c r="I46" s="15">
        <v>0</v>
      </c>
      <c r="J46" s="15">
        <v>0</v>
      </c>
      <c r="K46" s="16">
        <v>0</v>
      </c>
    </row>
    <row r="47" spans="1:11">
      <c r="A47">
        <v>41</v>
      </c>
      <c r="B47" s="11">
        <v>0</v>
      </c>
      <c r="C47" s="15">
        <v>0</v>
      </c>
      <c r="D47" s="15">
        <v>106.2</v>
      </c>
      <c r="E47" s="15">
        <v>95.1</v>
      </c>
      <c r="F47" s="15">
        <v>41</v>
      </c>
      <c r="G47" s="11">
        <v>0</v>
      </c>
      <c r="H47" s="15">
        <v>0</v>
      </c>
      <c r="I47" s="15">
        <v>0</v>
      </c>
      <c r="J47" s="15">
        <v>0</v>
      </c>
      <c r="K47" s="16">
        <v>0</v>
      </c>
    </row>
    <row r="48" spans="1:11">
      <c r="A48">
        <v>42</v>
      </c>
      <c r="B48" s="11">
        <v>0</v>
      </c>
      <c r="C48" s="15">
        <v>29.89227</v>
      </c>
      <c r="D48" s="15">
        <v>78.300000999999995</v>
      </c>
      <c r="E48" s="15">
        <v>69.8</v>
      </c>
      <c r="F48" s="15">
        <v>15.3</v>
      </c>
      <c r="G48" s="11">
        <v>0</v>
      </c>
      <c r="H48" s="15">
        <v>0</v>
      </c>
      <c r="I48" s="15">
        <v>0</v>
      </c>
      <c r="J48" s="15">
        <v>0</v>
      </c>
      <c r="K48" s="16">
        <v>0</v>
      </c>
    </row>
    <row r="49" spans="1:11">
      <c r="A49">
        <v>43</v>
      </c>
      <c r="B49" s="11">
        <v>0</v>
      </c>
      <c r="C49" s="15">
        <v>28.695319999999999</v>
      </c>
      <c r="D49" s="15">
        <v>5.7</v>
      </c>
      <c r="E49" s="15">
        <v>3.2</v>
      </c>
      <c r="F49" s="15">
        <v>0</v>
      </c>
      <c r="G49" s="11">
        <v>0</v>
      </c>
      <c r="H49" s="15">
        <v>0</v>
      </c>
      <c r="I49" s="15">
        <v>0</v>
      </c>
      <c r="J49" s="15">
        <v>0</v>
      </c>
      <c r="K49" s="16">
        <v>0</v>
      </c>
    </row>
    <row r="50" spans="1:11">
      <c r="A50">
        <v>44</v>
      </c>
      <c r="B50" s="11">
        <v>0</v>
      </c>
      <c r="C50" s="15">
        <v>899.3</v>
      </c>
      <c r="D50" s="15">
        <v>226.00000999999997</v>
      </c>
      <c r="E50" s="15">
        <v>78.400000000000006</v>
      </c>
      <c r="F50" s="15">
        <v>3.8</v>
      </c>
      <c r="G50" s="11">
        <v>0</v>
      </c>
      <c r="H50" s="15">
        <v>0</v>
      </c>
      <c r="I50" s="15">
        <v>0</v>
      </c>
      <c r="J50" s="15">
        <v>0</v>
      </c>
      <c r="K50" s="16">
        <v>0</v>
      </c>
    </row>
    <row r="51" spans="1:11">
      <c r="A51">
        <v>45</v>
      </c>
      <c r="B51" s="11">
        <v>0</v>
      </c>
      <c r="C51" s="15">
        <v>12.8</v>
      </c>
      <c r="D51" s="15">
        <v>4.5999999999999996</v>
      </c>
      <c r="E51" s="15">
        <v>11.2</v>
      </c>
      <c r="F51" s="15">
        <v>2.4</v>
      </c>
      <c r="G51" s="11">
        <v>0</v>
      </c>
      <c r="H51" s="15">
        <v>0</v>
      </c>
      <c r="I51" s="15">
        <v>0</v>
      </c>
      <c r="J51" s="15">
        <v>0</v>
      </c>
      <c r="K51" s="16">
        <v>0</v>
      </c>
    </row>
    <row r="52" spans="1:11">
      <c r="A52">
        <v>46</v>
      </c>
      <c r="B52" s="11">
        <v>0</v>
      </c>
      <c r="C52" s="15">
        <v>824.59996000000012</v>
      </c>
      <c r="D52" s="15">
        <v>202.99995999999999</v>
      </c>
      <c r="E52" s="15">
        <v>64.099999999999994</v>
      </c>
      <c r="F52" s="15">
        <v>11.2</v>
      </c>
      <c r="G52" s="11">
        <v>0</v>
      </c>
      <c r="H52" s="15">
        <v>0</v>
      </c>
      <c r="I52" s="15">
        <v>0</v>
      </c>
      <c r="J52" s="15">
        <v>0</v>
      </c>
      <c r="K52" s="16">
        <v>0</v>
      </c>
    </row>
    <row r="53" spans="1:11">
      <c r="A53">
        <v>47</v>
      </c>
      <c r="B53" s="11">
        <v>0</v>
      </c>
      <c r="C53" s="15">
        <v>0</v>
      </c>
      <c r="D53" s="15">
        <v>8.4</v>
      </c>
      <c r="E53" s="15">
        <v>0.8</v>
      </c>
      <c r="F53" s="15">
        <v>0</v>
      </c>
      <c r="G53" s="11">
        <v>0</v>
      </c>
      <c r="H53" s="15">
        <v>0</v>
      </c>
      <c r="I53" s="15">
        <v>0</v>
      </c>
      <c r="J53" s="15">
        <v>0</v>
      </c>
      <c r="K53" s="16">
        <v>0</v>
      </c>
    </row>
    <row r="54" spans="1:11">
      <c r="A54">
        <v>48</v>
      </c>
      <c r="B54" s="11">
        <v>0</v>
      </c>
      <c r="C54" s="15">
        <v>525.59843999999998</v>
      </c>
      <c r="D54" s="15">
        <v>664.8</v>
      </c>
      <c r="E54" s="15">
        <v>280.3</v>
      </c>
      <c r="F54" s="15">
        <v>89.2</v>
      </c>
      <c r="G54" s="11">
        <v>0</v>
      </c>
      <c r="H54" s="15">
        <v>0</v>
      </c>
      <c r="I54" s="15">
        <v>0</v>
      </c>
      <c r="J54" s="15">
        <v>0</v>
      </c>
      <c r="K54" s="16">
        <v>0</v>
      </c>
    </row>
    <row r="55" spans="1:11">
      <c r="A55">
        <v>49</v>
      </c>
      <c r="B55" s="11">
        <v>0</v>
      </c>
      <c r="C55" s="15">
        <v>56.9</v>
      </c>
      <c r="D55" s="15">
        <v>28.6</v>
      </c>
      <c r="E55" s="15">
        <v>14.4</v>
      </c>
      <c r="F55" s="15">
        <v>2.4</v>
      </c>
      <c r="G55" s="11">
        <v>0</v>
      </c>
      <c r="H55" s="15">
        <v>0</v>
      </c>
      <c r="I55" s="15">
        <v>0</v>
      </c>
      <c r="J55" s="15">
        <v>0</v>
      </c>
      <c r="K55" s="16">
        <v>0</v>
      </c>
    </row>
    <row r="56" spans="1:11">
      <c r="A56">
        <v>50</v>
      </c>
      <c r="B56" s="11">
        <v>0</v>
      </c>
      <c r="C56" s="15">
        <v>127.3</v>
      </c>
      <c r="D56" s="15">
        <v>13.5</v>
      </c>
      <c r="E56" s="15">
        <v>6.2</v>
      </c>
      <c r="F56" s="15">
        <v>0.1</v>
      </c>
      <c r="G56" s="11">
        <v>0</v>
      </c>
      <c r="H56" s="15">
        <v>0</v>
      </c>
      <c r="I56" s="15">
        <v>0</v>
      </c>
      <c r="J56" s="15">
        <v>0</v>
      </c>
      <c r="K56" s="16">
        <v>0</v>
      </c>
    </row>
    <row r="57" spans="1:11">
      <c r="A57">
        <v>51</v>
      </c>
      <c r="B57" s="11">
        <v>0</v>
      </c>
      <c r="C57" s="15">
        <v>220.50002000000001</v>
      </c>
      <c r="D57" s="15">
        <v>69.7</v>
      </c>
      <c r="E57" s="15">
        <v>35.4</v>
      </c>
      <c r="F57" s="15">
        <v>6.9</v>
      </c>
      <c r="G57" s="11">
        <v>0</v>
      </c>
      <c r="H57" s="15">
        <v>0</v>
      </c>
      <c r="I57" s="15">
        <v>0</v>
      </c>
      <c r="J57" s="15">
        <v>0</v>
      </c>
      <c r="K57" s="16">
        <v>0</v>
      </c>
    </row>
    <row r="58" spans="1:11">
      <c r="A58">
        <v>52</v>
      </c>
      <c r="B58" s="11">
        <v>0</v>
      </c>
      <c r="C58" s="15">
        <v>201.40005000000002</v>
      </c>
      <c r="D58" s="15">
        <v>76.400000000000006</v>
      </c>
      <c r="E58" s="15">
        <v>27.800001000000002</v>
      </c>
      <c r="F58" s="15">
        <v>2</v>
      </c>
      <c r="G58" s="11">
        <v>0</v>
      </c>
      <c r="H58" s="15">
        <v>0</v>
      </c>
      <c r="I58" s="15">
        <v>0</v>
      </c>
      <c r="J58" s="15">
        <v>0</v>
      </c>
      <c r="K58" s="16">
        <v>0</v>
      </c>
    </row>
    <row r="59" spans="1:11">
      <c r="A59">
        <v>53</v>
      </c>
      <c r="B59" s="11">
        <v>0</v>
      </c>
      <c r="C59" s="15">
        <v>225.99999000000003</v>
      </c>
      <c r="D59" s="15">
        <v>47.2</v>
      </c>
      <c r="E59" s="15">
        <v>8.6</v>
      </c>
      <c r="F59" s="15">
        <v>1.4</v>
      </c>
      <c r="G59" s="11">
        <v>0</v>
      </c>
      <c r="H59" s="15">
        <v>0</v>
      </c>
      <c r="I59" s="15">
        <v>0</v>
      </c>
      <c r="J59" s="15">
        <v>0</v>
      </c>
      <c r="K59" s="16">
        <v>0</v>
      </c>
    </row>
    <row r="60" spans="1:11">
      <c r="A60">
        <v>54</v>
      </c>
      <c r="B60" s="11">
        <v>125.7397</v>
      </c>
      <c r="C60" s="15">
        <v>584.29999999999995</v>
      </c>
      <c r="D60" s="15">
        <v>240.3</v>
      </c>
      <c r="E60" s="15">
        <v>104.1</v>
      </c>
      <c r="F60" s="15">
        <v>12</v>
      </c>
      <c r="G60" s="11">
        <v>0</v>
      </c>
      <c r="H60" s="15">
        <v>0</v>
      </c>
      <c r="I60" s="15">
        <v>0</v>
      </c>
      <c r="J60" s="15">
        <v>0</v>
      </c>
      <c r="K60" s="16">
        <v>0</v>
      </c>
    </row>
    <row r="61" spans="1:11">
      <c r="A61">
        <v>55</v>
      </c>
      <c r="B61" s="11">
        <v>2.2000000000000002</v>
      </c>
      <c r="C61" s="15">
        <v>406.5</v>
      </c>
      <c r="D61" s="15">
        <v>62.1</v>
      </c>
      <c r="E61" s="15">
        <v>18</v>
      </c>
      <c r="F61" s="15">
        <v>0.6</v>
      </c>
      <c r="G61" s="11">
        <v>0</v>
      </c>
      <c r="H61" s="15">
        <v>0</v>
      </c>
      <c r="I61" s="15">
        <v>0</v>
      </c>
      <c r="J61" s="15">
        <v>0</v>
      </c>
      <c r="K61" s="16">
        <v>0</v>
      </c>
    </row>
    <row r="62" spans="1:11">
      <c r="A62">
        <v>56</v>
      </c>
      <c r="B62" s="11">
        <v>128.6</v>
      </c>
      <c r="C62" s="15">
        <v>21.6</v>
      </c>
      <c r="D62" s="15">
        <v>2.1</v>
      </c>
      <c r="E62" s="15">
        <v>0</v>
      </c>
      <c r="F62" s="15">
        <v>0</v>
      </c>
      <c r="G62" s="11">
        <v>0</v>
      </c>
      <c r="H62" s="15">
        <v>0</v>
      </c>
      <c r="I62" s="15">
        <v>0</v>
      </c>
      <c r="J62" s="15">
        <v>0</v>
      </c>
      <c r="K62" s="16">
        <v>0</v>
      </c>
    </row>
    <row r="63" spans="1:11">
      <c r="A63">
        <v>57</v>
      </c>
      <c r="B63" s="11">
        <v>0</v>
      </c>
      <c r="C63" s="15">
        <v>115.2</v>
      </c>
      <c r="D63" s="15">
        <v>33.1</v>
      </c>
      <c r="E63" s="15">
        <v>16.3</v>
      </c>
      <c r="F63" s="15">
        <v>1.6</v>
      </c>
      <c r="G63" s="11">
        <v>0</v>
      </c>
      <c r="H63" s="15">
        <v>0</v>
      </c>
      <c r="I63" s="15">
        <v>0</v>
      </c>
      <c r="J63" s="15">
        <v>0</v>
      </c>
      <c r="K63" s="16">
        <v>0</v>
      </c>
    </row>
    <row r="64" spans="1:11">
      <c r="A64">
        <v>58</v>
      </c>
      <c r="B64" s="11">
        <v>0</v>
      </c>
      <c r="C64" s="15">
        <v>59.8</v>
      </c>
      <c r="D64" s="15">
        <v>11.7</v>
      </c>
      <c r="E64" s="15">
        <v>1.8</v>
      </c>
      <c r="F64" s="15">
        <v>0</v>
      </c>
      <c r="G64" s="11">
        <v>0</v>
      </c>
      <c r="H64" s="15">
        <v>0</v>
      </c>
      <c r="I64" s="15">
        <v>0</v>
      </c>
      <c r="J64" s="15">
        <v>0</v>
      </c>
      <c r="K64" s="16">
        <v>0</v>
      </c>
    </row>
    <row r="65" spans="1:11">
      <c r="A65">
        <v>59</v>
      </c>
      <c r="B65" s="11">
        <v>0</v>
      </c>
      <c r="C65" s="15">
        <v>305.79417000000001</v>
      </c>
      <c r="D65" s="15">
        <v>122.699985</v>
      </c>
      <c r="E65" s="15">
        <v>53</v>
      </c>
      <c r="F65" s="15">
        <v>4.2</v>
      </c>
      <c r="G65" s="11">
        <v>0</v>
      </c>
      <c r="H65" s="15">
        <v>0</v>
      </c>
      <c r="I65" s="15">
        <v>0</v>
      </c>
      <c r="J65" s="15">
        <v>0</v>
      </c>
      <c r="K65" s="16">
        <v>0</v>
      </c>
    </row>
    <row r="66" spans="1:11">
      <c r="A66">
        <v>60</v>
      </c>
      <c r="B66" s="11">
        <v>0</v>
      </c>
      <c r="C66" s="15">
        <v>0</v>
      </c>
      <c r="D66" s="15">
        <v>64.400000000000006</v>
      </c>
      <c r="E66" s="15">
        <v>47.4</v>
      </c>
      <c r="F66" s="15">
        <v>21.1</v>
      </c>
      <c r="G66" s="11">
        <v>0</v>
      </c>
      <c r="H66" s="15">
        <v>0</v>
      </c>
      <c r="I66" s="15">
        <v>0</v>
      </c>
      <c r="J66" s="15">
        <v>0</v>
      </c>
      <c r="K66" s="16">
        <v>0</v>
      </c>
    </row>
    <row r="67" spans="1:11">
      <c r="A67">
        <v>61</v>
      </c>
      <c r="B67" s="11">
        <v>0</v>
      </c>
      <c r="C67" s="15">
        <v>0</v>
      </c>
      <c r="D67" s="15">
        <v>55.3</v>
      </c>
      <c r="E67" s="15">
        <v>36.700000000000003</v>
      </c>
      <c r="F67" s="15">
        <v>22.6</v>
      </c>
      <c r="G67" s="11">
        <v>0</v>
      </c>
      <c r="H67" s="15">
        <v>0</v>
      </c>
      <c r="I67" s="15">
        <v>0</v>
      </c>
      <c r="J67" s="15">
        <v>0</v>
      </c>
      <c r="K67" s="16">
        <v>0</v>
      </c>
    </row>
    <row r="68" spans="1:11">
      <c r="A68">
        <v>62</v>
      </c>
      <c r="B68" s="11">
        <v>0</v>
      </c>
      <c r="C68" s="15">
        <v>0</v>
      </c>
      <c r="D68" s="15">
        <v>35.200000000000003</v>
      </c>
      <c r="E68" s="15">
        <v>36.6</v>
      </c>
      <c r="F68" s="15">
        <v>12.7</v>
      </c>
      <c r="G68" s="11">
        <v>0</v>
      </c>
      <c r="H68" s="15">
        <v>0</v>
      </c>
      <c r="I68" s="15">
        <v>0</v>
      </c>
      <c r="J68" s="15">
        <v>0</v>
      </c>
      <c r="K68" s="16">
        <v>0</v>
      </c>
    </row>
    <row r="69" spans="1:11">
      <c r="A69">
        <v>63</v>
      </c>
      <c r="B69" s="11">
        <v>0</v>
      </c>
      <c r="C69" s="15">
        <v>0</v>
      </c>
      <c r="D69" s="15">
        <v>0</v>
      </c>
      <c r="E69" s="15">
        <v>589.30000099999995</v>
      </c>
      <c r="F69" s="15">
        <v>141.4</v>
      </c>
      <c r="G69" s="11">
        <v>0</v>
      </c>
      <c r="H69" s="15">
        <v>0</v>
      </c>
      <c r="I69" s="15">
        <v>0</v>
      </c>
      <c r="J69" s="15">
        <v>0</v>
      </c>
      <c r="K69" s="16">
        <v>0</v>
      </c>
    </row>
    <row r="70" spans="1:11">
      <c r="A70">
        <v>64</v>
      </c>
      <c r="B70" s="11">
        <v>0</v>
      </c>
      <c r="C70" s="15">
        <v>0</v>
      </c>
      <c r="D70" s="15">
        <v>0</v>
      </c>
      <c r="E70" s="15">
        <v>2072.8562700000002</v>
      </c>
      <c r="F70" s="15">
        <v>880.79993000000002</v>
      </c>
      <c r="G70" s="11">
        <v>0</v>
      </c>
      <c r="H70" s="15">
        <v>0</v>
      </c>
      <c r="I70" s="15">
        <v>0</v>
      </c>
      <c r="J70" s="15">
        <v>0</v>
      </c>
      <c r="K70" s="16">
        <v>0</v>
      </c>
    </row>
    <row r="71" spans="1:11">
      <c r="A71">
        <v>65</v>
      </c>
      <c r="B71" s="11">
        <v>0</v>
      </c>
      <c r="C71" s="15">
        <v>0</v>
      </c>
      <c r="D71" s="15">
        <v>0</v>
      </c>
      <c r="E71" s="15">
        <v>119.80455000000001</v>
      </c>
      <c r="F71" s="15">
        <v>395.40003999999999</v>
      </c>
      <c r="G71" s="11">
        <v>0</v>
      </c>
      <c r="H71" s="15">
        <v>0</v>
      </c>
      <c r="I71" s="15">
        <v>0</v>
      </c>
      <c r="J71" s="15">
        <v>0</v>
      </c>
      <c r="K71" s="16">
        <v>0</v>
      </c>
    </row>
    <row r="72" spans="1:11">
      <c r="A72">
        <v>66</v>
      </c>
      <c r="B72" s="11">
        <v>0</v>
      </c>
      <c r="C72" s="15">
        <v>0</v>
      </c>
      <c r="D72" s="15">
        <v>0</v>
      </c>
      <c r="E72" s="15">
        <v>0</v>
      </c>
      <c r="F72" s="15">
        <v>107.3</v>
      </c>
      <c r="G72" s="11">
        <v>0</v>
      </c>
      <c r="H72" s="15">
        <v>0</v>
      </c>
      <c r="I72" s="15">
        <v>0</v>
      </c>
      <c r="J72" s="15">
        <v>0</v>
      </c>
      <c r="K72" s="16">
        <v>0</v>
      </c>
    </row>
    <row r="73" spans="1:11">
      <c r="A73">
        <v>67</v>
      </c>
      <c r="B73" s="11">
        <v>0</v>
      </c>
      <c r="C73" s="15">
        <v>0</v>
      </c>
      <c r="D73" s="15">
        <v>0</v>
      </c>
      <c r="E73" s="15">
        <v>24.777550000000002</v>
      </c>
      <c r="F73" s="15">
        <v>452.60007000000002</v>
      </c>
      <c r="G73" s="11">
        <v>0</v>
      </c>
      <c r="H73" s="15">
        <v>0</v>
      </c>
      <c r="I73" s="15">
        <v>0</v>
      </c>
      <c r="J73" s="15">
        <v>0</v>
      </c>
      <c r="K73" s="16">
        <v>0</v>
      </c>
    </row>
    <row r="74" spans="1:11">
      <c r="A74">
        <v>68</v>
      </c>
      <c r="B74" s="11">
        <v>0</v>
      </c>
      <c r="C74" s="15">
        <v>0</v>
      </c>
      <c r="D74" s="15">
        <v>48.361469999999997</v>
      </c>
      <c r="E74" s="15">
        <v>0</v>
      </c>
      <c r="F74" s="15">
        <v>0</v>
      </c>
      <c r="G74" s="11">
        <v>0</v>
      </c>
      <c r="H74" s="15">
        <v>0</v>
      </c>
      <c r="I74" s="15">
        <v>0</v>
      </c>
      <c r="J74" s="15">
        <v>0</v>
      </c>
      <c r="K74" s="16">
        <v>0</v>
      </c>
    </row>
    <row r="75" spans="1:11">
      <c r="A75">
        <v>69</v>
      </c>
      <c r="B75" s="11">
        <v>0</v>
      </c>
      <c r="C75" s="15">
        <v>0</v>
      </c>
      <c r="D75" s="15">
        <v>3.797612</v>
      </c>
      <c r="E75" s="15">
        <v>0.8</v>
      </c>
      <c r="F75" s="15">
        <v>0</v>
      </c>
      <c r="G75" s="11">
        <v>0</v>
      </c>
      <c r="H75" s="15">
        <v>0</v>
      </c>
      <c r="I75" s="15">
        <v>0</v>
      </c>
      <c r="J75" s="15">
        <v>0</v>
      </c>
      <c r="K75" s="16">
        <v>0</v>
      </c>
    </row>
    <row r="76" spans="1:11">
      <c r="A76">
        <v>70</v>
      </c>
      <c r="B76" s="11">
        <v>0</v>
      </c>
      <c r="C76" s="15">
        <v>0</v>
      </c>
      <c r="D76" s="15">
        <v>0</v>
      </c>
      <c r="E76" s="15">
        <v>593.41553599999997</v>
      </c>
      <c r="F76" s="15">
        <v>1087.0999569999999</v>
      </c>
      <c r="G76" s="11">
        <v>0</v>
      </c>
      <c r="H76" s="15">
        <v>0</v>
      </c>
      <c r="I76" s="15">
        <v>0</v>
      </c>
      <c r="J76" s="15">
        <v>0</v>
      </c>
      <c r="K76" s="16">
        <v>0</v>
      </c>
    </row>
    <row r="77" spans="1:11">
      <c r="A77">
        <v>71</v>
      </c>
      <c r="B77" s="11">
        <v>0</v>
      </c>
      <c r="C77" s="15">
        <v>0</v>
      </c>
      <c r="D77" s="15">
        <v>1196.5999999999999</v>
      </c>
      <c r="E77" s="15">
        <v>418.54359800000003</v>
      </c>
      <c r="F77" s="15">
        <v>42.099997000000002</v>
      </c>
      <c r="G77" s="11">
        <v>0</v>
      </c>
      <c r="H77" s="15">
        <v>0</v>
      </c>
      <c r="I77" s="15">
        <v>0</v>
      </c>
      <c r="J77" s="15">
        <v>0</v>
      </c>
      <c r="K77" s="16">
        <v>0</v>
      </c>
    </row>
    <row r="78" spans="1:11">
      <c r="A78">
        <v>72</v>
      </c>
      <c r="B78" s="11">
        <v>0</v>
      </c>
      <c r="C78" s="15">
        <v>0</v>
      </c>
      <c r="D78" s="15">
        <v>0</v>
      </c>
      <c r="E78" s="15">
        <v>0</v>
      </c>
      <c r="F78" s="15">
        <v>110.80000000000001</v>
      </c>
      <c r="G78" s="11">
        <v>0</v>
      </c>
      <c r="H78" s="15">
        <v>0</v>
      </c>
      <c r="I78" s="15">
        <v>0</v>
      </c>
      <c r="J78" s="15">
        <v>0</v>
      </c>
      <c r="K78" s="16">
        <v>0</v>
      </c>
    </row>
    <row r="79" spans="1:11">
      <c r="A79">
        <v>73</v>
      </c>
      <c r="B79" s="11">
        <v>0</v>
      </c>
      <c r="C79" s="15">
        <v>0</v>
      </c>
      <c r="D79" s="15">
        <v>0</v>
      </c>
      <c r="E79" s="15">
        <v>0</v>
      </c>
      <c r="F79" s="15">
        <v>32.1</v>
      </c>
      <c r="G79" s="11">
        <v>0</v>
      </c>
      <c r="H79" s="15">
        <v>0</v>
      </c>
      <c r="I79" s="15">
        <v>0</v>
      </c>
      <c r="J79" s="15">
        <v>0</v>
      </c>
      <c r="K79" s="16">
        <v>0</v>
      </c>
    </row>
    <row r="80" spans="1:11">
      <c r="A80">
        <v>74</v>
      </c>
      <c r="B80" s="11">
        <v>0</v>
      </c>
      <c r="C80" s="15">
        <v>0</v>
      </c>
      <c r="D80" s="15">
        <v>0</v>
      </c>
      <c r="E80" s="15">
        <v>140.66</v>
      </c>
      <c r="F80" s="15">
        <v>9147.8565050000016</v>
      </c>
      <c r="G80" s="11">
        <v>0</v>
      </c>
      <c r="H80" s="15">
        <v>0</v>
      </c>
      <c r="I80" s="15">
        <v>0</v>
      </c>
      <c r="J80" s="15">
        <v>0</v>
      </c>
      <c r="K80" s="16">
        <v>0</v>
      </c>
    </row>
    <row r="81" spans="1:11">
      <c r="A81">
        <v>75</v>
      </c>
      <c r="B81" s="11">
        <v>0</v>
      </c>
      <c r="C81" s="15">
        <v>0</v>
      </c>
      <c r="D81" s="15">
        <v>12.338010000000001</v>
      </c>
      <c r="E81" s="15">
        <v>24.7</v>
      </c>
      <c r="F81" s="15">
        <v>12.2</v>
      </c>
      <c r="G81" s="11">
        <v>0</v>
      </c>
      <c r="H81" s="15">
        <v>0</v>
      </c>
      <c r="I81" s="15">
        <v>0</v>
      </c>
      <c r="J81" s="15">
        <v>0</v>
      </c>
      <c r="K81" s="16">
        <v>0</v>
      </c>
    </row>
    <row r="82" spans="1:11">
      <c r="A82">
        <v>76</v>
      </c>
      <c r="B82" s="11">
        <v>0</v>
      </c>
      <c r="C82" s="15">
        <v>0</v>
      </c>
      <c r="D82" s="15">
        <v>0</v>
      </c>
      <c r="E82" s="15">
        <v>1.2</v>
      </c>
      <c r="F82" s="15">
        <v>0</v>
      </c>
      <c r="G82" s="11">
        <v>0</v>
      </c>
      <c r="H82" s="15">
        <v>0</v>
      </c>
      <c r="I82" s="15">
        <v>0</v>
      </c>
      <c r="J82" s="15">
        <v>0</v>
      </c>
      <c r="K82" s="16">
        <v>0</v>
      </c>
    </row>
    <row r="83" spans="1:11">
      <c r="A83">
        <v>77</v>
      </c>
      <c r="B83" s="11">
        <v>0</v>
      </c>
      <c r="C83" s="15">
        <v>0</v>
      </c>
      <c r="D83" s="15">
        <v>30.299999999999997</v>
      </c>
      <c r="E83" s="15">
        <v>28.3</v>
      </c>
      <c r="F83" s="15">
        <v>4.8</v>
      </c>
      <c r="G83" s="11">
        <v>0</v>
      </c>
      <c r="H83" s="15">
        <v>0</v>
      </c>
      <c r="I83" s="15">
        <v>0</v>
      </c>
      <c r="J83" s="15">
        <v>0</v>
      </c>
      <c r="K83" s="16">
        <v>0</v>
      </c>
    </row>
    <row r="84" spans="1:11">
      <c r="A84">
        <v>78</v>
      </c>
      <c r="B84" s="11">
        <v>0</v>
      </c>
      <c r="C84" s="15">
        <v>0</v>
      </c>
      <c r="D84" s="15">
        <v>0</v>
      </c>
      <c r="E84" s="15">
        <v>2.7121200000000001</v>
      </c>
      <c r="F84" s="15">
        <v>168.54987199999999</v>
      </c>
      <c r="G84" s="11">
        <v>0</v>
      </c>
      <c r="H84" s="15">
        <v>0</v>
      </c>
      <c r="I84" s="15">
        <v>0</v>
      </c>
      <c r="J84" s="15">
        <v>0</v>
      </c>
      <c r="K84" s="16">
        <v>0</v>
      </c>
    </row>
    <row r="85" spans="1:11">
      <c r="A85">
        <v>79</v>
      </c>
      <c r="B85" s="11">
        <v>0</v>
      </c>
      <c r="C85" s="15">
        <v>0</v>
      </c>
      <c r="D85" s="15">
        <v>0</v>
      </c>
      <c r="E85" s="15">
        <v>175.59997999999999</v>
      </c>
      <c r="F85" s="15">
        <v>156</v>
      </c>
      <c r="G85" s="11">
        <v>0</v>
      </c>
      <c r="H85" s="15">
        <v>0</v>
      </c>
      <c r="I85" s="15">
        <v>0</v>
      </c>
      <c r="J85" s="15">
        <v>0</v>
      </c>
      <c r="K85" s="16">
        <v>0</v>
      </c>
    </row>
    <row r="86" spans="1:11">
      <c r="A86">
        <v>80</v>
      </c>
      <c r="B86" s="11">
        <v>0</v>
      </c>
      <c r="C86" s="15">
        <v>0</v>
      </c>
      <c r="D86" s="15">
        <v>0</v>
      </c>
      <c r="E86" s="15">
        <v>0</v>
      </c>
      <c r="F86" s="15">
        <v>95.199999999999989</v>
      </c>
      <c r="G86" s="11">
        <v>0</v>
      </c>
      <c r="H86" s="15">
        <v>0</v>
      </c>
      <c r="I86" s="15">
        <v>0</v>
      </c>
      <c r="J86" s="15">
        <v>0</v>
      </c>
      <c r="K86" s="16">
        <v>0</v>
      </c>
    </row>
    <row r="87" spans="1:11">
      <c r="A87">
        <v>81</v>
      </c>
      <c r="B87" s="11">
        <v>0</v>
      </c>
      <c r="C87" s="15">
        <v>0</v>
      </c>
      <c r="D87" s="15">
        <v>40.5</v>
      </c>
      <c r="E87" s="15">
        <v>93.929500000000004</v>
      </c>
      <c r="F87" s="15">
        <v>109.6</v>
      </c>
      <c r="G87" s="11">
        <v>0</v>
      </c>
      <c r="H87" s="15">
        <v>0</v>
      </c>
      <c r="I87" s="15">
        <v>0</v>
      </c>
      <c r="J87" s="15">
        <v>0</v>
      </c>
      <c r="K87" s="16">
        <v>0</v>
      </c>
    </row>
    <row r="88" spans="1:11">
      <c r="A88">
        <v>82</v>
      </c>
      <c r="B88" s="11">
        <v>0</v>
      </c>
      <c r="C88" s="15">
        <v>0</v>
      </c>
      <c r="D88" s="15">
        <v>0</v>
      </c>
      <c r="E88" s="15">
        <v>0</v>
      </c>
      <c r="F88" s="15">
        <v>26</v>
      </c>
      <c r="G88" s="11">
        <v>0</v>
      </c>
      <c r="H88" s="15">
        <v>0</v>
      </c>
      <c r="I88" s="15">
        <v>0</v>
      </c>
      <c r="J88" s="15">
        <v>0</v>
      </c>
      <c r="K88" s="16">
        <v>0</v>
      </c>
    </row>
    <row r="89" spans="1:11">
      <c r="A89">
        <v>83</v>
      </c>
      <c r="B89" s="11">
        <v>0</v>
      </c>
      <c r="C89" s="15">
        <v>0</v>
      </c>
      <c r="D89" s="15">
        <v>0</v>
      </c>
      <c r="E89" s="15">
        <v>0</v>
      </c>
      <c r="F89" s="15">
        <v>9.4</v>
      </c>
      <c r="G89" s="11">
        <v>0</v>
      </c>
      <c r="H89" s="15">
        <v>0</v>
      </c>
      <c r="I89" s="15">
        <v>0</v>
      </c>
      <c r="J89" s="15">
        <v>0</v>
      </c>
      <c r="K89" s="16">
        <v>0</v>
      </c>
    </row>
    <row r="90" spans="1:11">
      <c r="A90">
        <v>84</v>
      </c>
      <c r="B90" s="11">
        <v>0</v>
      </c>
      <c r="C90" s="15">
        <v>0</v>
      </c>
      <c r="D90" s="15">
        <v>88.1</v>
      </c>
      <c r="E90" s="15">
        <v>46.1</v>
      </c>
      <c r="F90" s="15">
        <v>17</v>
      </c>
      <c r="G90" s="11">
        <v>0</v>
      </c>
      <c r="H90" s="15">
        <v>0</v>
      </c>
      <c r="I90" s="15">
        <v>0</v>
      </c>
      <c r="J90" s="15">
        <v>0</v>
      </c>
      <c r="K90" s="16">
        <v>0</v>
      </c>
    </row>
    <row r="91" spans="1:11">
      <c r="A91">
        <v>85</v>
      </c>
      <c r="B91" s="11">
        <v>0</v>
      </c>
      <c r="C91" s="15">
        <v>61.15</v>
      </c>
      <c r="D91" s="15">
        <v>37.264155000000002</v>
      </c>
      <c r="E91" s="15">
        <v>17.899999999999999</v>
      </c>
      <c r="F91" s="15">
        <v>0</v>
      </c>
      <c r="G91" s="11">
        <v>0</v>
      </c>
      <c r="H91" s="15">
        <v>0</v>
      </c>
      <c r="I91" s="15">
        <v>0</v>
      </c>
      <c r="J91" s="15">
        <v>0</v>
      </c>
      <c r="K91" s="16">
        <v>0</v>
      </c>
    </row>
    <row r="92" spans="1:11">
      <c r="A92">
        <v>86</v>
      </c>
      <c r="B92" s="11">
        <v>0</v>
      </c>
      <c r="C92" s="15">
        <v>1015.7278799999999</v>
      </c>
      <c r="D92" s="15">
        <v>0.4</v>
      </c>
      <c r="E92" s="15">
        <v>0</v>
      </c>
      <c r="F92" s="15">
        <v>0</v>
      </c>
      <c r="G92" s="11">
        <v>0</v>
      </c>
      <c r="H92" s="15">
        <v>0</v>
      </c>
      <c r="I92" s="15">
        <v>0</v>
      </c>
      <c r="J92" s="15">
        <v>0</v>
      </c>
      <c r="K92" s="16">
        <v>0</v>
      </c>
    </row>
    <row r="93" spans="1:11">
      <c r="A93">
        <v>87</v>
      </c>
      <c r="B93" s="11">
        <v>0</v>
      </c>
      <c r="C93" s="15">
        <v>0</v>
      </c>
      <c r="D93" s="15">
        <v>0</v>
      </c>
      <c r="E93" s="15">
        <v>123.04421000000001</v>
      </c>
      <c r="F93" s="15">
        <v>108.50681</v>
      </c>
      <c r="G93" s="11">
        <v>0</v>
      </c>
      <c r="H93" s="15">
        <v>0</v>
      </c>
      <c r="I93" s="15">
        <v>0</v>
      </c>
      <c r="J93" s="15">
        <v>0</v>
      </c>
      <c r="K93" s="16">
        <v>0</v>
      </c>
    </row>
    <row r="94" spans="1:11">
      <c r="A94">
        <v>88</v>
      </c>
      <c r="B94" s="11">
        <v>0</v>
      </c>
      <c r="C94" s="15">
        <v>332.5</v>
      </c>
      <c r="D94" s="15">
        <v>194.09997999999999</v>
      </c>
      <c r="E94" s="15">
        <v>75.400000000000006</v>
      </c>
      <c r="F94" s="15">
        <v>4.0999999999999996</v>
      </c>
      <c r="G94" s="11">
        <v>0</v>
      </c>
      <c r="H94" s="15">
        <v>0</v>
      </c>
      <c r="I94" s="15">
        <v>0</v>
      </c>
      <c r="J94" s="15">
        <v>0</v>
      </c>
      <c r="K94" s="16">
        <v>0</v>
      </c>
    </row>
    <row r="95" spans="1:11">
      <c r="A95">
        <v>89</v>
      </c>
      <c r="B95" s="11">
        <v>0</v>
      </c>
      <c r="C95" s="15">
        <v>0</v>
      </c>
      <c r="D95" s="15">
        <v>28.5</v>
      </c>
      <c r="E95" s="15">
        <v>7</v>
      </c>
      <c r="F95" s="15">
        <v>0.2</v>
      </c>
      <c r="G95" s="11">
        <v>0</v>
      </c>
      <c r="H95" s="15">
        <v>0</v>
      </c>
      <c r="I95" s="15">
        <v>0</v>
      </c>
      <c r="J95" s="15">
        <v>0</v>
      </c>
      <c r="K95" s="16">
        <v>0</v>
      </c>
    </row>
    <row r="96" spans="1:11">
      <c r="A96">
        <v>90</v>
      </c>
      <c r="B96" s="11">
        <v>0</v>
      </c>
      <c r="C96" s="15">
        <v>61.7</v>
      </c>
      <c r="D96" s="15">
        <v>444.39998000000003</v>
      </c>
      <c r="E96" s="15">
        <v>213.30002999999999</v>
      </c>
      <c r="F96" s="15">
        <v>49.4</v>
      </c>
      <c r="G96" s="11">
        <v>0</v>
      </c>
      <c r="H96" s="15">
        <v>0</v>
      </c>
      <c r="I96" s="15">
        <v>0</v>
      </c>
      <c r="J96" s="15">
        <v>0</v>
      </c>
      <c r="K96" s="16">
        <v>0</v>
      </c>
    </row>
    <row r="97" spans="1:11">
      <c r="A97">
        <v>91</v>
      </c>
      <c r="B97" s="11">
        <v>0</v>
      </c>
      <c r="C97" s="15">
        <v>0</v>
      </c>
      <c r="D97" s="15">
        <v>83.29504</v>
      </c>
      <c r="E97" s="15">
        <v>127.4</v>
      </c>
      <c r="F97" s="15">
        <v>132.79999600000002</v>
      </c>
      <c r="G97" s="11">
        <v>0</v>
      </c>
      <c r="H97" s="15">
        <v>0</v>
      </c>
      <c r="I97" s="15">
        <v>0</v>
      </c>
      <c r="J97" s="15">
        <v>0</v>
      </c>
      <c r="K97" s="16">
        <v>0</v>
      </c>
    </row>
    <row r="98" spans="1:11">
      <c r="A98">
        <v>92</v>
      </c>
      <c r="B98" s="11">
        <v>0</v>
      </c>
      <c r="C98" s="15">
        <v>0</v>
      </c>
      <c r="D98" s="15">
        <v>1438.9164600000001</v>
      </c>
      <c r="E98" s="15">
        <v>354.9</v>
      </c>
      <c r="F98" s="15">
        <v>10.5</v>
      </c>
      <c r="G98" s="11">
        <v>0</v>
      </c>
      <c r="H98" s="15">
        <v>0</v>
      </c>
      <c r="I98" s="15">
        <v>0</v>
      </c>
      <c r="J98" s="15">
        <v>0</v>
      </c>
      <c r="K98" s="16">
        <v>0</v>
      </c>
    </row>
    <row r="99" spans="1:11">
      <c r="A99">
        <v>93</v>
      </c>
      <c r="B99" s="11">
        <v>0</v>
      </c>
      <c r="C99" s="15">
        <v>0</v>
      </c>
      <c r="D99" s="15">
        <v>481.5856</v>
      </c>
      <c r="E99" s="15">
        <v>404.29994099999999</v>
      </c>
      <c r="F99" s="15">
        <v>184.3</v>
      </c>
      <c r="G99" s="11">
        <v>0</v>
      </c>
      <c r="H99" s="15">
        <v>0</v>
      </c>
      <c r="I99" s="15">
        <v>0</v>
      </c>
      <c r="J99" s="15">
        <v>0</v>
      </c>
      <c r="K99" s="16">
        <v>0</v>
      </c>
    </row>
    <row r="100" spans="1:11">
      <c r="A100">
        <v>94</v>
      </c>
      <c r="B100" s="11">
        <v>1.4</v>
      </c>
      <c r="C100" s="15">
        <v>0.4</v>
      </c>
      <c r="D100" s="15">
        <v>0.2</v>
      </c>
      <c r="E100" s="15">
        <v>0</v>
      </c>
      <c r="F100" s="15">
        <v>0</v>
      </c>
      <c r="G100" s="11">
        <v>0</v>
      </c>
      <c r="H100" s="15">
        <v>0</v>
      </c>
      <c r="I100" s="15">
        <v>0</v>
      </c>
      <c r="J100" s="15">
        <v>0</v>
      </c>
      <c r="K100" s="16">
        <v>0</v>
      </c>
    </row>
    <row r="101" spans="1:11">
      <c r="A101">
        <v>95</v>
      </c>
      <c r="B101" s="11">
        <v>0</v>
      </c>
      <c r="C101" s="15">
        <v>0</v>
      </c>
      <c r="D101" s="15">
        <v>0</v>
      </c>
      <c r="E101" s="15">
        <v>115.309718</v>
      </c>
      <c r="F101" s="15">
        <v>1472.0000930000003</v>
      </c>
      <c r="G101" s="11">
        <v>0</v>
      </c>
      <c r="H101" s="15">
        <v>0</v>
      </c>
      <c r="I101" s="15">
        <v>0</v>
      </c>
      <c r="J101" s="15">
        <v>0</v>
      </c>
      <c r="K101" s="16">
        <v>0</v>
      </c>
    </row>
    <row r="102" spans="1:11">
      <c r="A102">
        <v>96</v>
      </c>
      <c r="B102" s="11">
        <v>0</v>
      </c>
      <c r="C102" s="15">
        <v>0</v>
      </c>
      <c r="D102" s="15">
        <v>27.295750000000002</v>
      </c>
      <c r="E102" s="15">
        <v>64.7</v>
      </c>
      <c r="F102" s="15">
        <v>0</v>
      </c>
      <c r="G102" s="11">
        <v>0</v>
      </c>
      <c r="H102" s="15">
        <v>0</v>
      </c>
      <c r="I102" s="15">
        <v>0</v>
      </c>
      <c r="J102" s="15">
        <v>0</v>
      </c>
      <c r="K102" s="16">
        <v>0</v>
      </c>
    </row>
    <row r="103" spans="1:11">
      <c r="A103">
        <v>97</v>
      </c>
      <c r="B103" s="11">
        <v>0</v>
      </c>
      <c r="C103" s="15">
        <v>0</v>
      </c>
      <c r="D103" s="15">
        <v>219.78077999999999</v>
      </c>
      <c r="E103" s="15">
        <v>0</v>
      </c>
      <c r="F103" s="15">
        <v>0</v>
      </c>
      <c r="G103" s="11">
        <v>0</v>
      </c>
      <c r="H103" s="15">
        <v>0</v>
      </c>
      <c r="I103" s="15">
        <v>0</v>
      </c>
      <c r="J103" s="15">
        <v>0</v>
      </c>
      <c r="K103" s="16">
        <v>0</v>
      </c>
    </row>
    <row r="104" spans="1:11">
      <c r="A104">
        <v>98</v>
      </c>
      <c r="B104" s="11">
        <v>0</v>
      </c>
      <c r="C104" s="15">
        <v>0</v>
      </c>
      <c r="D104" s="15">
        <v>62.498660000000001</v>
      </c>
      <c r="E104" s="15">
        <v>0</v>
      </c>
      <c r="F104" s="15">
        <v>0</v>
      </c>
      <c r="G104" s="11">
        <v>0</v>
      </c>
      <c r="H104" s="15">
        <v>0</v>
      </c>
      <c r="I104" s="15">
        <v>0</v>
      </c>
      <c r="J104" s="15">
        <v>0</v>
      </c>
      <c r="K104" s="16">
        <v>0</v>
      </c>
    </row>
    <row r="105" spans="1:11">
      <c r="A105">
        <v>99</v>
      </c>
      <c r="B105" s="11">
        <v>0</v>
      </c>
      <c r="C105" s="15">
        <v>0</v>
      </c>
      <c r="D105" s="15">
        <v>645.98470000000009</v>
      </c>
      <c r="E105" s="15">
        <v>0</v>
      </c>
      <c r="F105" s="15">
        <v>0</v>
      </c>
      <c r="G105" s="11">
        <v>0</v>
      </c>
      <c r="H105" s="15">
        <v>0</v>
      </c>
      <c r="I105" s="15">
        <v>0</v>
      </c>
      <c r="J105" s="15">
        <v>0</v>
      </c>
      <c r="K105" s="16">
        <v>0</v>
      </c>
    </row>
    <row r="106" spans="1:11">
      <c r="A106">
        <v>100</v>
      </c>
      <c r="B106" s="11">
        <v>0</v>
      </c>
      <c r="C106" s="15">
        <v>0</v>
      </c>
      <c r="D106" s="15">
        <v>131.51822000000001</v>
      </c>
      <c r="E106" s="15">
        <v>0</v>
      </c>
      <c r="F106" s="15">
        <v>0</v>
      </c>
      <c r="G106" s="11">
        <v>0</v>
      </c>
      <c r="H106" s="15">
        <v>0</v>
      </c>
      <c r="I106" s="15">
        <v>0</v>
      </c>
      <c r="J106" s="15">
        <v>0</v>
      </c>
      <c r="K106" s="16">
        <v>0</v>
      </c>
    </row>
    <row r="107" spans="1:11">
      <c r="A107">
        <v>101</v>
      </c>
      <c r="B107" s="11">
        <v>0</v>
      </c>
      <c r="C107" s="15">
        <v>0</v>
      </c>
      <c r="D107" s="15">
        <v>0</v>
      </c>
      <c r="E107" s="15">
        <v>878.50474999999994</v>
      </c>
      <c r="F107" s="15">
        <v>0</v>
      </c>
      <c r="G107" s="11">
        <v>0</v>
      </c>
      <c r="H107" s="15">
        <v>0</v>
      </c>
      <c r="I107" s="15">
        <v>0</v>
      </c>
      <c r="J107" s="15">
        <v>0</v>
      </c>
      <c r="K107" s="16">
        <v>0</v>
      </c>
    </row>
    <row r="108" spans="1:11">
      <c r="A108">
        <v>102</v>
      </c>
      <c r="B108" s="11">
        <v>0</v>
      </c>
      <c r="C108" s="15">
        <v>0</v>
      </c>
      <c r="D108" s="15">
        <v>314.91921000000002</v>
      </c>
      <c r="E108" s="15">
        <v>10</v>
      </c>
      <c r="F108" s="15">
        <v>0</v>
      </c>
      <c r="G108" s="11">
        <v>0</v>
      </c>
      <c r="H108" s="15">
        <v>0</v>
      </c>
      <c r="I108" s="15">
        <v>0</v>
      </c>
      <c r="J108" s="15">
        <v>0</v>
      </c>
      <c r="K108" s="16">
        <v>0</v>
      </c>
    </row>
    <row r="109" spans="1:11">
      <c r="A109">
        <v>103</v>
      </c>
      <c r="B109" s="11">
        <v>0</v>
      </c>
      <c r="C109" s="15">
        <v>0</v>
      </c>
      <c r="D109" s="15">
        <v>0</v>
      </c>
      <c r="E109" s="15">
        <v>0</v>
      </c>
      <c r="F109" s="15">
        <v>0</v>
      </c>
      <c r="G109" s="11">
        <v>0</v>
      </c>
      <c r="H109" s="15">
        <v>0</v>
      </c>
      <c r="I109" s="15">
        <v>0</v>
      </c>
      <c r="J109" s="15">
        <v>0</v>
      </c>
      <c r="K109" s="16">
        <v>0</v>
      </c>
    </row>
    <row r="110" spans="1:11">
      <c r="A110">
        <v>104</v>
      </c>
      <c r="B110" s="11">
        <v>0</v>
      </c>
      <c r="C110" s="15">
        <v>0</v>
      </c>
      <c r="D110" s="15">
        <v>0</v>
      </c>
      <c r="E110" s="15">
        <v>2.4</v>
      </c>
      <c r="F110" s="15">
        <v>0</v>
      </c>
      <c r="G110" s="11">
        <v>0</v>
      </c>
      <c r="H110" s="15">
        <v>0</v>
      </c>
      <c r="I110" s="15">
        <v>0</v>
      </c>
      <c r="J110" s="15">
        <v>0</v>
      </c>
      <c r="K110" s="16">
        <v>0</v>
      </c>
    </row>
    <row r="111" spans="1:11">
      <c r="A111">
        <v>105</v>
      </c>
      <c r="B111" s="11">
        <v>0</v>
      </c>
      <c r="C111" s="15">
        <v>0</v>
      </c>
      <c r="D111" s="15">
        <v>0</v>
      </c>
      <c r="E111" s="15">
        <v>338.278637</v>
      </c>
      <c r="F111" s="15">
        <v>0</v>
      </c>
      <c r="G111" s="11">
        <v>0</v>
      </c>
      <c r="H111" s="15">
        <v>0</v>
      </c>
      <c r="I111" s="15">
        <v>0</v>
      </c>
      <c r="J111" s="15">
        <v>0</v>
      </c>
      <c r="K111" s="16">
        <v>0</v>
      </c>
    </row>
    <row r="112" spans="1:11">
      <c r="A112">
        <v>106</v>
      </c>
      <c r="B112" s="11">
        <v>0</v>
      </c>
      <c r="C112" s="15">
        <v>0</v>
      </c>
      <c r="D112" s="15">
        <v>34.099997999999999</v>
      </c>
      <c r="E112" s="15">
        <v>91.2</v>
      </c>
      <c r="F112" s="15">
        <v>0</v>
      </c>
      <c r="G112" s="11">
        <v>0</v>
      </c>
      <c r="H112" s="15">
        <v>0</v>
      </c>
      <c r="I112" s="15">
        <v>0</v>
      </c>
      <c r="J112" s="15">
        <v>0</v>
      </c>
      <c r="K112" s="16">
        <v>0</v>
      </c>
    </row>
    <row r="113" spans="1:11">
      <c r="A113">
        <v>107</v>
      </c>
      <c r="B113" s="11">
        <v>0</v>
      </c>
      <c r="C113" s="15">
        <v>0</v>
      </c>
      <c r="D113" s="15">
        <v>0</v>
      </c>
      <c r="E113" s="15">
        <v>0</v>
      </c>
      <c r="F113" s="15">
        <v>0</v>
      </c>
      <c r="G113" s="11">
        <v>0</v>
      </c>
      <c r="H113" s="15">
        <v>0</v>
      </c>
      <c r="I113" s="15">
        <v>0</v>
      </c>
      <c r="J113" s="15">
        <v>0</v>
      </c>
      <c r="K113" s="16">
        <v>0</v>
      </c>
    </row>
    <row r="114" spans="1:11">
      <c r="A114">
        <v>108</v>
      </c>
      <c r="B114" s="11">
        <v>0</v>
      </c>
      <c r="C114" s="15">
        <v>0</v>
      </c>
      <c r="D114" s="15">
        <v>0</v>
      </c>
      <c r="E114" s="15">
        <v>1051.3692719999999</v>
      </c>
      <c r="F114" s="15">
        <v>0</v>
      </c>
      <c r="G114" s="11">
        <v>0</v>
      </c>
      <c r="H114" s="15">
        <v>0</v>
      </c>
      <c r="I114" s="15">
        <v>0</v>
      </c>
      <c r="J114" s="15">
        <v>0</v>
      </c>
      <c r="K114" s="16">
        <v>0</v>
      </c>
    </row>
    <row r="115" spans="1:11">
      <c r="A115">
        <v>109</v>
      </c>
      <c r="B115" s="11">
        <v>0</v>
      </c>
      <c r="C115" s="15">
        <v>0</v>
      </c>
      <c r="D115" s="15">
        <v>677.56007</v>
      </c>
      <c r="E115" s="15">
        <v>348</v>
      </c>
      <c r="F115" s="15">
        <v>0</v>
      </c>
      <c r="G115" s="11">
        <v>0</v>
      </c>
      <c r="H115" s="15">
        <v>0</v>
      </c>
      <c r="I115" s="15">
        <v>0</v>
      </c>
      <c r="J115" s="15">
        <v>0</v>
      </c>
      <c r="K115" s="16">
        <v>0</v>
      </c>
    </row>
    <row r="116" spans="1:11">
      <c r="A116">
        <v>110</v>
      </c>
      <c r="B116" s="11">
        <v>0</v>
      </c>
      <c r="C116" s="15">
        <v>0</v>
      </c>
      <c r="D116" s="15">
        <v>0</v>
      </c>
      <c r="E116" s="15">
        <v>1892.2088610000001</v>
      </c>
      <c r="F116" s="15">
        <v>0</v>
      </c>
      <c r="G116" s="11">
        <v>0</v>
      </c>
      <c r="H116" s="15">
        <v>0</v>
      </c>
      <c r="I116" s="15">
        <v>0</v>
      </c>
      <c r="J116" s="15">
        <v>0</v>
      </c>
      <c r="K116" s="16">
        <v>0</v>
      </c>
    </row>
    <row r="117" spans="1:11">
      <c r="A117">
        <v>111</v>
      </c>
      <c r="B117" s="11">
        <v>0</v>
      </c>
      <c r="C117" s="15">
        <v>0</v>
      </c>
      <c r="D117" s="15">
        <v>347.50004000000001</v>
      </c>
      <c r="E117" s="15">
        <v>0</v>
      </c>
      <c r="F117" s="15">
        <v>0</v>
      </c>
      <c r="G117" s="11">
        <v>0</v>
      </c>
      <c r="H117" s="15">
        <v>0</v>
      </c>
      <c r="I117" s="15">
        <v>0</v>
      </c>
      <c r="J117" s="15">
        <v>0</v>
      </c>
      <c r="K117" s="16">
        <v>0</v>
      </c>
    </row>
    <row r="118" spans="1:11">
      <c r="A118">
        <v>112</v>
      </c>
      <c r="B118" s="11">
        <v>0</v>
      </c>
      <c r="C118" s="15">
        <v>0</v>
      </c>
      <c r="D118" s="15">
        <v>1484.4840409999999</v>
      </c>
      <c r="E118" s="15">
        <v>195.6</v>
      </c>
      <c r="F118" s="15">
        <v>0</v>
      </c>
      <c r="G118" s="11">
        <v>0</v>
      </c>
      <c r="H118" s="15">
        <v>0</v>
      </c>
      <c r="I118" s="15">
        <v>0</v>
      </c>
      <c r="J118" s="15">
        <v>0</v>
      </c>
      <c r="K118" s="16">
        <v>0</v>
      </c>
    </row>
    <row r="119" spans="1:11">
      <c r="A119">
        <v>113</v>
      </c>
      <c r="B119" s="11">
        <v>0</v>
      </c>
      <c r="C119" s="15">
        <v>0</v>
      </c>
      <c r="D119" s="15">
        <v>10</v>
      </c>
      <c r="E119" s="15">
        <v>0</v>
      </c>
      <c r="F119" s="15">
        <v>0</v>
      </c>
      <c r="G119" s="11">
        <v>0</v>
      </c>
      <c r="H119" s="15">
        <v>0</v>
      </c>
      <c r="I119" s="15">
        <v>0</v>
      </c>
      <c r="J119" s="15">
        <v>0</v>
      </c>
      <c r="K119" s="16">
        <v>0</v>
      </c>
    </row>
    <row r="120" spans="1:11">
      <c r="A120">
        <v>114</v>
      </c>
      <c r="B120" s="11">
        <v>0</v>
      </c>
      <c r="C120" s="15">
        <v>10.45</v>
      </c>
      <c r="D120" s="15">
        <v>0</v>
      </c>
      <c r="E120" s="15">
        <v>55.699997999999994</v>
      </c>
      <c r="F120" s="15">
        <v>0.2</v>
      </c>
      <c r="G120" s="11">
        <v>0</v>
      </c>
      <c r="H120" s="15">
        <v>0</v>
      </c>
      <c r="I120" s="15">
        <v>0</v>
      </c>
      <c r="J120" s="15">
        <v>0</v>
      </c>
      <c r="K120" s="16">
        <v>0</v>
      </c>
    </row>
    <row r="121" spans="1:11">
      <c r="A121">
        <v>115</v>
      </c>
      <c r="B121" s="11">
        <v>0</v>
      </c>
      <c r="C121" s="15">
        <v>0</v>
      </c>
      <c r="D121" s="15">
        <v>41.536366999999998</v>
      </c>
      <c r="E121" s="15">
        <v>5</v>
      </c>
      <c r="F121" s="15">
        <v>0</v>
      </c>
      <c r="G121" s="11">
        <v>0</v>
      </c>
      <c r="H121" s="15">
        <v>0</v>
      </c>
      <c r="I121" s="15">
        <v>0</v>
      </c>
      <c r="J121" s="15">
        <v>0</v>
      </c>
      <c r="K121" s="16">
        <v>0</v>
      </c>
    </row>
    <row r="122" spans="1:11">
      <c r="A122">
        <v>116</v>
      </c>
      <c r="B122" s="11">
        <v>0</v>
      </c>
      <c r="C122" s="15">
        <v>1.5</v>
      </c>
      <c r="D122" s="15">
        <v>607.84998999999993</v>
      </c>
      <c r="E122" s="15">
        <v>1.4</v>
      </c>
      <c r="F122" s="15">
        <v>0</v>
      </c>
      <c r="G122" s="11">
        <v>0</v>
      </c>
      <c r="H122" s="15">
        <v>0</v>
      </c>
      <c r="I122" s="15">
        <v>0</v>
      </c>
      <c r="J122" s="15">
        <v>0</v>
      </c>
      <c r="K122" s="16">
        <v>0</v>
      </c>
    </row>
    <row r="123" spans="1:11">
      <c r="A123">
        <v>117</v>
      </c>
      <c r="B123" s="11">
        <v>0</v>
      </c>
      <c r="C123" s="15">
        <v>0</v>
      </c>
      <c r="D123" s="15">
        <v>2042.5000259999997</v>
      </c>
      <c r="E123" s="15">
        <v>0</v>
      </c>
      <c r="F123" s="15">
        <v>0</v>
      </c>
      <c r="G123" s="11">
        <v>0</v>
      </c>
      <c r="H123" s="15">
        <v>0</v>
      </c>
      <c r="I123" s="15">
        <v>0</v>
      </c>
      <c r="J123" s="15">
        <v>0</v>
      </c>
      <c r="K123" s="16">
        <v>0</v>
      </c>
    </row>
    <row r="124" spans="1:11">
      <c r="A124">
        <v>118</v>
      </c>
      <c r="B124" s="11">
        <v>0</v>
      </c>
      <c r="C124" s="15">
        <v>0</v>
      </c>
      <c r="D124" s="15">
        <v>4723.6001290000004</v>
      </c>
      <c r="E124" s="15">
        <v>0</v>
      </c>
      <c r="F124" s="15">
        <v>0</v>
      </c>
      <c r="G124" s="11">
        <v>0</v>
      </c>
      <c r="H124" s="15">
        <v>0</v>
      </c>
      <c r="I124" s="15">
        <v>0</v>
      </c>
      <c r="J124" s="15">
        <v>0</v>
      </c>
      <c r="K124" s="16">
        <v>0</v>
      </c>
    </row>
    <row r="125" spans="1:11">
      <c r="A125">
        <v>119</v>
      </c>
      <c r="B125" s="11">
        <v>1.32</v>
      </c>
      <c r="C125" s="15">
        <v>272.40109999999999</v>
      </c>
      <c r="D125" s="15">
        <v>116.4</v>
      </c>
      <c r="E125" s="15">
        <v>0.4</v>
      </c>
      <c r="F125" s="15">
        <v>0</v>
      </c>
      <c r="G125" s="11">
        <v>0</v>
      </c>
      <c r="H125" s="15">
        <v>0</v>
      </c>
      <c r="I125" s="15">
        <v>0</v>
      </c>
      <c r="J125" s="15">
        <v>0</v>
      </c>
      <c r="K125" s="16">
        <v>0</v>
      </c>
    </row>
    <row r="126" spans="1:11">
      <c r="A126">
        <v>120</v>
      </c>
      <c r="B126" s="11">
        <v>0</v>
      </c>
      <c r="C126" s="15">
        <v>1199.0526000000002</v>
      </c>
      <c r="D126" s="15">
        <v>205.6</v>
      </c>
      <c r="E126" s="15">
        <v>0</v>
      </c>
      <c r="F126" s="15">
        <v>0</v>
      </c>
      <c r="G126" s="11">
        <v>0</v>
      </c>
      <c r="H126" s="15">
        <v>0</v>
      </c>
      <c r="I126" s="15">
        <v>0</v>
      </c>
      <c r="J126" s="15">
        <v>0</v>
      </c>
      <c r="K126" s="16">
        <v>0</v>
      </c>
    </row>
    <row r="127" spans="1:11">
      <c r="A127">
        <v>121</v>
      </c>
      <c r="B127" s="11">
        <v>0</v>
      </c>
      <c r="C127" s="15">
        <v>98.702039999999997</v>
      </c>
      <c r="D127" s="15">
        <v>0</v>
      </c>
      <c r="E127" s="15">
        <v>0</v>
      </c>
      <c r="F127" s="15">
        <v>0</v>
      </c>
      <c r="G127" s="11">
        <v>0</v>
      </c>
      <c r="H127" s="15">
        <v>0</v>
      </c>
      <c r="I127" s="15">
        <v>0</v>
      </c>
      <c r="J127" s="15">
        <v>0</v>
      </c>
      <c r="K127" s="16">
        <v>0</v>
      </c>
    </row>
    <row r="128" spans="1:11">
      <c r="A128">
        <v>122</v>
      </c>
      <c r="B128" s="11">
        <v>0</v>
      </c>
      <c r="C128" s="15">
        <v>376.37939999999998</v>
      </c>
      <c r="D128" s="15">
        <v>339.20005600000002</v>
      </c>
      <c r="E128" s="15">
        <v>0</v>
      </c>
      <c r="F128" s="15">
        <v>0</v>
      </c>
      <c r="G128" s="11">
        <v>0</v>
      </c>
      <c r="H128" s="15">
        <v>0</v>
      </c>
      <c r="I128" s="15">
        <v>0</v>
      </c>
      <c r="J128" s="15">
        <v>0</v>
      </c>
      <c r="K128" s="16">
        <v>0</v>
      </c>
    </row>
    <row r="129" spans="1:11">
      <c r="A129">
        <v>123</v>
      </c>
      <c r="B129" s="11">
        <v>0</v>
      </c>
      <c r="C129" s="15">
        <v>250</v>
      </c>
      <c r="D129" s="15">
        <v>5305.0000179999988</v>
      </c>
      <c r="E129" s="15">
        <v>0</v>
      </c>
      <c r="F129" s="15">
        <v>0</v>
      </c>
      <c r="G129" s="11">
        <v>0</v>
      </c>
      <c r="H129" s="15">
        <v>0</v>
      </c>
      <c r="I129" s="15">
        <v>0</v>
      </c>
      <c r="J129" s="15">
        <v>0</v>
      </c>
      <c r="K129" s="16">
        <v>0</v>
      </c>
    </row>
    <row r="130" spans="1:11">
      <c r="A130">
        <v>124</v>
      </c>
      <c r="B130" s="11">
        <v>0</v>
      </c>
      <c r="C130" s="15">
        <v>97.3</v>
      </c>
      <c r="D130" s="15">
        <v>3</v>
      </c>
      <c r="E130" s="15">
        <v>0</v>
      </c>
      <c r="F130" s="15">
        <v>0</v>
      </c>
      <c r="G130" s="11">
        <v>0</v>
      </c>
      <c r="H130" s="15">
        <v>0</v>
      </c>
      <c r="I130" s="15">
        <v>0</v>
      </c>
      <c r="J130" s="15">
        <v>0</v>
      </c>
      <c r="K130" s="16">
        <v>0</v>
      </c>
    </row>
    <row r="131" spans="1:11">
      <c r="A131">
        <v>125</v>
      </c>
      <c r="B131" s="11">
        <v>121.8</v>
      </c>
      <c r="C131" s="15">
        <v>0.3</v>
      </c>
      <c r="D131" s="15">
        <v>0</v>
      </c>
      <c r="E131" s="15">
        <v>0</v>
      </c>
      <c r="F131" s="15">
        <v>0</v>
      </c>
      <c r="G131" s="11">
        <v>0</v>
      </c>
      <c r="H131" s="15">
        <v>0</v>
      </c>
      <c r="I131" s="15">
        <v>0</v>
      </c>
      <c r="J131" s="15">
        <v>0</v>
      </c>
      <c r="K131" s="16">
        <v>0</v>
      </c>
    </row>
    <row r="132" spans="1:11">
      <c r="A132">
        <v>126</v>
      </c>
      <c r="B132" s="11">
        <v>0</v>
      </c>
      <c r="C132" s="15">
        <v>40.200000000000003</v>
      </c>
      <c r="D132" s="15">
        <v>0</v>
      </c>
      <c r="E132" s="15">
        <v>0</v>
      </c>
      <c r="F132" s="15">
        <v>0</v>
      </c>
      <c r="G132" s="11">
        <v>0</v>
      </c>
      <c r="H132" s="15">
        <v>0</v>
      </c>
      <c r="I132" s="15">
        <v>0</v>
      </c>
      <c r="J132" s="15">
        <v>0</v>
      </c>
      <c r="K132" s="16">
        <v>0</v>
      </c>
    </row>
    <row r="133" spans="1:11">
      <c r="A133">
        <v>127</v>
      </c>
      <c r="B133" s="11">
        <v>0</v>
      </c>
      <c r="C133" s="15">
        <v>0</v>
      </c>
      <c r="D133" s="15">
        <v>0</v>
      </c>
      <c r="E133" s="15">
        <v>0</v>
      </c>
      <c r="F133" s="15">
        <v>0</v>
      </c>
      <c r="G133" s="11">
        <v>0</v>
      </c>
      <c r="H133" s="15">
        <v>0</v>
      </c>
      <c r="I133" s="15">
        <v>0</v>
      </c>
      <c r="J133" s="15">
        <v>0</v>
      </c>
      <c r="K133" s="16">
        <v>0</v>
      </c>
    </row>
    <row r="134" spans="1:11">
      <c r="A134">
        <v>128</v>
      </c>
      <c r="B134" s="11">
        <v>38.65</v>
      </c>
      <c r="C134" s="15">
        <v>0.8</v>
      </c>
      <c r="D134" s="15">
        <v>0</v>
      </c>
      <c r="E134" s="15">
        <v>0</v>
      </c>
      <c r="F134" s="15">
        <v>0</v>
      </c>
      <c r="G134" s="11">
        <v>0</v>
      </c>
      <c r="H134" s="15">
        <v>0</v>
      </c>
      <c r="I134" s="15">
        <v>0</v>
      </c>
      <c r="J134" s="15">
        <v>0</v>
      </c>
      <c r="K134" s="16">
        <v>0</v>
      </c>
    </row>
    <row r="135" spans="1:11">
      <c r="A135">
        <v>129</v>
      </c>
      <c r="B135" s="11">
        <v>0</v>
      </c>
      <c r="C135" s="15">
        <v>0</v>
      </c>
      <c r="D135" s="15">
        <v>0</v>
      </c>
      <c r="E135" s="15">
        <v>0</v>
      </c>
      <c r="F135" s="15">
        <v>0</v>
      </c>
      <c r="G135" s="11">
        <v>0</v>
      </c>
      <c r="H135" s="15">
        <v>0</v>
      </c>
      <c r="I135" s="15">
        <v>0</v>
      </c>
      <c r="J135" s="15">
        <v>0</v>
      </c>
      <c r="K135" s="16">
        <v>0</v>
      </c>
    </row>
    <row r="136" spans="1:11">
      <c r="A136">
        <v>130</v>
      </c>
      <c r="B136" s="11">
        <v>0</v>
      </c>
      <c r="C136" s="15">
        <v>0</v>
      </c>
      <c r="D136" s="15">
        <v>0</v>
      </c>
      <c r="E136" s="15">
        <v>0</v>
      </c>
      <c r="F136" s="15">
        <v>0</v>
      </c>
      <c r="G136" s="11">
        <v>0</v>
      </c>
      <c r="H136" s="15">
        <v>0</v>
      </c>
      <c r="I136" s="15">
        <v>0</v>
      </c>
      <c r="J136" s="15">
        <v>0</v>
      </c>
      <c r="K136" s="16">
        <v>0</v>
      </c>
    </row>
    <row r="137" spans="1:11">
      <c r="A137">
        <v>131</v>
      </c>
      <c r="B137" s="11">
        <v>0</v>
      </c>
      <c r="C137" s="15">
        <v>0</v>
      </c>
      <c r="D137" s="15">
        <v>0</v>
      </c>
      <c r="E137" s="15">
        <v>0</v>
      </c>
      <c r="F137" s="15">
        <v>0</v>
      </c>
      <c r="G137" s="11">
        <v>0</v>
      </c>
      <c r="H137" s="15">
        <v>0</v>
      </c>
      <c r="I137" s="15">
        <v>0</v>
      </c>
      <c r="J137" s="15">
        <v>0</v>
      </c>
      <c r="K137" s="16">
        <v>0</v>
      </c>
    </row>
    <row r="138" spans="1:11">
      <c r="A138">
        <v>132</v>
      </c>
      <c r="B138" s="11">
        <v>0</v>
      </c>
      <c r="C138" s="15">
        <v>1623.1130600000001</v>
      </c>
      <c r="D138" s="15">
        <v>183.39998199999999</v>
      </c>
      <c r="E138" s="15">
        <v>0</v>
      </c>
      <c r="F138" s="15">
        <v>0</v>
      </c>
      <c r="G138" s="11">
        <v>0</v>
      </c>
      <c r="H138" s="15">
        <v>0</v>
      </c>
      <c r="I138" s="15">
        <v>0</v>
      </c>
      <c r="J138" s="15">
        <v>0</v>
      </c>
      <c r="K138" s="16">
        <v>0</v>
      </c>
    </row>
    <row r="139" spans="1:11">
      <c r="A139">
        <v>133</v>
      </c>
      <c r="B139" s="11">
        <v>1.58</v>
      </c>
      <c r="C139" s="15">
        <v>76</v>
      </c>
      <c r="D139" s="15">
        <v>0</v>
      </c>
      <c r="E139" s="15">
        <v>0</v>
      </c>
      <c r="F139" s="15">
        <v>0</v>
      </c>
      <c r="G139" s="11">
        <v>0</v>
      </c>
      <c r="H139" s="15">
        <v>0</v>
      </c>
      <c r="I139" s="15">
        <v>0</v>
      </c>
      <c r="J139" s="15">
        <v>0</v>
      </c>
      <c r="K139" s="16">
        <v>0</v>
      </c>
    </row>
    <row r="140" spans="1:11">
      <c r="A140">
        <v>134</v>
      </c>
      <c r="B140" s="11">
        <v>0</v>
      </c>
      <c r="C140" s="15">
        <v>1167.6221700000001</v>
      </c>
      <c r="D140" s="15">
        <v>0</v>
      </c>
      <c r="E140" s="15">
        <v>0</v>
      </c>
      <c r="F140" s="15">
        <v>0</v>
      </c>
      <c r="G140" s="11">
        <v>0</v>
      </c>
      <c r="H140" s="15">
        <v>0</v>
      </c>
      <c r="I140" s="15">
        <v>0</v>
      </c>
      <c r="J140" s="15">
        <v>0</v>
      </c>
      <c r="K140" s="16">
        <v>0</v>
      </c>
    </row>
    <row r="141" spans="1:11">
      <c r="A141">
        <v>135</v>
      </c>
      <c r="B141" s="11">
        <v>0</v>
      </c>
      <c r="C141" s="15">
        <v>5.2545890000000002</v>
      </c>
      <c r="D141" s="15">
        <v>313.95999999999998</v>
      </c>
      <c r="E141" s="15">
        <v>103.4</v>
      </c>
      <c r="F141" s="15">
        <v>0</v>
      </c>
      <c r="G141" s="11">
        <v>0</v>
      </c>
      <c r="H141" s="15">
        <v>0</v>
      </c>
      <c r="I141" s="15">
        <v>0</v>
      </c>
      <c r="J141" s="15">
        <v>0</v>
      </c>
      <c r="K141" s="16">
        <v>0</v>
      </c>
    </row>
    <row r="142" spans="1:11">
      <c r="A142">
        <v>136</v>
      </c>
      <c r="B142" s="11">
        <v>0</v>
      </c>
      <c r="C142" s="15">
        <v>385.28859999999997</v>
      </c>
      <c r="D142" s="15">
        <v>16.2</v>
      </c>
      <c r="E142" s="15">
        <v>0</v>
      </c>
      <c r="F142" s="15">
        <v>0</v>
      </c>
      <c r="G142" s="11">
        <v>0</v>
      </c>
      <c r="H142" s="15">
        <v>0</v>
      </c>
      <c r="I142" s="15">
        <v>0</v>
      </c>
      <c r="J142" s="15">
        <v>0</v>
      </c>
      <c r="K142" s="16">
        <v>0</v>
      </c>
    </row>
    <row r="143" spans="1:11">
      <c r="A143">
        <v>137</v>
      </c>
      <c r="B143" s="11">
        <v>0</v>
      </c>
      <c r="C143" s="15">
        <v>28.244959999999999</v>
      </c>
      <c r="D143" s="15">
        <v>7</v>
      </c>
      <c r="E143" s="15">
        <v>0</v>
      </c>
      <c r="F143" s="15">
        <v>0</v>
      </c>
      <c r="G143" s="11">
        <v>0</v>
      </c>
      <c r="H143" s="15">
        <v>0</v>
      </c>
      <c r="I143" s="15">
        <v>0</v>
      </c>
      <c r="J143" s="15">
        <v>0</v>
      </c>
      <c r="K143" s="16">
        <v>0</v>
      </c>
    </row>
    <row r="144" spans="1:11">
      <c r="A144">
        <v>138</v>
      </c>
      <c r="B144" s="11">
        <v>0</v>
      </c>
      <c r="C144" s="15">
        <v>0</v>
      </c>
      <c r="D144" s="15">
        <v>0</v>
      </c>
      <c r="E144" s="15">
        <v>0</v>
      </c>
      <c r="F144" s="15">
        <v>0</v>
      </c>
      <c r="G144" s="11">
        <v>0</v>
      </c>
      <c r="H144" s="15">
        <v>0</v>
      </c>
      <c r="I144" s="15">
        <v>0</v>
      </c>
      <c r="J144" s="15">
        <v>0</v>
      </c>
      <c r="K144" s="16">
        <v>0</v>
      </c>
    </row>
    <row r="145" spans="1:11">
      <c r="A145">
        <v>139</v>
      </c>
      <c r="B145" s="11">
        <v>0</v>
      </c>
      <c r="C145" s="15">
        <v>1379.8399199999999</v>
      </c>
      <c r="D145" s="15">
        <v>0</v>
      </c>
      <c r="E145" s="15">
        <v>0</v>
      </c>
      <c r="F145" s="15">
        <v>0</v>
      </c>
      <c r="G145" s="11">
        <v>0</v>
      </c>
      <c r="H145" s="15">
        <v>0</v>
      </c>
      <c r="I145" s="15">
        <v>0</v>
      </c>
      <c r="J145" s="15">
        <v>0</v>
      </c>
      <c r="K145" s="16">
        <v>0</v>
      </c>
    </row>
    <row r="146" spans="1:11">
      <c r="A146">
        <v>140</v>
      </c>
      <c r="B146" s="11">
        <v>0</v>
      </c>
      <c r="C146" s="15">
        <v>458.21704999999997</v>
      </c>
      <c r="D146" s="15">
        <v>25.799999999999997</v>
      </c>
      <c r="E146" s="15">
        <v>0</v>
      </c>
      <c r="F146" s="15">
        <v>0</v>
      </c>
      <c r="G146" s="11">
        <v>0</v>
      </c>
      <c r="H146" s="15">
        <v>0</v>
      </c>
      <c r="I146" s="15">
        <v>0</v>
      </c>
      <c r="J146" s="15">
        <v>0</v>
      </c>
      <c r="K146" s="16">
        <v>0</v>
      </c>
    </row>
    <row r="147" spans="1:11">
      <c r="A147">
        <v>141</v>
      </c>
      <c r="B147" s="11">
        <v>0</v>
      </c>
      <c r="C147" s="15">
        <v>4412.6706799999993</v>
      </c>
      <c r="D147" s="15">
        <v>5.88</v>
      </c>
      <c r="E147" s="15">
        <v>2.4500000000000002</v>
      </c>
      <c r="F147" s="15">
        <v>0</v>
      </c>
      <c r="G147" s="11">
        <v>0</v>
      </c>
      <c r="H147" s="15">
        <v>0</v>
      </c>
      <c r="I147" s="15">
        <v>0</v>
      </c>
      <c r="J147" s="15">
        <v>0</v>
      </c>
      <c r="K147" s="16">
        <v>0</v>
      </c>
    </row>
    <row r="148" spans="1:11">
      <c r="A148">
        <v>142</v>
      </c>
      <c r="B148" s="11">
        <v>0</v>
      </c>
      <c r="C148" s="15">
        <v>0</v>
      </c>
      <c r="D148" s="15">
        <v>14</v>
      </c>
      <c r="E148" s="15">
        <v>0</v>
      </c>
      <c r="F148" s="15">
        <v>0</v>
      </c>
      <c r="G148" s="11">
        <v>0</v>
      </c>
      <c r="H148" s="15">
        <v>0</v>
      </c>
      <c r="I148" s="15">
        <v>0</v>
      </c>
      <c r="J148" s="15">
        <v>0</v>
      </c>
      <c r="K148" s="16">
        <v>0</v>
      </c>
    </row>
    <row r="149" spans="1:11">
      <c r="A149">
        <v>143</v>
      </c>
      <c r="B149" s="11">
        <v>0</v>
      </c>
      <c r="C149" s="15">
        <v>0</v>
      </c>
      <c r="D149" s="15">
        <v>0</v>
      </c>
      <c r="E149" s="15">
        <v>0</v>
      </c>
      <c r="F149" s="15">
        <v>0</v>
      </c>
      <c r="G149" s="11">
        <v>0</v>
      </c>
      <c r="H149" s="15">
        <v>0</v>
      </c>
      <c r="I149" s="15">
        <v>0</v>
      </c>
      <c r="J149" s="15">
        <v>0</v>
      </c>
      <c r="K149" s="16">
        <v>0</v>
      </c>
    </row>
    <row r="150" spans="1:11">
      <c r="A150">
        <v>144</v>
      </c>
      <c r="B150" s="11">
        <v>100.8</v>
      </c>
      <c r="C150" s="15">
        <v>6.2</v>
      </c>
      <c r="D150" s="15">
        <v>0</v>
      </c>
      <c r="E150" s="15">
        <v>0</v>
      </c>
      <c r="F150" s="15">
        <v>0</v>
      </c>
      <c r="G150" s="11">
        <v>0</v>
      </c>
      <c r="H150" s="15">
        <v>0</v>
      </c>
      <c r="I150" s="15">
        <v>0</v>
      </c>
      <c r="J150" s="15">
        <v>0</v>
      </c>
      <c r="K150" s="16">
        <v>0</v>
      </c>
    </row>
    <row r="151" spans="1:11">
      <c r="A151">
        <v>145</v>
      </c>
      <c r="B151" s="11">
        <v>0</v>
      </c>
      <c r="C151" s="15">
        <v>0</v>
      </c>
      <c r="D151" s="15">
        <v>0</v>
      </c>
      <c r="E151" s="15">
        <v>0</v>
      </c>
      <c r="F151" s="15">
        <v>0</v>
      </c>
      <c r="G151" s="11">
        <v>0</v>
      </c>
      <c r="H151" s="15">
        <v>0</v>
      </c>
      <c r="I151" s="15">
        <v>0</v>
      </c>
      <c r="J151" s="15">
        <v>0</v>
      </c>
      <c r="K151" s="16">
        <v>0</v>
      </c>
    </row>
    <row r="152" spans="1:11">
      <c r="A152">
        <v>146</v>
      </c>
      <c r="B152" s="11">
        <v>0</v>
      </c>
      <c r="C152" s="15">
        <v>0</v>
      </c>
      <c r="D152" s="15">
        <v>0</v>
      </c>
      <c r="E152" s="15">
        <v>0</v>
      </c>
      <c r="F152" s="15">
        <v>0</v>
      </c>
      <c r="G152" s="11">
        <v>0</v>
      </c>
      <c r="H152" s="15">
        <v>0</v>
      </c>
      <c r="I152" s="15">
        <v>0</v>
      </c>
      <c r="J152" s="15">
        <v>0</v>
      </c>
      <c r="K152" s="16">
        <v>0</v>
      </c>
    </row>
    <row r="153" spans="1:11">
      <c r="A153">
        <v>147</v>
      </c>
      <c r="B153" s="11">
        <v>0</v>
      </c>
      <c r="C153" s="15">
        <v>0</v>
      </c>
      <c r="D153" s="15">
        <v>0</v>
      </c>
      <c r="E153" s="15">
        <v>0</v>
      </c>
      <c r="F153" s="15">
        <v>0</v>
      </c>
      <c r="G153" s="11">
        <v>0</v>
      </c>
      <c r="H153" s="15">
        <v>0</v>
      </c>
      <c r="I153" s="15">
        <v>0</v>
      </c>
      <c r="J153" s="15">
        <v>0</v>
      </c>
      <c r="K153" s="16">
        <v>0</v>
      </c>
    </row>
    <row r="154" spans="1:11">
      <c r="A154">
        <v>148</v>
      </c>
      <c r="B154" s="11">
        <v>0</v>
      </c>
      <c r="C154" s="15">
        <v>0</v>
      </c>
      <c r="D154" s="15">
        <v>1471.0499299999999</v>
      </c>
      <c r="E154" s="15">
        <v>326.79999999999995</v>
      </c>
      <c r="F154" s="15">
        <v>28.4</v>
      </c>
      <c r="G154" s="11">
        <v>0</v>
      </c>
      <c r="H154" s="15">
        <v>0</v>
      </c>
      <c r="I154" s="15">
        <v>0</v>
      </c>
      <c r="J154" s="15">
        <v>0</v>
      </c>
      <c r="K154" s="16">
        <v>0</v>
      </c>
    </row>
    <row r="155" spans="1:11">
      <c r="A155">
        <v>149</v>
      </c>
      <c r="B155" s="11">
        <v>0</v>
      </c>
      <c r="C155" s="15">
        <v>84.600920000000002</v>
      </c>
      <c r="D155" s="15">
        <v>23.2</v>
      </c>
      <c r="E155" s="15">
        <v>1.8</v>
      </c>
      <c r="F155" s="15">
        <v>0</v>
      </c>
      <c r="G155" s="11">
        <v>0</v>
      </c>
      <c r="H155" s="15">
        <v>0</v>
      </c>
      <c r="I155" s="15">
        <v>0</v>
      </c>
      <c r="J155" s="15">
        <v>0</v>
      </c>
      <c r="K155" s="16">
        <v>0</v>
      </c>
    </row>
    <row r="156" spans="1:11">
      <c r="A156">
        <v>150</v>
      </c>
      <c r="B156" s="11">
        <v>0</v>
      </c>
      <c r="C156" s="15">
        <v>0</v>
      </c>
      <c r="D156" s="15">
        <v>533.29999999999995</v>
      </c>
      <c r="E156" s="15">
        <v>0</v>
      </c>
      <c r="F156" s="15">
        <v>0</v>
      </c>
      <c r="G156" s="11">
        <v>0</v>
      </c>
      <c r="H156" s="15">
        <v>0</v>
      </c>
      <c r="I156" s="15">
        <v>0</v>
      </c>
      <c r="J156" s="15">
        <v>0</v>
      </c>
      <c r="K156" s="16">
        <v>0</v>
      </c>
    </row>
    <row r="157" spans="1:11">
      <c r="A157">
        <v>151</v>
      </c>
      <c r="B157" s="11">
        <v>0</v>
      </c>
      <c r="C157" s="15">
        <v>0</v>
      </c>
      <c r="D157" s="15">
        <v>0</v>
      </c>
      <c r="E157" s="15">
        <v>0</v>
      </c>
      <c r="F157" s="15">
        <v>0</v>
      </c>
      <c r="G157" s="11">
        <v>0</v>
      </c>
      <c r="H157" s="15">
        <v>0</v>
      </c>
      <c r="I157" s="15">
        <v>0</v>
      </c>
      <c r="J157" s="15">
        <v>0</v>
      </c>
      <c r="K157" s="16">
        <v>0</v>
      </c>
    </row>
    <row r="158" spans="1:11">
      <c r="A158">
        <v>152</v>
      </c>
      <c r="B158" s="11">
        <v>0</v>
      </c>
      <c r="C158" s="15">
        <v>0</v>
      </c>
      <c r="D158" s="15">
        <v>2887.0294899999999</v>
      </c>
      <c r="E158" s="15">
        <v>0</v>
      </c>
      <c r="F158" s="15">
        <v>0</v>
      </c>
      <c r="G158" s="11">
        <v>0</v>
      </c>
      <c r="H158" s="15">
        <v>0</v>
      </c>
      <c r="I158" s="15">
        <v>0</v>
      </c>
      <c r="J158" s="15">
        <v>0</v>
      </c>
      <c r="K158" s="16">
        <v>0</v>
      </c>
    </row>
    <row r="159" spans="1:11">
      <c r="A159">
        <v>153</v>
      </c>
      <c r="B159" s="11">
        <v>0</v>
      </c>
      <c r="C159" s="15">
        <v>3651.5720030000002</v>
      </c>
      <c r="D159" s="15">
        <v>14843.698939999998</v>
      </c>
      <c r="E159" s="15">
        <v>0</v>
      </c>
      <c r="F159" s="15">
        <v>0</v>
      </c>
      <c r="G159" s="11">
        <v>0</v>
      </c>
      <c r="H159" s="15">
        <v>0</v>
      </c>
      <c r="I159" s="15">
        <v>0</v>
      </c>
      <c r="J159" s="15">
        <v>0</v>
      </c>
      <c r="K159" s="16">
        <v>0</v>
      </c>
    </row>
    <row r="160" spans="1:11">
      <c r="A160">
        <v>154</v>
      </c>
      <c r="B160" s="11">
        <v>0</v>
      </c>
      <c r="C160" s="15">
        <v>10638.515090000001</v>
      </c>
      <c r="D160" s="15">
        <v>2943.2000600000006</v>
      </c>
      <c r="E160" s="15">
        <v>0</v>
      </c>
      <c r="F160" s="15">
        <v>0</v>
      </c>
      <c r="G160" s="11">
        <v>0</v>
      </c>
      <c r="H160" s="15">
        <v>0</v>
      </c>
      <c r="I160" s="15">
        <v>0</v>
      </c>
      <c r="J160" s="15">
        <v>0</v>
      </c>
      <c r="K160" s="16">
        <v>0</v>
      </c>
    </row>
    <row r="161" spans="1:11">
      <c r="A161">
        <v>155</v>
      </c>
      <c r="B161" s="11">
        <v>0</v>
      </c>
      <c r="C161" s="15">
        <v>792.99999000000003</v>
      </c>
      <c r="D161" s="15">
        <v>0</v>
      </c>
      <c r="E161" s="15">
        <v>0</v>
      </c>
      <c r="F161" s="15">
        <v>0</v>
      </c>
      <c r="G161" s="11">
        <v>0</v>
      </c>
      <c r="H161" s="15">
        <v>0</v>
      </c>
      <c r="I161" s="15">
        <v>0</v>
      </c>
      <c r="J161" s="15">
        <v>0</v>
      </c>
      <c r="K161" s="16">
        <v>0</v>
      </c>
    </row>
    <row r="162" spans="1:11">
      <c r="A162">
        <v>156</v>
      </c>
      <c r="B162" s="11">
        <v>0</v>
      </c>
      <c r="C162" s="15">
        <v>2154.5734200000002</v>
      </c>
      <c r="D162" s="15">
        <v>168</v>
      </c>
      <c r="E162" s="15">
        <v>0</v>
      </c>
      <c r="F162" s="15">
        <v>0</v>
      </c>
      <c r="G162" s="11">
        <v>0</v>
      </c>
      <c r="H162" s="15">
        <v>0</v>
      </c>
      <c r="I162" s="15">
        <v>0</v>
      </c>
      <c r="J162" s="15">
        <v>0</v>
      </c>
      <c r="K162" s="16">
        <v>0</v>
      </c>
    </row>
    <row r="163" spans="1:11">
      <c r="A163">
        <v>157</v>
      </c>
      <c r="B163" s="11">
        <v>0</v>
      </c>
      <c r="C163" s="15">
        <v>319.8</v>
      </c>
      <c r="D163" s="15">
        <v>0</v>
      </c>
      <c r="E163" s="15">
        <v>0</v>
      </c>
      <c r="F163" s="15">
        <v>0</v>
      </c>
      <c r="G163" s="11">
        <v>0</v>
      </c>
      <c r="H163" s="15">
        <v>0</v>
      </c>
      <c r="I163" s="15">
        <v>0</v>
      </c>
      <c r="J163" s="15">
        <v>0</v>
      </c>
      <c r="K163" s="16">
        <v>0</v>
      </c>
    </row>
    <row r="164" spans="1:11">
      <c r="A164">
        <v>158</v>
      </c>
      <c r="B164" s="11">
        <v>0</v>
      </c>
      <c r="C164" s="15">
        <v>84.9</v>
      </c>
      <c r="D164" s="15">
        <v>0</v>
      </c>
      <c r="E164" s="15">
        <v>0</v>
      </c>
      <c r="F164" s="15">
        <v>0</v>
      </c>
      <c r="G164" s="11">
        <v>0</v>
      </c>
      <c r="H164" s="15">
        <v>0</v>
      </c>
      <c r="I164" s="15">
        <v>0</v>
      </c>
      <c r="J164" s="15">
        <v>0</v>
      </c>
      <c r="K164" s="16">
        <v>0</v>
      </c>
    </row>
    <row r="165" spans="1:11">
      <c r="A165">
        <v>159</v>
      </c>
      <c r="B165" s="11">
        <v>0</v>
      </c>
      <c r="C165" s="15">
        <v>3.7</v>
      </c>
      <c r="D165" s="15">
        <v>0</v>
      </c>
      <c r="E165" s="15">
        <v>0</v>
      </c>
      <c r="F165" s="15">
        <v>0</v>
      </c>
      <c r="G165" s="11">
        <v>0</v>
      </c>
      <c r="H165" s="15">
        <v>0</v>
      </c>
      <c r="I165" s="15">
        <v>0</v>
      </c>
      <c r="J165" s="15">
        <v>0</v>
      </c>
      <c r="K165" s="16">
        <v>0</v>
      </c>
    </row>
    <row r="166" spans="1:11">
      <c r="A166">
        <v>160</v>
      </c>
      <c r="B166" s="11">
        <v>241</v>
      </c>
      <c r="C166" s="15">
        <v>33.5</v>
      </c>
      <c r="D166" s="15">
        <v>5.2</v>
      </c>
      <c r="E166" s="15">
        <v>0.7</v>
      </c>
      <c r="F166" s="15">
        <v>0</v>
      </c>
      <c r="G166" s="11">
        <v>0</v>
      </c>
      <c r="H166" s="15">
        <v>0</v>
      </c>
      <c r="I166" s="15">
        <v>0</v>
      </c>
      <c r="J166" s="15">
        <v>0</v>
      </c>
      <c r="K166" s="16">
        <v>0</v>
      </c>
    </row>
    <row r="167" spans="1:11">
      <c r="A167">
        <v>161</v>
      </c>
      <c r="B167" s="11">
        <v>0</v>
      </c>
      <c r="C167" s="15">
        <v>0</v>
      </c>
      <c r="D167" s="15">
        <v>0</v>
      </c>
      <c r="E167" s="15">
        <v>0</v>
      </c>
      <c r="F167" s="15">
        <v>0</v>
      </c>
      <c r="G167" s="11">
        <v>0</v>
      </c>
      <c r="H167" s="15">
        <v>0</v>
      </c>
      <c r="I167" s="15">
        <v>0</v>
      </c>
      <c r="J167" s="15">
        <v>0</v>
      </c>
      <c r="K167" s="16">
        <v>0</v>
      </c>
    </row>
    <row r="168" spans="1:11">
      <c r="A168">
        <v>162</v>
      </c>
      <c r="B168" s="11">
        <v>0</v>
      </c>
      <c r="C168" s="15">
        <v>0</v>
      </c>
      <c r="D168" s="15">
        <v>0</v>
      </c>
      <c r="E168" s="15">
        <v>0</v>
      </c>
      <c r="F168" s="15">
        <v>0</v>
      </c>
      <c r="G168" s="11">
        <v>0</v>
      </c>
      <c r="H168" s="15">
        <v>0</v>
      </c>
      <c r="I168" s="15">
        <v>0</v>
      </c>
      <c r="J168" s="15">
        <v>0</v>
      </c>
      <c r="K168" s="16">
        <v>0</v>
      </c>
    </row>
    <row r="169" spans="1:11">
      <c r="A169">
        <v>163</v>
      </c>
      <c r="B169" s="11">
        <v>0</v>
      </c>
      <c r="C169" s="15">
        <v>0</v>
      </c>
      <c r="D169" s="15">
        <v>3074.4497000000001</v>
      </c>
      <c r="E169" s="15">
        <v>753.19997000000001</v>
      </c>
      <c r="F169" s="15">
        <v>25.2</v>
      </c>
      <c r="G169" s="11">
        <v>0</v>
      </c>
      <c r="H169" s="15">
        <v>0</v>
      </c>
      <c r="I169" s="15">
        <v>0</v>
      </c>
      <c r="J169" s="15">
        <v>0</v>
      </c>
      <c r="K169" s="16">
        <v>0</v>
      </c>
    </row>
    <row r="170" spans="1:11">
      <c r="A170">
        <v>164</v>
      </c>
      <c r="B170" s="11">
        <v>0</v>
      </c>
      <c r="C170" s="15">
        <v>61.464020000000005</v>
      </c>
      <c r="D170" s="15">
        <v>275.60001400000004</v>
      </c>
      <c r="E170" s="15">
        <v>399.6</v>
      </c>
      <c r="F170" s="15">
        <v>0</v>
      </c>
      <c r="G170" s="11">
        <v>0</v>
      </c>
      <c r="H170" s="15">
        <v>0</v>
      </c>
      <c r="I170" s="15">
        <v>0</v>
      </c>
      <c r="J170" s="15">
        <v>0</v>
      </c>
      <c r="K170" s="16">
        <v>0</v>
      </c>
    </row>
    <row r="171" spans="1:11">
      <c r="A171">
        <v>165</v>
      </c>
      <c r="B171" s="11">
        <v>0</v>
      </c>
      <c r="C171" s="15">
        <v>2494.0807199999999</v>
      </c>
      <c r="D171" s="15">
        <v>622.79999999999995</v>
      </c>
      <c r="E171" s="15">
        <v>18.2</v>
      </c>
      <c r="F171" s="15">
        <v>0</v>
      </c>
      <c r="G171" s="11">
        <v>0</v>
      </c>
      <c r="H171" s="15">
        <v>0</v>
      </c>
      <c r="I171" s="15">
        <v>0</v>
      </c>
      <c r="J171" s="15">
        <v>0</v>
      </c>
      <c r="K171" s="16">
        <v>0</v>
      </c>
    </row>
    <row r="172" spans="1:11">
      <c r="A172">
        <v>166</v>
      </c>
      <c r="B172" s="11">
        <v>0</v>
      </c>
      <c r="C172" s="15">
        <v>5256.9551300000003</v>
      </c>
      <c r="D172" s="15">
        <v>613.10005000000001</v>
      </c>
      <c r="E172" s="15">
        <v>139.40004500000001</v>
      </c>
      <c r="F172" s="15">
        <v>0</v>
      </c>
      <c r="G172" s="11">
        <v>0</v>
      </c>
      <c r="H172" s="15">
        <v>0</v>
      </c>
      <c r="I172" s="15">
        <v>0</v>
      </c>
      <c r="J172" s="15">
        <v>0</v>
      </c>
      <c r="K172" s="16">
        <v>0</v>
      </c>
    </row>
    <row r="173" spans="1:11">
      <c r="A173">
        <v>167</v>
      </c>
      <c r="B173" s="11">
        <v>0</v>
      </c>
      <c r="C173" s="15">
        <v>791.2</v>
      </c>
      <c r="D173" s="15">
        <v>10</v>
      </c>
      <c r="E173" s="15">
        <v>0</v>
      </c>
      <c r="F173" s="15">
        <v>0</v>
      </c>
      <c r="G173" s="11">
        <v>0</v>
      </c>
      <c r="H173" s="15">
        <v>0</v>
      </c>
      <c r="I173" s="15">
        <v>0</v>
      </c>
      <c r="J173" s="15">
        <v>0</v>
      </c>
      <c r="K173" s="16">
        <v>0</v>
      </c>
    </row>
    <row r="174" spans="1:11">
      <c r="A174">
        <v>168</v>
      </c>
      <c r="B174" s="11">
        <v>0</v>
      </c>
      <c r="C174" s="15">
        <v>0</v>
      </c>
      <c r="D174" s="15">
        <v>0</v>
      </c>
      <c r="E174" s="15">
        <v>0</v>
      </c>
      <c r="F174" s="15">
        <v>0</v>
      </c>
      <c r="G174" s="11">
        <v>0</v>
      </c>
      <c r="H174" s="15">
        <v>0</v>
      </c>
      <c r="I174" s="15">
        <v>0</v>
      </c>
      <c r="J174" s="15">
        <v>0</v>
      </c>
      <c r="K174" s="16">
        <v>0</v>
      </c>
    </row>
    <row r="175" spans="1:11">
      <c r="A175">
        <v>169</v>
      </c>
      <c r="B175" s="11">
        <v>0</v>
      </c>
      <c r="C175" s="15">
        <v>0</v>
      </c>
      <c r="D175" s="15">
        <v>0</v>
      </c>
      <c r="E175" s="15">
        <v>0</v>
      </c>
      <c r="F175" s="15">
        <v>0</v>
      </c>
      <c r="G175" s="11">
        <v>0</v>
      </c>
      <c r="H175" s="15">
        <v>0</v>
      </c>
      <c r="I175" s="15">
        <v>0</v>
      </c>
      <c r="J175" s="15">
        <v>0</v>
      </c>
      <c r="K175" s="16">
        <v>0</v>
      </c>
    </row>
    <row r="176" spans="1:11">
      <c r="A176">
        <v>170</v>
      </c>
      <c r="B176" s="11">
        <v>0</v>
      </c>
      <c r="C176" s="15">
        <v>0</v>
      </c>
      <c r="D176" s="15">
        <v>0</v>
      </c>
      <c r="E176" s="15">
        <v>0</v>
      </c>
      <c r="F176" s="15">
        <v>0</v>
      </c>
      <c r="G176" s="11">
        <v>0</v>
      </c>
      <c r="H176" s="15">
        <v>0</v>
      </c>
      <c r="I176" s="15">
        <v>0</v>
      </c>
      <c r="J176" s="15">
        <v>0</v>
      </c>
      <c r="K176" s="16">
        <v>0</v>
      </c>
    </row>
    <row r="177" spans="1:11">
      <c r="A177">
        <v>171</v>
      </c>
      <c r="B177" s="11">
        <v>0</v>
      </c>
      <c r="C177" s="15">
        <v>0</v>
      </c>
      <c r="D177" s="15">
        <v>0</v>
      </c>
      <c r="E177" s="15">
        <v>0</v>
      </c>
      <c r="F177" s="15">
        <v>0</v>
      </c>
      <c r="G177" s="11">
        <v>0</v>
      </c>
      <c r="H177" s="15">
        <v>0</v>
      </c>
      <c r="I177" s="15">
        <v>0</v>
      </c>
      <c r="J177" s="15">
        <v>0</v>
      </c>
      <c r="K177" s="16">
        <v>0</v>
      </c>
    </row>
    <row r="178" spans="1:11">
      <c r="A178">
        <v>172</v>
      </c>
      <c r="B178" s="11">
        <v>114</v>
      </c>
      <c r="C178" s="15">
        <v>0</v>
      </c>
      <c r="D178" s="15">
        <v>0</v>
      </c>
      <c r="E178" s="15">
        <v>0</v>
      </c>
      <c r="F178" s="15">
        <v>0</v>
      </c>
      <c r="G178" s="11">
        <v>0</v>
      </c>
      <c r="H178" s="15">
        <v>0</v>
      </c>
      <c r="I178" s="15">
        <v>0</v>
      </c>
      <c r="J178" s="15">
        <v>0</v>
      </c>
      <c r="K178" s="16">
        <v>0</v>
      </c>
    </row>
    <row r="179" spans="1:11">
      <c r="A179">
        <v>173</v>
      </c>
      <c r="B179" s="11">
        <v>0</v>
      </c>
      <c r="C179" s="15">
        <v>0</v>
      </c>
      <c r="D179" s="15">
        <v>0</v>
      </c>
      <c r="E179" s="15">
        <v>0</v>
      </c>
      <c r="F179" s="15">
        <v>0</v>
      </c>
      <c r="G179" s="11">
        <v>0</v>
      </c>
      <c r="H179" s="15">
        <v>0</v>
      </c>
      <c r="I179" s="15">
        <v>0</v>
      </c>
      <c r="J179" s="15">
        <v>0</v>
      </c>
      <c r="K179" s="16">
        <v>0</v>
      </c>
    </row>
    <row r="180" spans="1:11">
      <c r="A180">
        <v>174</v>
      </c>
      <c r="B180" s="11">
        <v>5168.62554</v>
      </c>
      <c r="C180" s="15">
        <v>0</v>
      </c>
      <c r="D180" s="15">
        <v>0</v>
      </c>
      <c r="E180" s="15">
        <v>0</v>
      </c>
      <c r="F180" s="15">
        <v>0</v>
      </c>
      <c r="G180" s="11">
        <v>0</v>
      </c>
      <c r="H180" s="15">
        <v>0</v>
      </c>
      <c r="I180" s="15">
        <v>0</v>
      </c>
      <c r="J180" s="15">
        <v>0</v>
      </c>
      <c r="K180" s="16">
        <v>0</v>
      </c>
    </row>
    <row r="181" spans="1:11">
      <c r="A181">
        <v>175</v>
      </c>
      <c r="B181" s="11">
        <v>0</v>
      </c>
      <c r="C181" s="15">
        <v>0</v>
      </c>
      <c r="D181" s="15">
        <v>0</v>
      </c>
      <c r="E181" s="15">
        <v>0</v>
      </c>
      <c r="F181" s="15">
        <v>0</v>
      </c>
      <c r="G181" s="11">
        <v>0</v>
      </c>
      <c r="H181" s="15">
        <v>0</v>
      </c>
      <c r="I181" s="15">
        <v>0</v>
      </c>
      <c r="J181" s="15">
        <v>0</v>
      </c>
      <c r="K181" s="16">
        <v>0</v>
      </c>
    </row>
    <row r="182" spans="1:11">
      <c r="A182">
        <v>176</v>
      </c>
      <c r="B182" s="11">
        <v>0</v>
      </c>
      <c r="C182" s="15">
        <v>1616.1634920000001</v>
      </c>
      <c r="D182" s="15">
        <v>249.80004000000002</v>
      </c>
      <c r="E182" s="15">
        <v>0</v>
      </c>
      <c r="F182" s="15">
        <v>0</v>
      </c>
      <c r="G182" s="11">
        <v>0</v>
      </c>
      <c r="H182" s="15">
        <v>0</v>
      </c>
      <c r="I182" s="15">
        <v>0</v>
      </c>
      <c r="J182" s="15">
        <v>0</v>
      </c>
      <c r="K182" s="16">
        <v>0</v>
      </c>
    </row>
    <row r="183" spans="1:11">
      <c r="A183">
        <v>177</v>
      </c>
      <c r="B183" s="11">
        <v>0</v>
      </c>
      <c r="C183" s="15">
        <v>0.8</v>
      </c>
      <c r="D183" s="15">
        <v>0</v>
      </c>
      <c r="E183" s="15">
        <v>0</v>
      </c>
      <c r="F183" s="15">
        <v>0</v>
      </c>
      <c r="G183" s="11">
        <v>0</v>
      </c>
      <c r="H183" s="15">
        <v>0</v>
      </c>
      <c r="I183" s="15">
        <v>0</v>
      </c>
      <c r="J183" s="15">
        <v>0</v>
      </c>
      <c r="K183" s="16">
        <v>0</v>
      </c>
    </row>
    <row r="184" spans="1:11">
      <c r="A184">
        <v>178</v>
      </c>
      <c r="B184" s="11">
        <v>0</v>
      </c>
      <c r="C184" s="15">
        <v>10069.101105</v>
      </c>
      <c r="D184" s="15">
        <v>0</v>
      </c>
      <c r="E184" s="15">
        <v>0</v>
      </c>
      <c r="F184" s="15">
        <v>0</v>
      </c>
      <c r="G184" s="11">
        <v>0</v>
      </c>
      <c r="H184" s="15">
        <v>0</v>
      </c>
      <c r="I184" s="15">
        <v>0</v>
      </c>
      <c r="J184" s="15">
        <v>0</v>
      </c>
      <c r="K184" s="16">
        <v>0</v>
      </c>
    </row>
    <row r="185" spans="1:11">
      <c r="A185">
        <v>179</v>
      </c>
      <c r="B185" s="11">
        <v>0</v>
      </c>
      <c r="C185" s="15">
        <v>236.4</v>
      </c>
      <c r="D185" s="15">
        <v>0</v>
      </c>
      <c r="E185" s="15">
        <v>0</v>
      </c>
      <c r="F185" s="15">
        <v>0</v>
      </c>
      <c r="G185" s="11">
        <v>0</v>
      </c>
      <c r="H185" s="15">
        <v>0</v>
      </c>
      <c r="I185" s="15">
        <v>0</v>
      </c>
      <c r="J185" s="15">
        <v>0</v>
      </c>
      <c r="K185" s="16">
        <v>0</v>
      </c>
    </row>
    <row r="186" spans="1:11">
      <c r="A186">
        <v>180</v>
      </c>
      <c r="B186" s="11">
        <v>0</v>
      </c>
      <c r="C186" s="15">
        <v>6547.2513509999999</v>
      </c>
      <c r="D186" s="15">
        <v>0</v>
      </c>
      <c r="E186" s="15">
        <v>0</v>
      </c>
      <c r="F186" s="15">
        <v>0</v>
      </c>
      <c r="G186" s="11">
        <v>0</v>
      </c>
      <c r="H186" s="15">
        <v>0</v>
      </c>
      <c r="I186" s="15">
        <v>0</v>
      </c>
      <c r="J186" s="15">
        <v>0</v>
      </c>
      <c r="K186" s="16">
        <v>0</v>
      </c>
    </row>
    <row r="187" spans="1:11">
      <c r="A187">
        <v>181</v>
      </c>
      <c r="B187" s="11">
        <v>0</v>
      </c>
      <c r="C187" s="15">
        <v>0</v>
      </c>
      <c r="D187" s="15">
        <v>0</v>
      </c>
      <c r="E187" s="15">
        <v>0</v>
      </c>
      <c r="F187" s="15">
        <v>0</v>
      </c>
      <c r="G187" s="11">
        <v>0</v>
      </c>
      <c r="H187" s="15">
        <v>0</v>
      </c>
      <c r="I187" s="15">
        <v>0</v>
      </c>
      <c r="J187" s="15">
        <v>0</v>
      </c>
      <c r="K187" s="16">
        <v>0</v>
      </c>
    </row>
    <row r="188" spans="1:11">
      <c r="A188">
        <v>182</v>
      </c>
      <c r="B188" s="11">
        <v>0</v>
      </c>
      <c r="C188" s="15">
        <v>0</v>
      </c>
      <c r="D188" s="15">
        <v>0</v>
      </c>
      <c r="E188" s="15">
        <v>0</v>
      </c>
      <c r="F188" s="15">
        <v>0</v>
      </c>
      <c r="G188" s="11">
        <v>0</v>
      </c>
      <c r="H188" s="15">
        <v>0</v>
      </c>
      <c r="I188" s="15">
        <v>0</v>
      </c>
      <c r="J188" s="15">
        <v>0</v>
      </c>
      <c r="K188" s="16">
        <v>0</v>
      </c>
    </row>
    <row r="189" spans="1:11">
      <c r="A189">
        <v>183</v>
      </c>
      <c r="B189" s="11">
        <v>0</v>
      </c>
      <c r="C189" s="15">
        <v>4</v>
      </c>
      <c r="D189" s="15">
        <v>0</v>
      </c>
      <c r="E189" s="15">
        <v>0</v>
      </c>
      <c r="F189" s="15">
        <v>0</v>
      </c>
      <c r="G189" s="11">
        <v>0</v>
      </c>
      <c r="H189" s="15">
        <v>0</v>
      </c>
      <c r="I189" s="15">
        <v>0</v>
      </c>
      <c r="J189" s="15">
        <v>0</v>
      </c>
      <c r="K189" s="16">
        <v>0</v>
      </c>
    </row>
    <row r="190" spans="1:11">
      <c r="A190">
        <v>184</v>
      </c>
      <c r="B190" s="11">
        <v>0</v>
      </c>
      <c r="C190" s="15">
        <v>0</v>
      </c>
      <c r="D190" s="15">
        <v>0</v>
      </c>
      <c r="E190" s="15">
        <v>0</v>
      </c>
      <c r="F190" s="15">
        <v>0</v>
      </c>
      <c r="G190" s="11">
        <v>0</v>
      </c>
      <c r="H190" s="15">
        <v>0</v>
      </c>
      <c r="I190" s="15">
        <v>0</v>
      </c>
      <c r="J190" s="15">
        <v>0</v>
      </c>
      <c r="K190" s="16">
        <v>0</v>
      </c>
    </row>
    <row r="191" spans="1:11">
      <c r="A191">
        <v>185</v>
      </c>
      <c r="B191" s="11">
        <v>0</v>
      </c>
      <c r="C191" s="15">
        <v>0</v>
      </c>
      <c r="D191" s="15">
        <v>0</v>
      </c>
      <c r="E191" s="15">
        <v>0</v>
      </c>
      <c r="F191" s="15">
        <v>0</v>
      </c>
      <c r="G191" s="11">
        <v>0</v>
      </c>
      <c r="H191" s="15">
        <v>0</v>
      </c>
      <c r="I191" s="15">
        <v>0</v>
      </c>
      <c r="J191" s="15">
        <v>0</v>
      </c>
      <c r="K191" s="16">
        <v>0</v>
      </c>
    </row>
    <row r="192" spans="1:11">
      <c r="A192">
        <v>186</v>
      </c>
      <c r="B192" s="11">
        <v>0</v>
      </c>
      <c r="C192" s="15">
        <v>0</v>
      </c>
      <c r="D192" s="15">
        <v>0</v>
      </c>
      <c r="E192" s="15">
        <v>0</v>
      </c>
      <c r="F192" s="15">
        <v>0</v>
      </c>
      <c r="G192" s="11">
        <v>0</v>
      </c>
      <c r="H192" s="15">
        <v>0</v>
      </c>
      <c r="I192" s="15">
        <v>0</v>
      </c>
      <c r="J192" s="15">
        <v>0</v>
      </c>
      <c r="K192" s="16">
        <v>0</v>
      </c>
    </row>
    <row r="193" spans="1:11">
      <c r="A193">
        <v>187</v>
      </c>
      <c r="B193" s="11">
        <v>0</v>
      </c>
      <c r="C193" s="15">
        <v>0</v>
      </c>
      <c r="D193" s="15">
        <v>0</v>
      </c>
      <c r="E193" s="15">
        <v>0</v>
      </c>
      <c r="F193" s="15">
        <v>0</v>
      </c>
      <c r="G193" s="11">
        <v>0</v>
      </c>
      <c r="H193" s="15">
        <v>0</v>
      </c>
      <c r="I193" s="15">
        <v>0</v>
      </c>
      <c r="J193" s="15">
        <v>0</v>
      </c>
      <c r="K193" s="16">
        <v>0</v>
      </c>
    </row>
    <row r="194" spans="1:11">
      <c r="A194">
        <v>188</v>
      </c>
      <c r="B194" s="11">
        <v>0</v>
      </c>
      <c r="C194" s="15">
        <v>0</v>
      </c>
      <c r="D194" s="15">
        <v>0</v>
      </c>
      <c r="E194" s="15">
        <v>0</v>
      </c>
      <c r="F194" s="15">
        <v>0</v>
      </c>
      <c r="G194" s="11">
        <v>0</v>
      </c>
      <c r="H194" s="15">
        <v>0</v>
      </c>
      <c r="I194" s="15">
        <v>0</v>
      </c>
      <c r="J194" s="15">
        <v>0</v>
      </c>
      <c r="K194" s="16">
        <v>0</v>
      </c>
    </row>
    <row r="195" spans="1:11">
      <c r="A195">
        <v>189</v>
      </c>
      <c r="B195" s="11">
        <v>0</v>
      </c>
      <c r="C195" s="15">
        <v>0</v>
      </c>
      <c r="D195" s="15">
        <v>0</v>
      </c>
      <c r="E195" s="15">
        <v>0</v>
      </c>
      <c r="F195" s="15">
        <v>0</v>
      </c>
      <c r="G195" s="11">
        <v>0</v>
      </c>
      <c r="H195" s="15">
        <v>0</v>
      </c>
      <c r="I195" s="15">
        <v>0</v>
      </c>
      <c r="J195" s="15">
        <v>0</v>
      </c>
      <c r="K195" s="16">
        <v>0</v>
      </c>
    </row>
    <row r="196" spans="1:11">
      <c r="A196">
        <v>190</v>
      </c>
      <c r="B196" s="11">
        <v>0</v>
      </c>
      <c r="C196" s="15">
        <v>0</v>
      </c>
      <c r="D196" s="15">
        <v>0</v>
      </c>
      <c r="E196" s="15">
        <v>0</v>
      </c>
      <c r="F196" s="15">
        <v>0</v>
      </c>
      <c r="G196" s="11">
        <v>0</v>
      </c>
      <c r="H196" s="15">
        <v>0</v>
      </c>
      <c r="I196" s="15">
        <v>0</v>
      </c>
      <c r="J196" s="15">
        <v>0</v>
      </c>
      <c r="K196" s="16">
        <v>0</v>
      </c>
    </row>
    <row r="197" spans="1:11">
      <c r="A197">
        <v>191</v>
      </c>
      <c r="B197" s="11">
        <v>1126.2175200000001</v>
      </c>
      <c r="C197" s="15">
        <v>250.80004599999998</v>
      </c>
      <c r="D197" s="15">
        <v>41.4</v>
      </c>
      <c r="E197" s="15">
        <v>0.2</v>
      </c>
      <c r="F197" s="15">
        <v>0</v>
      </c>
      <c r="G197" s="11">
        <v>0</v>
      </c>
      <c r="H197" s="15">
        <v>0</v>
      </c>
      <c r="I197" s="15">
        <v>0</v>
      </c>
      <c r="J197" s="15">
        <v>0</v>
      </c>
      <c r="K197" s="16">
        <v>0</v>
      </c>
    </row>
    <row r="198" spans="1:11">
      <c r="A198">
        <v>192</v>
      </c>
      <c r="B198" s="11">
        <v>1177.8769</v>
      </c>
      <c r="C198" s="15">
        <v>0</v>
      </c>
      <c r="D198" s="15">
        <v>0</v>
      </c>
      <c r="E198" s="15">
        <v>0</v>
      </c>
      <c r="F198" s="15">
        <v>0</v>
      </c>
      <c r="G198" s="11">
        <v>0</v>
      </c>
      <c r="H198" s="15">
        <v>0</v>
      </c>
      <c r="I198" s="15">
        <v>0</v>
      </c>
      <c r="J198" s="15">
        <v>0</v>
      </c>
      <c r="K198" s="16">
        <v>0</v>
      </c>
    </row>
    <row r="199" spans="1:11">
      <c r="A199">
        <v>193</v>
      </c>
      <c r="B199" s="11">
        <v>313.24779999999998</v>
      </c>
      <c r="C199" s="15">
        <v>0</v>
      </c>
      <c r="D199" s="15">
        <v>0</v>
      </c>
      <c r="E199" s="15">
        <v>0</v>
      </c>
      <c r="F199" s="15">
        <v>0</v>
      </c>
      <c r="G199" s="11">
        <v>0</v>
      </c>
      <c r="H199" s="15">
        <v>0</v>
      </c>
      <c r="I199" s="15">
        <v>0</v>
      </c>
      <c r="J199" s="15">
        <v>0</v>
      </c>
      <c r="K199" s="16">
        <v>0</v>
      </c>
    </row>
    <row r="200" spans="1:11">
      <c r="A200">
        <v>194</v>
      </c>
      <c r="B200" s="11">
        <v>30</v>
      </c>
      <c r="C200" s="15">
        <v>0</v>
      </c>
      <c r="D200" s="15">
        <v>0</v>
      </c>
      <c r="E200" s="15">
        <v>0</v>
      </c>
      <c r="F200" s="15">
        <v>0</v>
      </c>
      <c r="G200" s="11">
        <v>0</v>
      </c>
      <c r="H200" s="15">
        <v>0</v>
      </c>
      <c r="I200" s="15">
        <v>0</v>
      </c>
      <c r="J200" s="15">
        <v>0</v>
      </c>
      <c r="K200" s="16">
        <v>0</v>
      </c>
    </row>
    <row r="201" spans="1:11">
      <c r="A201">
        <v>195</v>
      </c>
      <c r="B201" s="11">
        <v>0</v>
      </c>
      <c r="C201" s="15">
        <v>0</v>
      </c>
      <c r="D201" s="15">
        <v>0</v>
      </c>
      <c r="E201" s="15">
        <v>0</v>
      </c>
      <c r="F201" s="15">
        <v>0</v>
      </c>
      <c r="G201" s="11">
        <v>0</v>
      </c>
      <c r="H201" s="15">
        <v>0</v>
      </c>
      <c r="I201" s="15">
        <v>0</v>
      </c>
      <c r="J201" s="15">
        <v>0</v>
      </c>
      <c r="K201" s="16">
        <v>0</v>
      </c>
    </row>
    <row r="202" spans="1:11">
      <c r="A202">
        <v>196</v>
      </c>
      <c r="B202" s="11">
        <v>0</v>
      </c>
      <c r="C202" s="15">
        <v>0</v>
      </c>
      <c r="D202" s="15">
        <v>0</v>
      </c>
      <c r="E202" s="15">
        <v>0</v>
      </c>
      <c r="F202" s="15">
        <v>0</v>
      </c>
      <c r="G202" s="11">
        <v>0</v>
      </c>
      <c r="H202" s="15">
        <v>0</v>
      </c>
      <c r="I202" s="15">
        <v>0</v>
      </c>
      <c r="J202" s="15">
        <v>0</v>
      </c>
      <c r="K202" s="16">
        <v>0</v>
      </c>
    </row>
    <row r="203" spans="1:11">
      <c r="A203">
        <v>197</v>
      </c>
      <c r="B203" s="11">
        <v>21.66</v>
      </c>
      <c r="C203" s="15">
        <v>0</v>
      </c>
      <c r="D203" s="15">
        <v>0</v>
      </c>
      <c r="E203" s="15">
        <v>0</v>
      </c>
      <c r="F203" s="15">
        <v>0</v>
      </c>
      <c r="G203" s="11">
        <v>0</v>
      </c>
      <c r="H203" s="15">
        <v>0</v>
      </c>
      <c r="I203" s="15">
        <v>0</v>
      </c>
      <c r="J203" s="15">
        <v>0</v>
      </c>
      <c r="K203" s="16">
        <v>0</v>
      </c>
    </row>
    <row r="204" spans="1:11">
      <c r="A204">
        <v>198</v>
      </c>
      <c r="B204" s="11">
        <v>0</v>
      </c>
      <c r="C204" s="15">
        <v>0</v>
      </c>
      <c r="D204" s="15">
        <v>0</v>
      </c>
      <c r="E204" s="15">
        <v>0</v>
      </c>
      <c r="F204" s="15">
        <v>0</v>
      </c>
      <c r="G204" s="11">
        <v>0</v>
      </c>
      <c r="H204" s="15">
        <v>0</v>
      </c>
      <c r="I204" s="15">
        <v>0</v>
      </c>
      <c r="J204" s="15">
        <v>0</v>
      </c>
      <c r="K204" s="16">
        <v>0</v>
      </c>
    </row>
    <row r="205" spans="1:11">
      <c r="A205">
        <v>199</v>
      </c>
      <c r="B205" s="11">
        <v>0</v>
      </c>
      <c r="C205" s="15">
        <v>30.308299999999999</v>
      </c>
      <c r="D205" s="15">
        <v>0</v>
      </c>
      <c r="E205" s="15">
        <v>0</v>
      </c>
      <c r="F205" s="15">
        <v>0</v>
      </c>
      <c r="G205" s="11">
        <v>0</v>
      </c>
      <c r="H205" s="15">
        <v>0</v>
      </c>
      <c r="I205" s="15">
        <v>0</v>
      </c>
      <c r="J205" s="15">
        <v>0</v>
      </c>
      <c r="K205" s="16">
        <v>0</v>
      </c>
    </row>
    <row r="206" spans="1:11">
      <c r="A206">
        <v>200</v>
      </c>
      <c r="B206" s="11">
        <v>0</v>
      </c>
      <c r="C206" s="15">
        <v>370.3</v>
      </c>
      <c r="D206" s="15">
        <v>0</v>
      </c>
      <c r="E206" s="15">
        <v>0</v>
      </c>
      <c r="F206" s="15">
        <v>0</v>
      </c>
      <c r="G206" s="11">
        <v>0</v>
      </c>
      <c r="H206" s="15">
        <v>0</v>
      </c>
      <c r="I206" s="15">
        <v>0</v>
      </c>
      <c r="J206" s="15">
        <v>0</v>
      </c>
      <c r="K206" s="16">
        <v>0</v>
      </c>
    </row>
    <row r="207" spans="1:11">
      <c r="A207">
        <v>201</v>
      </c>
      <c r="B207" s="11">
        <v>0</v>
      </c>
      <c r="C207" s="15">
        <v>1122.2999479999999</v>
      </c>
      <c r="D207" s="15">
        <v>0</v>
      </c>
      <c r="E207" s="15">
        <v>0</v>
      </c>
      <c r="F207" s="15">
        <v>0</v>
      </c>
      <c r="G207" s="11">
        <v>0</v>
      </c>
      <c r="H207" s="15">
        <v>0</v>
      </c>
      <c r="I207" s="15">
        <v>0</v>
      </c>
      <c r="J207" s="15">
        <v>0</v>
      </c>
      <c r="K207" s="16">
        <v>0</v>
      </c>
    </row>
    <row r="208" spans="1:11">
      <c r="A208">
        <v>202</v>
      </c>
      <c r="B208" s="11">
        <v>4.6324860000000001</v>
      </c>
      <c r="C208" s="15">
        <v>0</v>
      </c>
      <c r="D208" s="15">
        <v>0</v>
      </c>
      <c r="E208" s="15">
        <v>0</v>
      </c>
      <c r="F208" s="15">
        <v>0</v>
      </c>
      <c r="G208" s="11">
        <v>0</v>
      </c>
      <c r="H208" s="15">
        <v>0</v>
      </c>
      <c r="I208" s="15">
        <v>0</v>
      </c>
      <c r="J208" s="15">
        <v>0</v>
      </c>
      <c r="K208" s="16">
        <v>0</v>
      </c>
    </row>
    <row r="209" spans="1:11">
      <c r="A209">
        <v>203</v>
      </c>
      <c r="B209" s="11">
        <v>0</v>
      </c>
      <c r="C209" s="15">
        <v>177.8</v>
      </c>
      <c r="D209" s="15">
        <v>0</v>
      </c>
      <c r="E209" s="15">
        <v>0</v>
      </c>
      <c r="F209" s="15">
        <v>0</v>
      </c>
      <c r="G209" s="11">
        <v>0</v>
      </c>
      <c r="H209" s="15">
        <v>0</v>
      </c>
      <c r="I209" s="15">
        <v>0</v>
      </c>
      <c r="J209" s="15">
        <v>0</v>
      </c>
      <c r="K209" s="16">
        <v>0</v>
      </c>
    </row>
    <row r="210" spans="1:11">
      <c r="A210">
        <v>204</v>
      </c>
      <c r="B210" s="11">
        <v>0</v>
      </c>
      <c r="C210" s="15">
        <v>0</v>
      </c>
      <c r="D210" s="15">
        <v>0</v>
      </c>
      <c r="E210" s="15">
        <v>0</v>
      </c>
      <c r="F210" s="15">
        <v>0</v>
      </c>
      <c r="G210" s="11">
        <v>0</v>
      </c>
      <c r="H210" s="15">
        <v>0</v>
      </c>
      <c r="I210" s="15">
        <v>0</v>
      </c>
      <c r="J210" s="15">
        <v>0</v>
      </c>
      <c r="K210" s="16">
        <v>0</v>
      </c>
    </row>
    <row r="211" spans="1:11">
      <c r="A211">
        <v>205</v>
      </c>
      <c r="B211" s="11">
        <v>6666.6294540000008</v>
      </c>
      <c r="C211" s="15">
        <v>0</v>
      </c>
      <c r="D211" s="15">
        <v>0</v>
      </c>
      <c r="E211" s="15">
        <v>0</v>
      </c>
      <c r="F211" s="15">
        <v>0</v>
      </c>
      <c r="G211" s="11">
        <v>0</v>
      </c>
      <c r="H211" s="15">
        <v>0</v>
      </c>
      <c r="I211" s="15">
        <v>0</v>
      </c>
      <c r="J211" s="15">
        <v>0</v>
      </c>
      <c r="K211" s="16">
        <v>0</v>
      </c>
    </row>
    <row r="212" spans="1:11">
      <c r="A212">
        <v>206</v>
      </c>
      <c r="B212" s="11">
        <v>0</v>
      </c>
      <c r="C212" s="15">
        <v>0</v>
      </c>
      <c r="D212" s="15">
        <v>0</v>
      </c>
      <c r="E212" s="15">
        <v>0</v>
      </c>
      <c r="F212" s="15">
        <v>0</v>
      </c>
      <c r="G212" s="11">
        <v>0</v>
      </c>
      <c r="H212" s="15">
        <v>0</v>
      </c>
      <c r="I212" s="15">
        <v>0</v>
      </c>
      <c r="J212" s="15">
        <v>0</v>
      </c>
      <c r="K212" s="16">
        <v>0</v>
      </c>
    </row>
    <row r="213" spans="1:11">
      <c r="A213">
        <v>207</v>
      </c>
      <c r="B213" s="11">
        <v>37.799999999999997</v>
      </c>
      <c r="C213" s="15">
        <v>12.6</v>
      </c>
      <c r="D213" s="15">
        <v>0</v>
      </c>
      <c r="E213" s="15">
        <v>0</v>
      </c>
      <c r="F213" s="15">
        <v>0</v>
      </c>
      <c r="G213" s="11">
        <v>0</v>
      </c>
      <c r="H213" s="15">
        <v>0</v>
      </c>
      <c r="I213" s="15">
        <v>0</v>
      </c>
      <c r="J213" s="15">
        <v>0</v>
      </c>
      <c r="K213" s="16">
        <v>0</v>
      </c>
    </row>
    <row r="214" spans="1:11">
      <c r="A214">
        <v>208</v>
      </c>
      <c r="B214" s="11">
        <v>46.700890000000001</v>
      </c>
      <c r="C214" s="15">
        <v>351.9</v>
      </c>
      <c r="D214" s="15">
        <v>0</v>
      </c>
      <c r="E214" s="15">
        <v>0</v>
      </c>
      <c r="F214" s="15">
        <v>0</v>
      </c>
      <c r="G214" s="11">
        <v>0</v>
      </c>
      <c r="H214" s="15">
        <v>0</v>
      </c>
      <c r="I214" s="15">
        <v>0</v>
      </c>
      <c r="J214" s="15">
        <v>0</v>
      </c>
      <c r="K214" s="16">
        <v>0</v>
      </c>
    </row>
    <row r="215" spans="1:11">
      <c r="A215">
        <v>209</v>
      </c>
      <c r="B215" s="11">
        <v>3470.5210299999999</v>
      </c>
      <c r="C215" s="15">
        <v>19</v>
      </c>
      <c r="D215" s="15">
        <v>0</v>
      </c>
      <c r="E215" s="15">
        <v>0</v>
      </c>
      <c r="F215" s="15">
        <v>0</v>
      </c>
      <c r="G215" s="11">
        <v>0</v>
      </c>
      <c r="H215" s="15">
        <v>0</v>
      </c>
      <c r="I215" s="15">
        <v>0</v>
      </c>
      <c r="J215" s="15">
        <v>0</v>
      </c>
      <c r="K215" s="16">
        <v>0</v>
      </c>
    </row>
    <row r="216" spans="1:11">
      <c r="A216">
        <v>210</v>
      </c>
      <c r="B216" s="11">
        <v>2357.2327999999998</v>
      </c>
      <c r="C216" s="15">
        <v>10</v>
      </c>
      <c r="D216" s="15">
        <v>0</v>
      </c>
      <c r="E216" s="15">
        <v>0</v>
      </c>
      <c r="F216" s="15">
        <v>0</v>
      </c>
      <c r="G216" s="11">
        <v>0</v>
      </c>
      <c r="H216" s="15">
        <v>0</v>
      </c>
      <c r="I216" s="15">
        <v>0</v>
      </c>
      <c r="J216" s="15">
        <v>0</v>
      </c>
      <c r="K216" s="16">
        <v>0</v>
      </c>
    </row>
    <row r="217" spans="1:11">
      <c r="A217">
        <v>211</v>
      </c>
      <c r="B217" s="11">
        <v>60.6</v>
      </c>
      <c r="C217" s="15">
        <v>3</v>
      </c>
      <c r="D217" s="15">
        <v>0</v>
      </c>
      <c r="E217" s="15">
        <v>0</v>
      </c>
      <c r="F217" s="15">
        <v>0</v>
      </c>
      <c r="G217" s="11">
        <v>0</v>
      </c>
      <c r="H217" s="15">
        <v>0</v>
      </c>
      <c r="I217" s="15">
        <v>0</v>
      </c>
      <c r="J217" s="15">
        <v>0</v>
      </c>
      <c r="K217" s="16">
        <v>0</v>
      </c>
    </row>
    <row r="218" spans="1:11">
      <c r="A218">
        <v>212</v>
      </c>
      <c r="B218" s="11">
        <v>1274.6732000000002</v>
      </c>
      <c r="C218" s="15">
        <v>304.7</v>
      </c>
      <c r="D218" s="15">
        <v>21.7</v>
      </c>
      <c r="E218" s="15">
        <v>0.3</v>
      </c>
      <c r="F218" s="15">
        <v>0</v>
      </c>
      <c r="G218" s="11">
        <v>0</v>
      </c>
      <c r="H218" s="15">
        <v>0</v>
      </c>
      <c r="I218" s="15">
        <v>0</v>
      </c>
      <c r="J218" s="15">
        <v>0</v>
      </c>
      <c r="K218" s="16">
        <v>18.799469999999999</v>
      </c>
    </row>
    <row r="219" spans="1:11">
      <c r="A219">
        <v>213</v>
      </c>
      <c r="B219" s="11">
        <v>1937.5331000000001</v>
      </c>
      <c r="C219" s="15">
        <v>7.6</v>
      </c>
      <c r="D219" s="15">
        <v>0</v>
      </c>
      <c r="E219" s="15">
        <v>0</v>
      </c>
      <c r="F219" s="15">
        <v>0</v>
      </c>
      <c r="G219" s="11">
        <v>0</v>
      </c>
      <c r="H219" s="15">
        <v>0</v>
      </c>
      <c r="I219" s="15">
        <v>0</v>
      </c>
      <c r="J219" s="15">
        <v>0</v>
      </c>
      <c r="K219" s="16">
        <v>0</v>
      </c>
    </row>
    <row r="220" spans="1:11">
      <c r="A220">
        <v>214</v>
      </c>
      <c r="B220" s="11">
        <v>1631.4881</v>
      </c>
      <c r="C220" s="15">
        <v>73.400000000000006</v>
      </c>
      <c r="D220" s="15">
        <v>1</v>
      </c>
      <c r="E220" s="15">
        <v>0</v>
      </c>
      <c r="F220" s="15">
        <v>0</v>
      </c>
      <c r="G220" s="11">
        <v>0</v>
      </c>
      <c r="H220" s="15">
        <v>0</v>
      </c>
      <c r="I220" s="15">
        <v>0</v>
      </c>
      <c r="J220" s="15">
        <v>0</v>
      </c>
      <c r="K220" s="16">
        <v>0</v>
      </c>
    </row>
    <row r="221" spans="1:11">
      <c r="A221">
        <v>215</v>
      </c>
      <c r="B221" s="11">
        <v>3957.2169000000004</v>
      </c>
      <c r="C221" s="15">
        <v>1.6</v>
      </c>
      <c r="D221" s="15">
        <v>0</v>
      </c>
      <c r="E221" s="15">
        <v>0</v>
      </c>
      <c r="F221" s="15">
        <v>0</v>
      </c>
      <c r="G221" s="11">
        <v>0</v>
      </c>
      <c r="H221" s="15">
        <v>0</v>
      </c>
      <c r="I221" s="15">
        <v>0</v>
      </c>
      <c r="J221" s="15">
        <v>0</v>
      </c>
      <c r="K221" s="16">
        <v>0</v>
      </c>
    </row>
    <row r="222" spans="1:11">
      <c r="A222">
        <v>216</v>
      </c>
      <c r="B222" s="11">
        <v>61.8</v>
      </c>
      <c r="C222" s="15">
        <v>5.3</v>
      </c>
      <c r="D222" s="15">
        <v>0</v>
      </c>
      <c r="E222" s="15">
        <v>0</v>
      </c>
      <c r="F222" s="15">
        <v>0</v>
      </c>
      <c r="G222" s="11">
        <v>0</v>
      </c>
      <c r="H222" s="15">
        <v>0</v>
      </c>
      <c r="I222" s="15">
        <v>0</v>
      </c>
      <c r="J222" s="15">
        <v>0</v>
      </c>
      <c r="K222" s="16">
        <v>0</v>
      </c>
    </row>
    <row r="223" spans="1:11">
      <c r="A223">
        <v>217</v>
      </c>
      <c r="B223" s="11">
        <v>0</v>
      </c>
      <c r="C223" s="15">
        <v>4.3</v>
      </c>
      <c r="D223" s="15">
        <v>0</v>
      </c>
      <c r="E223" s="15">
        <v>0</v>
      </c>
      <c r="F223" s="15">
        <v>0</v>
      </c>
      <c r="G223" s="11">
        <v>0</v>
      </c>
      <c r="H223" s="15">
        <v>0</v>
      </c>
      <c r="I223" s="15">
        <v>0</v>
      </c>
      <c r="J223" s="15">
        <v>0</v>
      </c>
      <c r="K223" s="16">
        <v>0</v>
      </c>
    </row>
    <row r="224" spans="1:11">
      <c r="A224">
        <v>218</v>
      </c>
      <c r="B224" s="11">
        <v>9252.9285099999997</v>
      </c>
      <c r="C224" s="15">
        <v>325.20000000000005</v>
      </c>
      <c r="D224" s="15">
        <v>0</v>
      </c>
      <c r="E224" s="15">
        <v>0</v>
      </c>
      <c r="F224" s="15">
        <v>0</v>
      </c>
      <c r="G224" s="11">
        <v>0</v>
      </c>
      <c r="H224" s="15">
        <v>0</v>
      </c>
      <c r="I224" s="15">
        <v>0</v>
      </c>
      <c r="J224" s="15">
        <v>0</v>
      </c>
      <c r="K224" s="16">
        <v>0</v>
      </c>
    </row>
    <row r="225" spans="1:11">
      <c r="A225">
        <v>219</v>
      </c>
      <c r="B225" s="11">
        <v>0</v>
      </c>
      <c r="C225" s="15">
        <v>0</v>
      </c>
      <c r="D225" s="15">
        <v>0</v>
      </c>
      <c r="E225" s="15">
        <v>0</v>
      </c>
      <c r="F225" s="15">
        <v>0</v>
      </c>
      <c r="G225" s="11">
        <v>0</v>
      </c>
      <c r="H225" s="15">
        <v>0</v>
      </c>
      <c r="I225" s="15">
        <v>0</v>
      </c>
      <c r="J225" s="15">
        <v>0</v>
      </c>
      <c r="K225" s="16">
        <v>0</v>
      </c>
    </row>
    <row r="226" spans="1:11">
      <c r="A226">
        <v>220</v>
      </c>
      <c r="B226" s="11">
        <v>0</v>
      </c>
      <c r="C226" s="15">
        <v>0</v>
      </c>
      <c r="D226" s="15">
        <v>0</v>
      </c>
      <c r="E226" s="15">
        <v>0</v>
      </c>
      <c r="F226" s="15">
        <v>0</v>
      </c>
      <c r="G226" s="11">
        <v>0</v>
      </c>
      <c r="H226" s="15">
        <v>0</v>
      </c>
      <c r="I226" s="15">
        <v>0</v>
      </c>
      <c r="J226" s="15">
        <v>0</v>
      </c>
      <c r="K226" s="16">
        <v>0</v>
      </c>
    </row>
    <row r="227" spans="1:11">
      <c r="A227">
        <v>221</v>
      </c>
      <c r="B227" s="11">
        <v>5509.2668199999998</v>
      </c>
      <c r="C227" s="15">
        <v>1</v>
      </c>
      <c r="D227" s="15">
        <v>0</v>
      </c>
      <c r="E227" s="15">
        <v>0</v>
      </c>
      <c r="F227" s="15">
        <v>0</v>
      </c>
      <c r="G227" s="11">
        <v>0</v>
      </c>
      <c r="H227" s="15">
        <v>0</v>
      </c>
      <c r="I227" s="15">
        <v>0</v>
      </c>
      <c r="J227" s="15">
        <v>0</v>
      </c>
      <c r="K227" s="16">
        <v>0</v>
      </c>
    </row>
    <row r="228" spans="1:11">
      <c r="A228">
        <v>222</v>
      </c>
      <c r="B228" s="11">
        <v>763.4</v>
      </c>
      <c r="C228" s="15">
        <v>0</v>
      </c>
      <c r="D228" s="15">
        <v>0</v>
      </c>
      <c r="E228" s="15">
        <v>0</v>
      </c>
      <c r="F228" s="15">
        <v>0</v>
      </c>
      <c r="G228" s="11">
        <v>0</v>
      </c>
      <c r="H228" s="15">
        <v>0</v>
      </c>
      <c r="I228" s="15">
        <v>0</v>
      </c>
      <c r="J228" s="15">
        <v>0</v>
      </c>
      <c r="K228" s="16">
        <v>0</v>
      </c>
    </row>
    <row r="229" spans="1:11">
      <c r="A229">
        <v>223</v>
      </c>
      <c r="B229" s="11">
        <v>0</v>
      </c>
      <c r="C229" s="15">
        <v>0</v>
      </c>
      <c r="D229" s="15">
        <v>0</v>
      </c>
      <c r="E229" s="15">
        <v>0</v>
      </c>
      <c r="F229" s="15">
        <v>0</v>
      </c>
      <c r="G229" s="11">
        <v>0</v>
      </c>
      <c r="H229" s="15">
        <v>0</v>
      </c>
      <c r="I229" s="15">
        <v>0</v>
      </c>
      <c r="J229" s="15">
        <v>0</v>
      </c>
      <c r="K229" s="16">
        <v>0</v>
      </c>
    </row>
    <row r="230" spans="1:11">
      <c r="A230">
        <v>224</v>
      </c>
      <c r="B230" s="11">
        <v>498.99995200000001</v>
      </c>
      <c r="C230" s="15">
        <v>0</v>
      </c>
      <c r="D230" s="15">
        <v>0</v>
      </c>
      <c r="E230" s="15">
        <v>0</v>
      </c>
      <c r="F230" s="15">
        <v>0</v>
      </c>
      <c r="G230" s="11">
        <v>0</v>
      </c>
      <c r="H230" s="15">
        <v>0</v>
      </c>
      <c r="I230" s="15">
        <v>0</v>
      </c>
      <c r="J230" s="15">
        <v>0</v>
      </c>
      <c r="K230" s="16">
        <v>0</v>
      </c>
    </row>
    <row r="231" spans="1:11">
      <c r="A231">
        <v>225</v>
      </c>
      <c r="B231" s="11">
        <v>0</v>
      </c>
      <c r="C231" s="15">
        <v>0</v>
      </c>
      <c r="D231" s="15">
        <v>0</v>
      </c>
      <c r="E231" s="15">
        <v>0</v>
      </c>
      <c r="F231" s="15">
        <v>0</v>
      </c>
      <c r="G231" s="11">
        <v>0</v>
      </c>
      <c r="H231" s="15">
        <v>0</v>
      </c>
      <c r="I231" s="15">
        <v>0</v>
      </c>
      <c r="J231" s="15">
        <v>0</v>
      </c>
      <c r="K231" s="16">
        <v>0</v>
      </c>
    </row>
    <row r="232" spans="1:11">
      <c r="A232">
        <v>226</v>
      </c>
      <c r="B232" s="11">
        <v>0</v>
      </c>
      <c r="C232" s="15">
        <v>0</v>
      </c>
      <c r="D232" s="15">
        <v>0</v>
      </c>
      <c r="E232" s="15">
        <v>0</v>
      </c>
      <c r="F232" s="15">
        <v>0</v>
      </c>
      <c r="G232" s="11">
        <v>0</v>
      </c>
      <c r="H232" s="15">
        <v>0</v>
      </c>
      <c r="I232" s="15">
        <v>0</v>
      </c>
      <c r="J232" s="15">
        <v>0</v>
      </c>
      <c r="K232" s="16">
        <v>0</v>
      </c>
    </row>
    <row r="233" spans="1:11">
      <c r="A233">
        <v>227</v>
      </c>
      <c r="B233" s="11">
        <v>0</v>
      </c>
      <c r="C233" s="15">
        <v>7.2</v>
      </c>
      <c r="D233" s="15">
        <v>0</v>
      </c>
      <c r="E233" s="15">
        <v>0</v>
      </c>
      <c r="F233" s="15">
        <v>0</v>
      </c>
      <c r="G233" s="11">
        <v>0</v>
      </c>
      <c r="H233" s="15">
        <v>0</v>
      </c>
      <c r="I233" s="15">
        <v>0</v>
      </c>
      <c r="J233" s="15">
        <v>0</v>
      </c>
      <c r="K233" s="16">
        <v>0</v>
      </c>
    </row>
    <row r="234" spans="1:11">
      <c r="A234">
        <v>228</v>
      </c>
      <c r="B234" s="11">
        <v>0</v>
      </c>
      <c r="C234" s="15">
        <v>1.6</v>
      </c>
      <c r="D234" s="15">
        <v>0</v>
      </c>
      <c r="E234" s="15">
        <v>0</v>
      </c>
      <c r="F234" s="15">
        <v>0</v>
      </c>
      <c r="G234" s="11">
        <v>0</v>
      </c>
      <c r="H234" s="15">
        <v>0</v>
      </c>
      <c r="I234" s="15">
        <v>0</v>
      </c>
      <c r="J234" s="15">
        <v>0</v>
      </c>
      <c r="K234" s="16">
        <v>0</v>
      </c>
    </row>
    <row r="235" spans="1:11">
      <c r="A235">
        <v>229</v>
      </c>
      <c r="B235" s="11">
        <v>0</v>
      </c>
      <c r="C235" s="15">
        <v>0</v>
      </c>
      <c r="D235" s="15">
        <v>0</v>
      </c>
      <c r="E235" s="15">
        <v>0</v>
      </c>
      <c r="F235" s="15">
        <v>0</v>
      </c>
      <c r="G235" s="11">
        <v>0</v>
      </c>
      <c r="H235" s="15">
        <v>0</v>
      </c>
      <c r="I235" s="15">
        <v>0</v>
      </c>
      <c r="J235" s="15">
        <v>0</v>
      </c>
      <c r="K235" s="16">
        <v>0</v>
      </c>
    </row>
    <row r="236" spans="1:11">
      <c r="A236">
        <v>230</v>
      </c>
      <c r="B236" s="11">
        <v>0</v>
      </c>
      <c r="C236" s="15">
        <v>0</v>
      </c>
      <c r="D236" s="15">
        <v>0</v>
      </c>
      <c r="E236" s="15">
        <v>0</v>
      </c>
      <c r="F236" s="15">
        <v>0</v>
      </c>
      <c r="G236" s="11">
        <v>0</v>
      </c>
      <c r="H236" s="15">
        <v>0</v>
      </c>
      <c r="I236" s="15">
        <v>0</v>
      </c>
      <c r="J236" s="15">
        <v>0</v>
      </c>
      <c r="K236" s="16">
        <v>0</v>
      </c>
    </row>
    <row r="237" spans="1:11">
      <c r="A237">
        <v>231</v>
      </c>
      <c r="B237" s="11">
        <v>0</v>
      </c>
      <c r="C237" s="15">
        <v>0</v>
      </c>
      <c r="D237" s="15">
        <v>0</v>
      </c>
      <c r="E237" s="15">
        <v>0</v>
      </c>
      <c r="F237" s="15">
        <v>0</v>
      </c>
      <c r="G237" s="11">
        <v>0</v>
      </c>
      <c r="H237" s="15">
        <v>0</v>
      </c>
      <c r="I237" s="15">
        <v>0</v>
      </c>
      <c r="J237" s="15">
        <v>0</v>
      </c>
      <c r="K237" s="16">
        <v>0</v>
      </c>
    </row>
    <row r="238" spans="1:11">
      <c r="A238">
        <v>232</v>
      </c>
      <c r="B238" s="11">
        <v>0</v>
      </c>
      <c r="C238" s="15">
        <v>0</v>
      </c>
      <c r="D238" s="15">
        <v>0</v>
      </c>
      <c r="E238" s="15">
        <v>0</v>
      </c>
      <c r="F238" s="15">
        <v>0</v>
      </c>
      <c r="G238" s="11">
        <v>0</v>
      </c>
      <c r="H238" s="15">
        <v>0</v>
      </c>
      <c r="I238" s="15">
        <v>0</v>
      </c>
      <c r="J238" s="15">
        <v>0</v>
      </c>
      <c r="K238" s="16">
        <v>0</v>
      </c>
    </row>
    <row r="239" spans="1:11">
      <c r="A239">
        <v>233</v>
      </c>
      <c r="B239" s="11">
        <v>0</v>
      </c>
      <c r="C239" s="15">
        <v>0</v>
      </c>
      <c r="D239" s="15">
        <v>0</v>
      </c>
      <c r="E239" s="15">
        <v>0</v>
      </c>
      <c r="F239" s="15">
        <v>0</v>
      </c>
      <c r="G239" s="11">
        <v>0</v>
      </c>
      <c r="H239" s="15">
        <v>0</v>
      </c>
      <c r="I239" s="15">
        <v>0</v>
      </c>
      <c r="J239" s="15">
        <v>0</v>
      </c>
      <c r="K239" s="16">
        <v>0</v>
      </c>
    </row>
    <row r="240" spans="1:11">
      <c r="A240">
        <v>234</v>
      </c>
      <c r="B240" s="11">
        <v>0</v>
      </c>
      <c r="C240" s="15">
        <v>0</v>
      </c>
      <c r="D240" s="15">
        <v>0</v>
      </c>
      <c r="E240" s="15">
        <v>0</v>
      </c>
      <c r="F240" s="15">
        <v>0</v>
      </c>
      <c r="G240" s="11">
        <v>0</v>
      </c>
      <c r="H240" s="15">
        <v>0</v>
      </c>
      <c r="I240" s="15">
        <v>0</v>
      </c>
      <c r="J240" s="15">
        <v>0</v>
      </c>
      <c r="K240" s="16">
        <v>0</v>
      </c>
    </row>
    <row r="241" spans="1:11">
      <c r="A241">
        <v>235</v>
      </c>
      <c r="B241" s="11">
        <v>0</v>
      </c>
      <c r="C241" s="15">
        <v>0</v>
      </c>
      <c r="D241" s="15">
        <v>0</v>
      </c>
      <c r="E241" s="15">
        <v>0</v>
      </c>
      <c r="F241" s="15">
        <v>0</v>
      </c>
      <c r="G241" s="11">
        <v>0</v>
      </c>
      <c r="H241" s="15">
        <v>0</v>
      </c>
      <c r="I241" s="15">
        <v>0</v>
      </c>
      <c r="J241" s="15">
        <v>0</v>
      </c>
      <c r="K241" s="16">
        <v>0</v>
      </c>
    </row>
    <row r="242" spans="1:11">
      <c r="A242">
        <v>236</v>
      </c>
      <c r="B242" s="11">
        <v>0</v>
      </c>
      <c r="C242" s="15">
        <v>0</v>
      </c>
      <c r="D242" s="15">
        <v>0</v>
      </c>
      <c r="E242" s="15">
        <v>0</v>
      </c>
      <c r="F242" s="15">
        <v>0</v>
      </c>
      <c r="G242" s="11">
        <v>0</v>
      </c>
      <c r="H242" s="15">
        <v>0</v>
      </c>
      <c r="I242" s="15">
        <v>0</v>
      </c>
      <c r="J242" s="15">
        <v>0</v>
      </c>
      <c r="K242" s="16">
        <v>0</v>
      </c>
    </row>
    <row r="243" spans="1:11">
      <c r="A243">
        <v>237</v>
      </c>
      <c r="B243" s="11">
        <v>0</v>
      </c>
      <c r="C243" s="15">
        <v>0</v>
      </c>
      <c r="D243" s="15">
        <v>0</v>
      </c>
      <c r="E243" s="15">
        <v>0</v>
      </c>
      <c r="F243" s="15">
        <v>0</v>
      </c>
      <c r="G243" s="11">
        <v>0</v>
      </c>
      <c r="H243" s="15">
        <v>0</v>
      </c>
      <c r="I243" s="15">
        <v>0</v>
      </c>
      <c r="J243" s="15">
        <v>0</v>
      </c>
      <c r="K243" s="16">
        <v>0</v>
      </c>
    </row>
    <row r="244" spans="1:11">
      <c r="A244">
        <v>238</v>
      </c>
      <c r="B244" s="11">
        <v>0</v>
      </c>
      <c r="C244" s="15">
        <v>0</v>
      </c>
      <c r="D244" s="15">
        <v>0</v>
      </c>
      <c r="E244" s="15">
        <v>0</v>
      </c>
      <c r="F244" s="15">
        <v>0</v>
      </c>
      <c r="G244" s="11">
        <v>0</v>
      </c>
      <c r="H244" s="15">
        <v>0</v>
      </c>
      <c r="I244" s="15">
        <v>0</v>
      </c>
      <c r="J244" s="15">
        <v>0</v>
      </c>
      <c r="K244" s="16">
        <v>0</v>
      </c>
    </row>
    <row r="245" spans="1:11">
      <c r="A245">
        <v>239</v>
      </c>
      <c r="B245" s="11">
        <v>0</v>
      </c>
      <c r="C245" s="15">
        <v>0</v>
      </c>
      <c r="D245" s="15">
        <v>0</v>
      </c>
      <c r="E245" s="15">
        <v>0</v>
      </c>
      <c r="F245" s="15">
        <v>0</v>
      </c>
      <c r="G245" s="11">
        <v>0</v>
      </c>
      <c r="H245" s="15">
        <v>0</v>
      </c>
      <c r="I245" s="15">
        <v>0</v>
      </c>
      <c r="J245" s="15">
        <v>0</v>
      </c>
      <c r="K245" s="16">
        <v>0</v>
      </c>
    </row>
    <row r="246" spans="1:11">
      <c r="A246">
        <v>240</v>
      </c>
      <c r="B246" s="11">
        <v>0</v>
      </c>
      <c r="C246" s="15">
        <v>0</v>
      </c>
      <c r="D246" s="15">
        <v>0</v>
      </c>
      <c r="E246" s="15">
        <v>0</v>
      </c>
      <c r="F246" s="15">
        <v>0</v>
      </c>
      <c r="G246" s="11">
        <v>0</v>
      </c>
      <c r="H246" s="15">
        <v>0</v>
      </c>
      <c r="I246" s="15">
        <v>0</v>
      </c>
      <c r="J246" s="15">
        <v>0</v>
      </c>
      <c r="K246" s="16">
        <v>0</v>
      </c>
    </row>
    <row r="247" spans="1:11">
      <c r="A247">
        <v>241</v>
      </c>
      <c r="B247" s="11">
        <v>188.50399999999999</v>
      </c>
      <c r="C247" s="15">
        <v>26.952000000000002</v>
      </c>
      <c r="D247" s="15">
        <v>5.3</v>
      </c>
      <c r="E247" s="15">
        <v>1.6</v>
      </c>
      <c r="F247" s="15">
        <v>0</v>
      </c>
      <c r="G247" s="11">
        <v>0</v>
      </c>
      <c r="H247" s="15">
        <v>0</v>
      </c>
      <c r="I247" s="15">
        <v>0</v>
      </c>
      <c r="J247" s="15">
        <v>0</v>
      </c>
      <c r="K247" s="16">
        <v>0</v>
      </c>
    </row>
    <row r="248" spans="1:11">
      <c r="A248">
        <v>242</v>
      </c>
      <c r="B248" s="11">
        <v>96.637</v>
      </c>
      <c r="C248" s="15">
        <v>12.493</v>
      </c>
      <c r="D248" s="15">
        <v>0.5</v>
      </c>
      <c r="E248" s="15">
        <v>0</v>
      </c>
      <c r="F248" s="15">
        <v>0</v>
      </c>
      <c r="G248" s="11">
        <v>0</v>
      </c>
      <c r="H248" s="15">
        <v>0</v>
      </c>
      <c r="I248" s="15">
        <v>0</v>
      </c>
      <c r="J248" s="15">
        <v>0</v>
      </c>
      <c r="K248" s="16">
        <v>0</v>
      </c>
    </row>
    <row r="249" spans="1:11">
      <c r="A249">
        <v>243</v>
      </c>
      <c r="B249" s="11">
        <v>0</v>
      </c>
      <c r="C249" s="15">
        <v>82.34</v>
      </c>
      <c r="D249" s="15">
        <v>22.6</v>
      </c>
      <c r="E249" s="15">
        <v>12.2</v>
      </c>
      <c r="F249" s="15">
        <v>1</v>
      </c>
      <c r="G249" s="11">
        <v>0</v>
      </c>
      <c r="H249" s="15">
        <v>0</v>
      </c>
      <c r="I249" s="15">
        <v>0</v>
      </c>
      <c r="J249" s="15">
        <v>0</v>
      </c>
      <c r="K249" s="16">
        <v>0</v>
      </c>
    </row>
    <row r="250" spans="1:11">
      <c r="A250">
        <v>244</v>
      </c>
      <c r="B250" s="11">
        <v>0</v>
      </c>
      <c r="C250" s="15">
        <v>28</v>
      </c>
      <c r="D250" s="15">
        <v>8.3000000000000007</v>
      </c>
      <c r="E250" s="15">
        <v>10.199999999999999</v>
      </c>
      <c r="F250" s="15">
        <v>3.8</v>
      </c>
      <c r="G250" s="11">
        <v>0</v>
      </c>
      <c r="H250" s="15">
        <v>0</v>
      </c>
      <c r="I250" s="15">
        <v>0</v>
      </c>
      <c r="J250" s="15">
        <v>0</v>
      </c>
      <c r="K250" s="16">
        <v>0</v>
      </c>
    </row>
    <row r="251" spans="1:11">
      <c r="A251">
        <v>245</v>
      </c>
      <c r="B251" s="11">
        <v>47.9</v>
      </c>
      <c r="C251" s="15">
        <v>33.799999999999997</v>
      </c>
      <c r="D251" s="15">
        <v>22.6</v>
      </c>
      <c r="E251" s="15">
        <v>14.7</v>
      </c>
      <c r="F251" s="15">
        <v>0.4</v>
      </c>
      <c r="G251" s="11">
        <v>0</v>
      </c>
      <c r="H251" s="15">
        <v>0</v>
      </c>
      <c r="I251" s="15">
        <v>0</v>
      </c>
      <c r="J251" s="15">
        <v>0</v>
      </c>
      <c r="K251" s="16">
        <v>0</v>
      </c>
    </row>
    <row r="252" spans="1:11">
      <c r="A252">
        <v>246</v>
      </c>
      <c r="B252" s="11">
        <v>0</v>
      </c>
      <c r="C252" s="15">
        <v>0.3</v>
      </c>
      <c r="D252" s="15">
        <v>0</v>
      </c>
      <c r="E252" s="15">
        <v>0</v>
      </c>
      <c r="F252" s="15">
        <v>0</v>
      </c>
      <c r="G252" s="11">
        <v>0</v>
      </c>
      <c r="H252" s="15">
        <v>0</v>
      </c>
      <c r="I252" s="15">
        <v>0</v>
      </c>
      <c r="J252" s="15">
        <v>0</v>
      </c>
      <c r="K252" s="16">
        <v>0</v>
      </c>
    </row>
    <row r="253" spans="1:11">
      <c r="A253">
        <v>247</v>
      </c>
      <c r="B253" s="11">
        <v>0</v>
      </c>
      <c r="C253" s="15">
        <v>1.3</v>
      </c>
      <c r="D253" s="15">
        <v>0</v>
      </c>
      <c r="E253" s="15">
        <v>0</v>
      </c>
      <c r="F253" s="15">
        <v>0</v>
      </c>
      <c r="G253" s="11">
        <v>0</v>
      </c>
      <c r="H253" s="15">
        <v>0</v>
      </c>
      <c r="I253" s="15">
        <v>0</v>
      </c>
      <c r="J253" s="15">
        <v>0</v>
      </c>
      <c r="K253" s="16">
        <v>0</v>
      </c>
    </row>
    <row r="254" spans="1:11">
      <c r="A254">
        <v>248</v>
      </c>
      <c r="B254" s="11">
        <v>0</v>
      </c>
      <c r="C254" s="15">
        <v>37.200000000000003</v>
      </c>
      <c r="D254" s="15">
        <v>7.6</v>
      </c>
      <c r="E254" s="15">
        <v>3.9</v>
      </c>
      <c r="F254" s="15">
        <v>0.4</v>
      </c>
      <c r="G254" s="11">
        <v>0</v>
      </c>
      <c r="H254" s="15">
        <v>0</v>
      </c>
      <c r="I254" s="15">
        <v>0</v>
      </c>
      <c r="J254" s="15">
        <v>0</v>
      </c>
      <c r="K254" s="16">
        <v>0</v>
      </c>
    </row>
    <row r="255" spans="1:11">
      <c r="A255">
        <v>249</v>
      </c>
      <c r="B255" s="11">
        <v>0</v>
      </c>
      <c r="C255" s="15">
        <v>112.6</v>
      </c>
      <c r="D255" s="15">
        <v>25.9</v>
      </c>
      <c r="E255" s="15">
        <v>21.7</v>
      </c>
      <c r="F255" s="15">
        <v>10.8</v>
      </c>
      <c r="G255" s="11">
        <v>0</v>
      </c>
      <c r="H255" s="15">
        <v>0</v>
      </c>
      <c r="I255" s="15">
        <v>0</v>
      </c>
      <c r="J255" s="15">
        <v>0</v>
      </c>
      <c r="K255" s="16">
        <v>0</v>
      </c>
    </row>
    <row r="256" spans="1:11">
      <c r="A256">
        <v>250</v>
      </c>
      <c r="B256" s="11">
        <v>455.75420000000003</v>
      </c>
      <c r="C256" s="15">
        <v>367.8</v>
      </c>
      <c r="D256" s="15">
        <v>160.4</v>
      </c>
      <c r="E256" s="15">
        <v>137.19999999999999</v>
      </c>
      <c r="F256" s="15">
        <v>40.299999999999997</v>
      </c>
      <c r="G256" s="11">
        <v>0</v>
      </c>
      <c r="H256" s="15">
        <v>0</v>
      </c>
      <c r="I256" s="15">
        <v>0</v>
      </c>
      <c r="J256" s="15">
        <v>0</v>
      </c>
      <c r="K256" s="16">
        <v>0</v>
      </c>
    </row>
    <row r="257" spans="1:11">
      <c r="A257">
        <v>251</v>
      </c>
      <c r="B257" s="11">
        <v>0</v>
      </c>
      <c r="C257" s="15">
        <v>0</v>
      </c>
      <c r="D257" s="15">
        <v>0</v>
      </c>
      <c r="E257" s="15">
        <v>0</v>
      </c>
      <c r="F257" s="15">
        <v>0</v>
      </c>
      <c r="G257" s="11">
        <v>0</v>
      </c>
      <c r="H257" s="15">
        <v>0</v>
      </c>
      <c r="I257" s="15">
        <v>0</v>
      </c>
      <c r="J257" s="15">
        <v>0</v>
      </c>
      <c r="K257" s="16">
        <v>0</v>
      </c>
    </row>
    <row r="258" spans="1:11">
      <c r="A258">
        <v>252</v>
      </c>
      <c r="B258" s="11">
        <v>0</v>
      </c>
      <c r="C258" s="15">
        <v>80.3</v>
      </c>
      <c r="D258" s="15">
        <v>3.7</v>
      </c>
      <c r="E258" s="15">
        <v>0</v>
      </c>
      <c r="F258" s="15">
        <v>0</v>
      </c>
      <c r="G258" s="11">
        <v>0</v>
      </c>
      <c r="H258" s="15">
        <v>0</v>
      </c>
      <c r="I258" s="15">
        <v>0</v>
      </c>
      <c r="J258" s="15">
        <v>0</v>
      </c>
      <c r="K258" s="16">
        <v>0</v>
      </c>
    </row>
    <row r="259" spans="1:11">
      <c r="A259">
        <v>253</v>
      </c>
      <c r="B259" s="11">
        <v>580.9</v>
      </c>
      <c r="C259" s="15">
        <v>129.80000000000001</v>
      </c>
      <c r="D259" s="15">
        <v>41.7</v>
      </c>
      <c r="E259" s="15">
        <v>8.6999999999999993</v>
      </c>
      <c r="F259" s="15">
        <v>0</v>
      </c>
      <c r="G259" s="11">
        <v>0</v>
      </c>
      <c r="H259" s="15">
        <v>0</v>
      </c>
      <c r="I259" s="15">
        <v>0</v>
      </c>
      <c r="J259" s="15">
        <v>0</v>
      </c>
      <c r="K259" s="16">
        <v>0</v>
      </c>
    </row>
    <row r="260" spans="1:11">
      <c r="A260">
        <v>254</v>
      </c>
      <c r="B260" s="11">
        <v>360.8</v>
      </c>
      <c r="C260" s="15">
        <v>130.69999999999999</v>
      </c>
      <c r="D260" s="15">
        <v>59.5</v>
      </c>
      <c r="E260" s="15">
        <v>6.1</v>
      </c>
      <c r="F260" s="15">
        <v>0.2</v>
      </c>
      <c r="G260" s="11">
        <v>0</v>
      </c>
      <c r="H260" s="15">
        <v>0</v>
      </c>
      <c r="I260" s="15">
        <v>0</v>
      </c>
      <c r="J260" s="15">
        <v>0</v>
      </c>
      <c r="K260" s="16">
        <v>0</v>
      </c>
    </row>
    <row r="261" spans="1:11">
      <c r="A261">
        <v>255</v>
      </c>
      <c r="B261" s="11">
        <v>151.9</v>
      </c>
      <c r="C261" s="15">
        <v>14.9</v>
      </c>
      <c r="D261" s="15">
        <v>0</v>
      </c>
      <c r="E261" s="15">
        <v>0</v>
      </c>
      <c r="F261" s="15">
        <v>0</v>
      </c>
      <c r="G261" s="11">
        <v>0</v>
      </c>
      <c r="H261" s="15">
        <v>0</v>
      </c>
      <c r="I261" s="15">
        <v>0</v>
      </c>
      <c r="J261" s="15">
        <v>0</v>
      </c>
      <c r="K261" s="16">
        <v>0</v>
      </c>
    </row>
    <row r="262" spans="1:11">
      <c r="A262">
        <v>256</v>
      </c>
      <c r="B262" s="11">
        <v>0</v>
      </c>
      <c r="C262" s="15">
        <v>0</v>
      </c>
      <c r="D262" s="15">
        <v>0</v>
      </c>
      <c r="E262" s="15">
        <v>0</v>
      </c>
      <c r="F262" s="15">
        <v>0</v>
      </c>
      <c r="G262" s="11">
        <v>0</v>
      </c>
      <c r="H262" s="15">
        <v>0</v>
      </c>
      <c r="I262" s="15">
        <v>0</v>
      </c>
      <c r="J262" s="15">
        <v>0</v>
      </c>
      <c r="K262" s="16">
        <v>0</v>
      </c>
    </row>
    <row r="263" spans="1:11">
      <c r="A263">
        <v>257</v>
      </c>
      <c r="B263" s="11">
        <v>0</v>
      </c>
      <c r="C263" s="15">
        <v>0</v>
      </c>
      <c r="D263" s="15">
        <v>0</v>
      </c>
      <c r="E263" s="15">
        <v>0</v>
      </c>
      <c r="F263" s="15">
        <v>0</v>
      </c>
      <c r="G263" s="11">
        <v>0</v>
      </c>
      <c r="H263" s="15">
        <v>0</v>
      </c>
      <c r="I263" s="15">
        <v>0</v>
      </c>
      <c r="J263" s="15">
        <v>0</v>
      </c>
      <c r="K263" s="16">
        <v>0</v>
      </c>
    </row>
    <row r="264" spans="1:11">
      <c r="A264">
        <v>258</v>
      </c>
      <c r="B264" s="11">
        <v>0</v>
      </c>
      <c r="C264" s="15">
        <v>0</v>
      </c>
      <c r="D264" s="15">
        <v>0</v>
      </c>
      <c r="E264" s="15">
        <v>0</v>
      </c>
      <c r="F264" s="15">
        <v>0</v>
      </c>
      <c r="G264" s="11">
        <v>0</v>
      </c>
      <c r="H264" s="15">
        <v>0</v>
      </c>
      <c r="I264" s="15">
        <v>0</v>
      </c>
      <c r="J264" s="15">
        <v>0</v>
      </c>
      <c r="K264" s="16">
        <v>0</v>
      </c>
    </row>
    <row r="265" spans="1:11">
      <c r="A265">
        <v>259</v>
      </c>
      <c r="B265" s="11">
        <v>0</v>
      </c>
      <c r="C265" s="15">
        <v>0</v>
      </c>
      <c r="D265" s="15">
        <v>0</v>
      </c>
      <c r="E265" s="15">
        <v>0</v>
      </c>
      <c r="F265" s="15">
        <v>0</v>
      </c>
      <c r="G265" s="11">
        <v>0</v>
      </c>
      <c r="H265" s="15">
        <v>0</v>
      </c>
      <c r="I265" s="15">
        <v>0</v>
      </c>
      <c r="J265" s="15">
        <v>0</v>
      </c>
      <c r="K265" s="16">
        <v>0</v>
      </c>
    </row>
    <row r="266" spans="1:11">
      <c r="A266">
        <v>260</v>
      </c>
      <c r="B266" s="11">
        <v>0</v>
      </c>
      <c r="C266" s="15">
        <v>0</v>
      </c>
      <c r="D266" s="15">
        <v>0</v>
      </c>
      <c r="E266" s="15">
        <v>0</v>
      </c>
      <c r="F266" s="15">
        <v>0</v>
      </c>
      <c r="G266" s="11">
        <v>0</v>
      </c>
      <c r="H266" s="15">
        <v>0</v>
      </c>
      <c r="I266" s="15">
        <v>0</v>
      </c>
      <c r="J266" s="15">
        <v>0</v>
      </c>
      <c r="K266" s="16">
        <v>0</v>
      </c>
    </row>
    <row r="267" spans="1:11">
      <c r="A267">
        <v>261</v>
      </c>
      <c r="B267" s="11">
        <v>0</v>
      </c>
      <c r="C267" s="15">
        <v>0</v>
      </c>
      <c r="D267" s="15">
        <v>0</v>
      </c>
      <c r="E267" s="15">
        <v>0</v>
      </c>
      <c r="F267" s="15">
        <v>0</v>
      </c>
      <c r="G267" s="11">
        <v>0</v>
      </c>
      <c r="H267" s="15">
        <v>0</v>
      </c>
      <c r="I267" s="15">
        <v>0</v>
      </c>
      <c r="J267" s="15">
        <v>0</v>
      </c>
      <c r="K267" s="16">
        <v>0</v>
      </c>
    </row>
    <row r="268" spans="1:11">
      <c r="A268">
        <v>262</v>
      </c>
      <c r="B268" s="11">
        <v>0</v>
      </c>
      <c r="C268" s="15">
        <v>0</v>
      </c>
      <c r="D268" s="15">
        <v>0</v>
      </c>
      <c r="E268" s="15">
        <v>0</v>
      </c>
      <c r="F268" s="15">
        <v>0</v>
      </c>
      <c r="G268" s="11">
        <v>0</v>
      </c>
      <c r="H268" s="15">
        <v>0</v>
      </c>
      <c r="I268" s="15">
        <v>0</v>
      </c>
      <c r="J268" s="15">
        <v>0</v>
      </c>
      <c r="K268" s="16">
        <v>0</v>
      </c>
    </row>
    <row r="269" spans="1:11">
      <c r="A269">
        <v>263</v>
      </c>
      <c r="B269" s="11">
        <v>0</v>
      </c>
      <c r="C269" s="15">
        <v>0</v>
      </c>
      <c r="D269" s="15">
        <v>0</v>
      </c>
      <c r="E269" s="15">
        <v>0</v>
      </c>
      <c r="F269" s="15">
        <v>0</v>
      </c>
      <c r="G269" s="11">
        <v>0</v>
      </c>
      <c r="H269" s="15">
        <v>0</v>
      </c>
      <c r="I269" s="15">
        <v>0</v>
      </c>
      <c r="J269" s="15">
        <v>0</v>
      </c>
      <c r="K269" s="16">
        <v>0</v>
      </c>
    </row>
    <row r="270" spans="1:11">
      <c r="A270">
        <v>264</v>
      </c>
      <c r="B270" s="11">
        <v>0</v>
      </c>
      <c r="C270" s="15">
        <v>0</v>
      </c>
      <c r="D270" s="15">
        <v>0</v>
      </c>
      <c r="E270" s="15">
        <v>0</v>
      </c>
      <c r="F270" s="15">
        <v>0</v>
      </c>
      <c r="G270" s="11">
        <v>0</v>
      </c>
      <c r="H270" s="15">
        <v>0</v>
      </c>
      <c r="I270" s="15">
        <v>0</v>
      </c>
      <c r="J270" s="15">
        <v>0</v>
      </c>
      <c r="K270" s="16">
        <v>0</v>
      </c>
    </row>
    <row r="271" spans="1:11">
      <c r="A271">
        <v>265</v>
      </c>
      <c r="B271" s="11">
        <v>0</v>
      </c>
      <c r="C271" s="15">
        <v>0</v>
      </c>
      <c r="D271" s="15">
        <v>0</v>
      </c>
      <c r="E271" s="15">
        <v>0</v>
      </c>
      <c r="F271" s="15">
        <v>0</v>
      </c>
      <c r="G271" s="11">
        <v>0</v>
      </c>
      <c r="H271" s="15">
        <v>0</v>
      </c>
      <c r="I271" s="15">
        <v>0</v>
      </c>
      <c r="J271" s="15">
        <v>0</v>
      </c>
      <c r="K271" s="16">
        <v>0</v>
      </c>
    </row>
    <row r="272" spans="1:11">
      <c r="A272">
        <v>266</v>
      </c>
      <c r="B272" s="11">
        <v>0</v>
      </c>
      <c r="C272" s="15">
        <v>0</v>
      </c>
      <c r="D272" s="15">
        <v>0</v>
      </c>
      <c r="E272" s="15">
        <v>0</v>
      </c>
      <c r="F272" s="15">
        <v>0</v>
      </c>
      <c r="G272" s="11">
        <v>0</v>
      </c>
      <c r="H272" s="15">
        <v>0</v>
      </c>
      <c r="I272" s="15">
        <v>0</v>
      </c>
      <c r="J272" s="15">
        <v>0</v>
      </c>
      <c r="K272" s="16">
        <v>0</v>
      </c>
    </row>
    <row r="273" spans="1:11">
      <c r="A273">
        <v>267</v>
      </c>
      <c r="B273" s="11">
        <v>0</v>
      </c>
      <c r="C273" s="15">
        <v>0</v>
      </c>
      <c r="D273" s="15">
        <v>0</v>
      </c>
      <c r="E273" s="15">
        <v>0</v>
      </c>
      <c r="F273" s="15">
        <v>0</v>
      </c>
      <c r="G273" s="11">
        <v>0</v>
      </c>
      <c r="H273" s="15">
        <v>0</v>
      </c>
      <c r="I273" s="15">
        <v>0</v>
      </c>
      <c r="J273" s="15">
        <v>0</v>
      </c>
      <c r="K273" s="16">
        <v>0</v>
      </c>
    </row>
    <row r="274" spans="1:11">
      <c r="A274">
        <v>268</v>
      </c>
      <c r="B274" s="11">
        <v>0</v>
      </c>
      <c r="C274" s="15">
        <v>0</v>
      </c>
      <c r="D274" s="15">
        <v>0</v>
      </c>
      <c r="E274" s="15">
        <v>0</v>
      </c>
      <c r="F274" s="15">
        <v>0</v>
      </c>
      <c r="G274" s="11">
        <v>0</v>
      </c>
      <c r="H274" s="15">
        <v>0</v>
      </c>
      <c r="I274" s="15">
        <v>0</v>
      </c>
      <c r="J274" s="15">
        <v>0</v>
      </c>
      <c r="K274" s="16">
        <v>0</v>
      </c>
    </row>
    <row r="275" spans="1:11">
      <c r="A275">
        <v>269</v>
      </c>
      <c r="B275" s="11">
        <v>0</v>
      </c>
      <c r="C275" s="15">
        <v>0</v>
      </c>
      <c r="D275" s="15">
        <v>0</v>
      </c>
      <c r="E275" s="15">
        <v>0</v>
      </c>
      <c r="F275" s="15">
        <v>0</v>
      </c>
      <c r="G275" s="11">
        <v>0</v>
      </c>
      <c r="H275" s="15">
        <v>0</v>
      </c>
      <c r="I275" s="15">
        <v>0</v>
      </c>
      <c r="J275" s="15">
        <v>0</v>
      </c>
      <c r="K275" s="16">
        <v>0</v>
      </c>
    </row>
    <row r="276" spans="1:11">
      <c r="A276">
        <v>270</v>
      </c>
      <c r="B276" s="11">
        <v>0</v>
      </c>
      <c r="C276" s="15">
        <v>0</v>
      </c>
      <c r="D276" s="15">
        <v>0</v>
      </c>
      <c r="E276" s="15">
        <v>0</v>
      </c>
      <c r="F276" s="15">
        <v>0</v>
      </c>
      <c r="G276" s="11">
        <v>0</v>
      </c>
      <c r="H276" s="15">
        <v>0</v>
      </c>
      <c r="I276" s="15">
        <v>0</v>
      </c>
      <c r="J276" s="15">
        <v>0</v>
      </c>
      <c r="K276" s="16">
        <v>0</v>
      </c>
    </row>
    <row r="277" spans="1:11">
      <c r="A277">
        <v>271</v>
      </c>
      <c r="B277" s="11">
        <v>0</v>
      </c>
      <c r="C277" s="15">
        <v>0</v>
      </c>
      <c r="D277" s="15">
        <v>0</v>
      </c>
      <c r="E277" s="15">
        <v>0</v>
      </c>
      <c r="F277" s="15">
        <v>0</v>
      </c>
      <c r="G277" s="11">
        <v>0</v>
      </c>
      <c r="H277" s="15">
        <v>0</v>
      </c>
      <c r="I277" s="15">
        <v>0</v>
      </c>
      <c r="J277" s="15">
        <v>0</v>
      </c>
      <c r="K277" s="16">
        <v>0</v>
      </c>
    </row>
    <row r="278" spans="1:11">
      <c r="A278">
        <v>272</v>
      </c>
      <c r="B278" s="11">
        <v>0</v>
      </c>
      <c r="C278" s="15">
        <v>0</v>
      </c>
      <c r="D278" s="15">
        <v>0</v>
      </c>
      <c r="E278" s="15">
        <v>0</v>
      </c>
      <c r="F278" s="15">
        <v>0</v>
      </c>
      <c r="G278" s="11">
        <v>0</v>
      </c>
      <c r="H278" s="15">
        <v>0</v>
      </c>
      <c r="I278" s="15">
        <v>0</v>
      </c>
      <c r="J278" s="15">
        <v>0</v>
      </c>
      <c r="K278" s="16">
        <v>0</v>
      </c>
    </row>
    <row r="279" spans="1:11">
      <c r="A279">
        <v>273</v>
      </c>
      <c r="B279" s="11">
        <v>0</v>
      </c>
      <c r="C279" s="15">
        <v>0</v>
      </c>
      <c r="D279" s="15">
        <v>0</v>
      </c>
      <c r="E279" s="15">
        <v>0</v>
      </c>
      <c r="F279" s="15">
        <v>0</v>
      </c>
      <c r="G279" s="11">
        <v>0</v>
      </c>
      <c r="H279" s="15">
        <v>0</v>
      </c>
      <c r="I279" s="15">
        <v>0</v>
      </c>
      <c r="J279" s="15">
        <v>0</v>
      </c>
      <c r="K279" s="16">
        <v>0</v>
      </c>
    </row>
    <row r="280" spans="1:11">
      <c r="A280">
        <v>274</v>
      </c>
      <c r="B280" s="11">
        <v>0</v>
      </c>
      <c r="C280" s="15">
        <v>0</v>
      </c>
      <c r="D280" s="15">
        <v>0</v>
      </c>
      <c r="E280" s="15">
        <v>0</v>
      </c>
      <c r="F280" s="15">
        <v>0</v>
      </c>
      <c r="G280" s="11">
        <v>0</v>
      </c>
      <c r="H280" s="15">
        <v>0</v>
      </c>
      <c r="I280" s="15">
        <v>0</v>
      </c>
      <c r="J280" s="15">
        <v>0</v>
      </c>
      <c r="K280" s="16">
        <v>0</v>
      </c>
    </row>
    <row r="281" spans="1:11">
      <c r="A281">
        <v>275</v>
      </c>
      <c r="B281" s="11">
        <v>0</v>
      </c>
      <c r="C281" s="15">
        <v>0</v>
      </c>
      <c r="D281" s="15">
        <v>0</v>
      </c>
      <c r="E281" s="15">
        <v>0</v>
      </c>
      <c r="F281" s="15">
        <v>0</v>
      </c>
      <c r="G281" s="11">
        <v>0</v>
      </c>
      <c r="H281" s="15">
        <v>0</v>
      </c>
      <c r="I281" s="15">
        <v>420.92659000000003</v>
      </c>
      <c r="J281" s="15">
        <v>0</v>
      </c>
      <c r="K281" s="16">
        <v>0</v>
      </c>
    </row>
    <row r="282" spans="1:11">
      <c r="A282">
        <v>276</v>
      </c>
      <c r="B282" s="11">
        <v>0</v>
      </c>
      <c r="C282" s="15">
        <v>0</v>
      </c>
      <c r="D282" s="15">
        <v>0</v>
      </c>
      <c r="E282" s="15">
        <v>0</v>
      </c>
      <c r="F282" s="15">
        <v>0</v>
      </c>
      <c r="G282" s="11">
        <v>0</v>
      </c>
      <c r="H282" s="15">
        <v>0</v>
      </c>
      <c r="I282" s="15">
        <v>0</v>
      </c>
      <c r="J282" s="15">
        <v>0</v>
      </c>
      <c r="K282" s="16">
        <v>0</v>
      </c>
    </row>
    <row r="283" spans="1:11">
      <c r="A283">
        <v>277</v>
      </c>
      <c r="B283" s="11">
        <v>0</v>
      </c>
      <c r="C283" s="15">
        <v>0</v>
      </c>
      <c r="D283" s="15">
        <v>0</v>
      </c>
      <c r="E283" s="15">
        <v>0</v>
      </c>
      <c r="F283" s="15">
        <v>0</v>
      </c>
      <c r="G283" s="11">
        <v>0</v>
      </c>
      <c r="H283" s="15">
        <v>0</v>
      </c>
      <c r="I283" s="15">
        <v>0</v>
      </c>
      <c r="J283" s="15">
        <v>0</v>
      </c>
      <c r="K283" s="16">
        <v>0</v>
      </c>
    </row>
    <row r="284" spans="1:11">
      <c r="A284">
        <v>278</v>
      </c>
      <c r="B284" s="11">
        <v>0</v>
      </c>
      <c r="C284" s="15">
        <v>0</v>
      </c>
      <c r="D284" s="15">
        <v>0</v>
      </c>
      <c r="E284" s="15">
        <v>0</v>
      </c>
      <c r="F284" s="15">
        <v>0</v>
      </c>
      <c r="G284" s="11">
        <v>0</v>
      </c>
      <c r="H284" s="15">
        <v>0</v>
      </c>
      <c r="I284" s="15">
        <v>0</v>
      </c>
      <c r="J284" s="15">
        <v>0</v>
      </c>
      <c r="K284" s="16">
        <v>0</v>
      </c>
    </row>
    <row r="285" spans="1:11">
      <c r="A285">
        <v>279</v>
      </c>
      <c r="B285" s="11">
        <v>0</v>
      </c>
      <c r="C285" s="15">
        <v>0</v>
      </c>
      <c r="D285" s="15">
        <v>0</v>
      </c>
      <c r="E285" s="15">
        <v>0</v>
      </c>
      <c r="F285" s="15">
        <v>0</v>
      </c>
      <c r="G285" s="11">
        <v>0</v>
      </c>
      <c r="H285" s="15">
        <v>0</v>
      </c>
      <c r="I285" s="15">
        <v>0</v>
      </c>
      <c r="J285" s="15">
        <v>0</v>
      </c>
      <c r="K285" s="16">
        <v>0</v>
      </c>
    </row>
    <row r="286" spans="1:11">
      <c r="A286">
        <v>280</v>
      </c>
      <c r="B286" s="11">
        <v>3.3210000000000002</v>
      </c>
      <c r="C286" s="15">
        <v>0.36899999999999999</v>
      </c>
      <c r="D286" s="15">
        <v>0</v>
      </c>
      <c r="E286" s="15">
        <v>0</v>
      </c>
      <c r="F286" s="15">
        <v>0</v>
      </c>
      <c r="G286" s="11">
        <v>0</v>
      </c>
      <c r="H286" s="15">
        <v>0</v>
      </c>
      <c r="I286" s="15">
        <v>0</v>
      </c>
      <c r="J286" s="15">
        <v>0</v>
      </c>
      <c r="K286" s="16">
        <v>0</v>
      </c>
    </row>
    <row r="287" spans="1:11">
      <c r="A287">
        <v>281</v>
      </c>
      <c r="B287" s="11">
        <v>370.68299999999999</v>
      </c>
      <c r="C287" s="15">
        <v>41.186999999999998</v>
      </c>
      <c r="D287" s="15">
        <v>0</v>
      </c>
      <c r="E287" s="15">
        <v>0</v>
      </c>
      <c r="F287" s="15">
        <v>0</v>
      </c>
      <c r="G287" s="11">
        <v>0</v>
      </c>
      <c r="H287" s="15">
        <v>0</v>
      </c>
      <c r="I287" s="15">
        <v>0</v>
      </c>
      <c r="J287" s="15">
        <v>0</v>
      </c>
      <c r="K287" s="16">
        <v>0</v>
      </c>
    </row>
    <row r="288" spans="1:11">
      <c r="A288">
        <v>282</v>
      </c>
      <c r="B288" s="11">
        <v>8.1225000000000005</v>
      </c>
      <c r="C288" s="15">
        <v>26.413499999999999</v>
      </c>
      <c r="D288" s="15">
        <v>2.7414999999999998</v>
      </c>
      <c r="E288" s="15">
        <v>0</v>
      </c>
      <c r="F288" s="15">
        <v>0</v>
      </c>
      <c r="G288" s="11">
        <v>0</v>
      </c>
      <c r="H288" s="15">
        <v>0</v>
      </c>
      <c r="I288" s="15">
        <v>0</v>
      </c>
      <c r="J288" s="15">
        <v>0</v>
      </c>
      <c r="K288" s="16">
        <v>0</v>
      </c>
    </row>
    <row r="289" spans="1:11">
      <c r="A289">
        <v>283</v>
      </c>
      <c r="B289" s="11">
        <v>1.3680000000000001</v>
      </c>
      <c r="C289" s="15">
        <v>129.09950000000001</v>
      </c>
      <c r="D289" s="15">
        <v>14.327500000000001</v>
      </c>
      <c r="E289" s="15">
        <v>0</v>
      </c>
      <c r="F289" s="15">
        <v>0</v>
      </c>
      <c r="G289" s="11">
        <v>0</v>
      </c>
      <c r="H289" s="15">
        <v>0</v>
      </c>
      <c r="I289" s="15">
        <v>0</v>
      </c>
      <c r="J289" s="15">
        <v>0</v>
      </c>
      <c r="K289" s="16">
        <v>0</v>
      </c>
    </row>
    <row r="290" spans="1:11">
      <c r="A290">
        <v>284</v>
      </c>
      <c r="B290" s="11">
        <v>110.84950000000001</v>
      </c>
      <c r="C290" s="15">
        <v>99.17</v>
      </c>
      <c r="D290" s="15">
        <v>10.5405</v>
      </c>
      <c r="E290" s="15">
        <v>4.3935000000000004</v>
      </c>
      <c r="F290" s="15">
        <v>0.42149999999999999</v>
      </c>
      <c r="G290" s="11">
        <v>0</v>
      </c>
      <c r="H290" s="15">
        <v>0</v>
      </c>
      <c r="I290" s="15">
        <v>0</v>
      </c>
      <c r="J290" s="15">
        <v>0</v>
      </c>
      <c r="K290" s="16">
        <v>0</v>
      </c>
    </row>
    <row r="291" spans="1:11">
      <c r="A291">
        <v>285</v>
      </c>
      <c r="B291" s="11">
        <v>87.991</v>
      </c>
      <c r="C291" s="15">
        <v>82.048000000000002</v>
      </c>
      <c r="D291" s="15">
        <v>80.831500000000005</v>
      </c>
      <c r="E291" s="15">
        <v>12.2745</v>
      </c>
      <c r="F291" s="15">
        <v>3.7</v>
      </c>
      <c r="G291" s="11">
        <v>0</v>
      </c>
      <c r="H291" s="15">
        <v>0</v>
      </c>
      <c r="I291" s="15">
        <v>0</v>
      </c>
      <c r="J291" s="15">
        <v>0</v>
      </c>
      <c r="K291" s="16">
        <v>0</v>
      </c>
    </row>
    <row r="292" spans="1:11">
      <c r="A292">
        <v>286</v>
      </c>
      <c r="B292" s="11">
        <v>0</v>
      </c>
      <c r="C292" s="15">
        <v>0</v>
      </c>
      <c r="D292" s="15">
        <v>0</v>
      </c>
      <c r="E292" s="15">
        <v>0</v>
      </c>
      <c r="F292" s="15">
        <v>0</v>
      </c>
      <c r="G292" s="11">
        <v>0</v>
      </c>
      <c r="H292" s="15">
        <v>0</v>
      </c>
      <c r="I292" s="15">
        <v>0</v>
      </c>
      <c r="J292" s="15">
        <v>0</v>
      </c>
      <c r="K292" s="16">
        <v>0</v>
      </c>
    </row>
    <row r="293" spans="1:11">
      <c r="A293">
        <v>287</v>
      </c>
      <c r="B293" s="11">
        <v>0</v>
      </c>
      <c r="C293" s="15">
        <v>0</v>
      </c>
      <c r="D293" s="15">
        <v>0</v>
      </c>
      <c r="E293" s="15">
        <v>0</v>
      </c>
      <c r="F293" s="15">
        <v>0</v>
      </c>
      <c r="G293" s="11">
        <v>0</v>
      </c>
      <c r="H293" s="15">
        <v>0</v>
      </c>
      <c r="I293" s="15">
        <v>0</v>
      </c>
      <c r="J293" s="15">
        <v>0</v>
      </c>
      <c r="K293" s="16">
        <v>0</v>
      </c>
    </row>
    <row r="294" spans="1:11">
      <c r="A294">
        <v>288</v>
      </c>
      <c r="B294" s="11">
        <v>643.20000000000005</v>
      </c>
      <c r="C294" s="15">
        <v>266.82749999999999</v>
      </c>
      <c r="D294" s="15">
        <v>112.3475</v>
      </c>
      <c r="E294" s="15">
        <v>83</v>
      </c>
      <c r="F294" s="15">
        <v>37.299999999999997</v>
      </c>
      <c r="G294" s="11">
        <v>0</v>
      </c>
      <c r="H294" s="15">
        <v>0</v>
      </c>
      <c r="I294" s="15">
        <v>0</v>
      </c>
      <c r="J294" s="15">
        <v>0</v>
      </c>
      <c r="K294" s="16">
        <v>0</v>
      </c>
    </row>
    <row r="295" spans="1:11">
      <c r="A295">
        <v>289</v>
      </c>
      <c r="B295" s="11">
        <v>5.3</v>
      </c>
      <c r="C295" s="15">
        <v>1.7</v>
      </c>
      <c r="D295" s="15">
        <v>1</v>
      </c>
      <c r="E295" s="15">
        <v>0</v>
      </c>
      <c r="F295" s="15">
        <v>0</v>
      </c>
      <c r="G295" s="11">
        <v>0</v>
      </c>
      <c r="H295" s="15">
        <v>0</v>
      </c>
      <c r="I295" s="15">
        <v>0</v>
      </c>
      <c r="J295" s="15">
        <v>0</v>
      </c>
      <c r="K295" s="16">
        <v>0</v>
      </c>
    </row>
    <row r="296" spans="1:11">
      <c r="A296">
        <v>290</v>
      </c>
      <c r="B296" s="11">
        <v>0</v>
      </c>
      <c r="C296" s="15">
        <v>0</v>
      </c>
      <c r="D296" s="15">
        <v>0</v>
      </c>
      <c r="E296" s="15">
        <v>0</v>
      </c>
      <c r="F296" s="15">
        <v>0</v>
      </c>
      <c r="G296" s="11">
        <v>0</v>
      </c>
      <c r="H296" s="15">
        <v>0</v>
      </c>
      <c r="I296" s="15">
        <v>0</v>
      </c>
      <c r="J296" s="15">
        <v>0</v>
      </c>
      <c r="K296" s="16">
        <v>0</v>
      </c>
    </row>
    <row r="297" spans="1:11">
      <c r="A297">
        <v>291</v>
      </c>
      <c r="B297" s="11">
        <v>0</v>
      </c>
      <c r="C297" s="15">
        <v>0</v>
      </c>
      <c r="D297" s="15">
        <v>0</v>
      </c>
      <c r="E297" s="15">
        <v>0</v>
      </c>
      <c r="F297" s="15">
        <v>0</v>
      </c>
      <c r="G297" s="11">
        <v>0</v>
      </c>
      <c r="H297" s="15">
        <v>0</v>
      </c>
      <c r="I297" s="15">
        <v>0</v>
      </c>
      <c r="J297" s="15">
        <v>0</v>
      </c>
      <c r="K297" s="16">
        <v>0</v>
      </c>
    </row>
    <row r="298" spans="1:11">
      <c r="A298">
        <v>292</v>
      </c>
      <c r="B298" s="11">
        <v>14.4</v>
      </c>
      <c r="C298" s="15">
        <v>0</v>
      </c>
      <c r="D298" s="15">
        <v>0</v>
      </c>
      <c r="E298" s="15">
        <v>0</v>
      </c>
      <c r="F298" s="15">
        <v>0</v>
      </c>
      <c r="G298" s="11">
        <v>0</v>
      </c>
      <c r="H298" s="15">
        <v>0</v>
      </c>
      <c r="I298" s="15">
        <v>0</v>
      </c>
      <c r="J298" s="15">
        <v>2428.8000000000002</v>
      </c>
      <c r="K298" s="16">
        <v>0</v>
      </c>
    </row>
    <row r="299" spans="1:11">
      <c r="A299">
        <v>293</v>
      </c>
      <c r="B299" s="11">
        <v>13</v>
      </c>
      <c r="C299" s="15">
        <v>0</v>
      </c>
      <c r="D299" s="15">
        <v>0</v>
      </c>
      <c r="E299" s="15">
        <v>0</v>
      </c>
      <c r="F299" s="15">
        <v>0</v>
      </c>
      <c r="G299" s="11">
        <v>0</v>
      </c>
      <c r="H299" s="15">
        <v>0</v>
      </c>
      <c r="I299" s="15">
        <v>202.714</v>
      </c>
      <c r="J299" s="15">
        <v>663.6</v>
      </c>
      <c r="K299" s="16">
        <v>0</v>
      </c>
    </row>
    <row r="300" spans="1:11">
      <c r="A300">
        <v>294</v>
      </c>
      <c r="B300" s="11">
        <v>691.9</v>
      </c>
      <c r="C300" s="15">
        <v>18.3</v>
      </c>
      <c r="D300" s="15">
        <v>0</v>
      </c>
      <c r="E300" s="15">
        <v>0</v>
      </c>
      <c r="F300" s="15">
        <v>0</v>
      </c>
      <c r="G300" s="11">
        <v>0</v>
      </c>
      <c r="H300" s="15">
        <v>0</v>
      </c>
      <c r="I300" s="15">
        <v>0</v>
      </c>
      <c r="J300" s="15">
        <v>7141.3576999999996</v>
      </c>
      <c r="K300" s="16">
        <v>0</v>
      </c>
    </row>
    <row r="301" spans="1:11">
      <c r="A301">
        <v>295</v>
      </c>
      <c r="B301" s="11">
        <v>20.5</v>
      </c>
      <c r="C301" s="15">
        <v>6.6</v>
      </c>
      <c r="D301" s="15">
        <v>5</v>
      </c>
      <c r="E301" s="15">
        <v>1</v>
      </c>
      <c r="F301" s="15">
        <v>0</v>
      </c>
      <c r="G301" s="11">
        <v>0</v>
      </c>
      <c r="H301" s="15">
        <v>0</v>
      </c>
      <c r="I301" s="15">
        <v>0</v>
      </c>
      <c r="J301" s="15">
        <v>0</v>
      </c>
      <c r="K301" s="16">
        <v>0</v>
      </c>
    </row>
    <row r="302" spans="1:11">
      <c r="A302">
        <v>296</v>
      </c>
      <c r="B302" s="11">
        <v>0</v>
      </c>
      <c r="C302" s="15">
        <v>0</v>
      </c>
      <c r="D302" s="15">
        <v>0</v>
      </c>
      <c r="E302" s="15">
        <v>0</v>
      </c>
      <c r="F302" s="15">
        <v>0</v>
      </c>
      <c r="G302" s="11">
        <v>0</v>
      </c>
      <c r="H302" s="15">
        <v>0</v>
      </c>
      <c r="I302" s="15">
        <v>0</v>
      </c>
      <c r="J302" s="15">
        <v>0</v>
      </c>
      <c r="K302" s="16">
        <v>0</v>
      </c>
    </row>
    <row r="303" spans="1:11">
      <c r="A303">
        <v>297</v>
      </c>
      <c r="B303" s="11">
        <v>0</v>
      </c>
      <c r="C303" s="15">
        <v>0</v>
      </c>
      <c r="D303" s="15">
        <v>0</v>
      </c>
      <c r="E303" s="15">
        <v>0</v>
      </c>
      <c r="F303" s="15">
        <v>0</v>
      </c>
      <c r="G303" s="11">
        <v>0</v>
      </c>
      <c r="H303" s="15">
        <v>0</v>
      </c>
      <c r="I303" s="15">
        <v>691.5136</v>
      </c>
      <c r="J303" s="15">
        <v>0</v>
      </c>
      <c r="K303" s="16">
        <v>0</v>
      </c>
    </row>
    <row r="304" spans="1:11">
      <c r="A304">
        <v>298</v>
      </c>
      <c r="B304" s="11">
        <v>228.2</v>
      </c>
      <c r="C304" s="15">
        <v>0</v>
      </c>
      <c r="D304" s="15">
        <v>0</v>
      </c>
      <c r="E304" s="15">
        <v>0</v>
      </c>
      <c r="F304" s="15">
        <v>0</v>
      </c>
      <c r="G304" s="11">
        <v>0</v>
      </c>
      <c r="H304" s="15">
        <v>0</v>
      </c>
      <c r="I304" s="15">
        <v>1581.8320000000001</v>
      </c>
      <c r="J304" s="15">
        <v>28.6</v>
      </c>
      <c r="K304" s="16">
        <v>0</v>
      </c>
    </row>
    <row r="305" spans="1:11">
      <c r="A305">
        <v>299</v>
      </c>
      <c r="B305" s="11">
        <v>65.599999999999994</v>
      </c>
      <c r="C305" s="15">
        <v>0</v>
      </c>
      <c r="D305" s="15">
        <v>0</v>
      </c>
      <c r="E305" s="15">
        <v>0</v>
      </c>
      <c r="F305" s="15">
        <v>0</v>
      </c>
      <c r="G305" s="11">
        <v>0</v>
      </c>
      <c r="H305" s="15">
        <v>0</v>
      </c>
      <c r="I305" s="15">
        <v>824.10329999999999</v>
      </c>
      <c r="J305" s="15">
        <v>0</v>
      </c>
      <c r="K305" s="16">
        <v>0</v>
      </c>
    </row>
    <row r="306" spans="1:11">
      <c r="A306">
        <v>300</v>
      </c>
      <c r="B306" s="11">
        <v>175.5</v>
      </c>
      <c r="C306" s="15">
        <v>104.19999899999999</v>
      </c>
      <c r="D306" s="15">
        <v>71.8</v>
      </c>
      <c r="E306" s="15">
        <v>84.4</v>
      </c>
      <c r="F306" s="15">
        <v>41.9</v>
      </c>
      <c r="G306" s="11">
        <v>0</v>
      </c>
      <c r="H306" s="15">
        <v>0</v>
      </c>
      <c r="I306" s="15">
        <v>0</v>
      </c>
      <c r="J306" s="15">
        <v>0</v>
      </c>
      <c r="K306" s="16">
        <v>0</v>
      </c>
    </row>
    <row r="307" spans="1:11">
      <c r="A307">
        <v>301</v>
      </c>
      <c r="B307" s="11">
        <v>76.599999999999994</v>
      </c>
      <c r="C307" s="15">
        <v>27.3</v>
      </c>
      <c r="D307" s="15">
        <v>9.6999999999999993</v>
      </c>
      <c r="E307" s="15">
        <v>12.4</v>
      </c>
      <c r="F307" s="15">
        <v>0</v>
      </c>
      <c r="G307" s="11">
        <v>0</v>
      </c>
      <c r="H307" s="15">
        <v>0</v>
      </c>
      <c r="I307" s="15">
        <v>0</v>
      </c>
      <c r="J307" s="15">
        <v>0</v>
      </c>
      <c r="K307" s="16">
        <v>0</v>
      </c>
    </row>
    <row r="308" spans="1:11">
      <c r="A308">
        <v>302</v>
      </c>
      <c r="B308" s="11">
        <v>63.4</v>
      </c>
      <c r="C308" s="15">
        <v>22.6</v>
      </c>
      <c r="D308" s="15">
        <v>7.9</v>
      </c>
      <c r="E308" s="15">
        <v>5.5</v>
      </c>
      <c r="F308" s="15">
        <v>0</v>
      </c>
      <c r="G308" s="11">
        <v>0</v>
      </c>
      <c r="H308" s="15">
        <v>0</v>
      </c>
      <c r="I308" s="15">
        <v>0</v>
      </c>
      <c r="J308" s="15">
        <v>0</v>
      </c>
      <c r="K308" s="16">
        <v>0</v>
      </c>
    </row>
    <row r="309" spans="1:11">
      <c r="A309">
        <v>303</v>
      </c>
      <c r="B309" s="11">
        <v>0</v>
      </c>
      <c r="C309" s="15">
        <v>0</v>
      </c>
      <c r="D309" s="15">
        <v>0</v>
      </c>
      <c r="E309" s="15">
        <v>0</v>
      </c>
      <c r="F309" s="15">
        <v>0</v>
      </c>
      <c r="G309" s="11">
        <v>0</v>
      </c>
      <c r="H309" s="15">
        <v>0</v>
      </c>
      <c r="I309" s="15">
        <v>0</v>
      </c>
      <c r="J309" s="15">
        <v>0</v>
      </c>
      <c r="K309" s="16">
        <v>0</v>
      </c>
    </row>
    <row r="310" spans="1:11">
      <c r="A310">
        <v>304</v>
      </c>
      <c r="B310" s="11">
        <v>0</v>
      </c>
      <c r="C310" s="15">
        <v>0</v>
      </c>
      <c r="D310" s="15">
        <v>0</v>
      </c>
      <c r="E310" s="15">
        <v>0</v>
      </c>
      <c r="F310" s="15">
        <v>0</v>
      </c>
      <c r="G310" s="11">
        <v>0</v>
      </c>
      <c r="H310" s="15">
        <v>0</v>
      </c>
      <c r="I310" s="15">
        <v>0</v>
      </c>
      <c r="J310" s="15">
        <v>0</v>
      </c>
      <c r="K310" s="16">
        <v>0</v>
      </c>
    </row>
    <row r="311" spans="1:11">
      <c r="A311">
        <v>305</v>
      </c>
      <c r="B311" s="11">
        <v>0</v>
      </c>
      <c r="C311" s="15">
        <v>0</v>
      </c>
      <c r="D311" s="15">
        <v>0</v>
      </c>
      <c r="E311" s="15">
        <v>0</v>
      </c>
      <c r="F311" s="15">
        <v>0</v>
      </c>
      <c r="G311" s="11">
        <v>0</v>
      </c>
      <c r="H311" s="15">
        <v>0</v>
      </c>
      <c r="I311" s="15">
        <v>0</v>
      </c>
      <c r="J311" s="15">
        <v>0</v>
      </c>
      <c r="K311" s="16">
        <v>0</v>
      </c>
    </row>
    <row r="312" spans="1:11">
      <c r="A312">
        <v>306</v>
      </c>
      <c r="B312" s="11">
        <v>0</v>
      </c>
      <c r="C312" s="15">
        <v>0</v>
      </c>
      <c r="D312" s="15">
        <v>0</v>
      </c>
      <c r="E312" s="15">
        <v>0</v>
      </c>
      <c r="F312" s="15">
        <v>0</v>
      </c>
      <c r="G312" s="11">
        <v>0</v>
      </c>
      <c r="H312" s="15">
        <v>0</v>
      </c>
      <c r="I312" s="15">
        <v>0</v>
      </c>
      <c r="J312" s="15">
        <v>0</v>
      </c>
      <c r="K312" s="16">
        <v>0</v>
      </c>
    </row>
    <row r="313" spans="1:11">
      <c r="A313">
        <v>307</v>
      </c>
      <c r="B313" s="11">
        <v>0</v>
      </c>
      <c r="C313" s="15">
        <v>0</v>
      </c>
      <c r="D313" s="15">
        <v>0</v>
      </c>
      <c r="E313" s="15">
        <v>0</v>
      </c>
      <c r="F313" s="15">
        <v>0</v>
      </c>
      <c r="G313" s="11">
        <v>0</v>
      </c>
      <c r="H313" s="15">
        <v>0</v>
      </c>
      <c r="I313" s="15">
        <v>0</v>
      </c>
      <c r="J313" s="15">
        <v>3511.7799999999997</v>
      </c>
      <c r="K313" s="16">
        <v>0</v>
      </c>
    </row>
    <row r="314" spans="1:11">
      <c r="A314">
        <v>308</v>
      </c>
      <c r="B314" s="11">
        <v>294.29997000000003</v>
      </c>
      <c r="C314" s="15">
        <v>148.89996000000002</v>
      </c>
      <c r="D314" s="15">
        <v>80</v>
      </c>
      <c r="E314" s="15">
        <v>45.1</v>
      </c>
      <c r="F314" s="15">
        <v>7.3</v>
      </c>
      <c r="G314" s="11">
        <v>0</v>
      </c>
      <c r="H314" s="15">
        <v>0</v>
      </c>
      <c r="I314" s="15">
        <v>0</v>
      </c>
      <c r="J314" s="15">
        <v>0</v>
      </c>
      <c r="K314" s="16">
        <v>0</v>
      </c>
    </row>
    <row r="315" spans="1:11">
      <c r="A315">
        <v>309</v>
      </c>
      <c r="B315" s="11">
        <v>0</v>
      </c>
      <c r="C315" s="15">
        <v>0</v>
      </c>
      <c r="D315" s="15">
        <v>0</v>
      </c>
      <c r="E315" s="15">
        <v>0</v>
      </c>
      <c r="F315" s="15">
        <v>0</v>
      </c>
      <c r="G315" s="11">
        <v>0</v>
      </c>
      <c r="H315" s="15">
        <v>867.02729999999997</v>
      </c>
      <c r="I315" s="15">
        <v>0</v>
      </c>
      <c r="J315" s="15">
        <v>0</v>
      </c>
      <c r="K315" s="16">
        <v>0</v>
      </c>
    </row>
    <row r="316" spans="1:11">
      <c r="A316">
        <v>310</v>
      </c>
      <c r="B316" s="11">
        <v>0</v>
      </c>
      <c r="C316" s="15">
        <v>0</v>
      </c>
      <c r="D316" s="15">
        <v>0</v>
      </c>
      <c r="E316" s="15">
        <v>0</v>
      </c>
      <c r="F316" s="15">
        <v>0</v>
      </c>
      <c r="G316" s="11">
        <v>0</v>
      </c>
      <c r="H316" s="15">
        <v>2717.9229999999998</v>
      </c>
      <c r="I316" s="15">
        <v>0.6</v>
      </c>
      <c r="J316" s="15">
        <v>0</v>
      </c>
      <c r="K316" s="16">
        <v>0</v>
      </c>
    </row>
    <row r="317" spans="1:11">
      <c r="A317">
        <v>311</v>
      </c>
      <c r="B317" s="11">
        <v>0</v>
      </c>
      <c r="C317" s="15">
        <v>0</v>
      </c>
      <c r="D317" s="15">
        <v>0</v>
      </c>
      <c r="E317" s="15">
        <v>0</v>
      </c>
      <c r="F317" s="15">
        <v>0</v>
      </c>
      <c r="G317" s="11">
        <v>0</v>
      </c>
      <c r="H317" s="15">
        <v>691.5136</v>
      </c>
      <c r="I317" s="15">
        <v>0</v>
      </c>
      <c r="J317" s="15">
        <v>0</v>
      </c>
      <c r="K317" s="16">
        <v>0</v>
      </c>
    </row>
    <row r="318" spans="1:11">
      <c r="A318">
        <v>312</v>
      </c>
      <c r="B318" s="11">
        <v>0</v>
      </c>
      <c r="C318" s="15">
        <v>0</v>
      </c>
      <c r="D318" s="15">
        <v>0</v>
      </c>
      <c r="E318" s="15">
        <v>0</v>
      </c>
      <c r="F318" s="15">
        <v>0</v>
      </c>
      <c r="G318" s="11">
        <v>0</v>
      </c>
      <c r="H318" s="15">
        <v>0</v>
      </c>
      <c r="I318" s="15">
        <v>0</v>
      </c>
      <c r="J318" s="15">
        <v>0</v>
      </c>
      <c r="K318" s="16">
        <v>0</v>
      </c>
    </row>
    <row r="319" spans="1:11">
      <c r="A319">
        <v>313</v>
      </c>
      <c r="B319" s="11">
        <v>0</v>
      </c>
      <c r="C319" s="15">
        <v>0</v>
      </c>
      <c r="D319" s="15">
        <v>0</v>
      </c>
      <c r="E319" s="15">
        <v>0</v>
      </c>
      <c r="F319" s="15">
        <v>0</v>
      </c>
      <c r="G319" s="11">
        <v>0</v>
      </c>
      <c r="H319" s="15">
        <v>3101.4360000000001</v>
      </c>
      <c r="I319" s="15">
        <v>0</v>
      </c>
      <c r="J319" s="15">
        <v>0</v>
      </c>
      <c r="K319" s="16">
        <v>0</v>
      </c>
    </row>
    <row r="320" spans="1:11">
      <c r="A320">
        <v>314</v>
      </c>
      <c r="B320" s="11">
        <v>661.89994999999999</v>
      </c>
      <c r="C320" s="15">
        <v>123.00004</v>
      </c>
      <c r="D320" s="15">
        <v>2</v>
      </c>
      <c r="E320" s="15">
        <v>0</v>
      </c>
      <c r="F320" s="15">
        <v>0</v>
      </c>
      <c r="G320" s="11">
        <v>0</v>
      </c>
      <c r="H320" s="15">
        <v>0</v>
      </c>
      <c r="I320" s="15">
        <v>0</v>
      </c>
      <c r="J320" s="15">
        <v>3060.384955</v>
      </c>
      <c r="K320" s="16">
        <v>0</v>
      </c>
    </row>
    <row r="321" spans="1:11">
      <c r="A321">
        <v>315</v>
      </c>
      <c r="B321" s="11">
        <v>0</v>
      </c>
      <c r="C321" s="15">
        <v>9.8000000000000007</v>
      </c>
      <c r="D321" s="15">
        <v>0</v>
      </c>
      <c r="E321" s="15">
        <v>0</v>
      </c>
      <c r="F321" s="15">
        <v>0</v>
      </c>
      <c r="G321" s="11">
        <v>0</v>
      </c>
      <c r="H321" s="15">
        <v>0</v>
      </c>
      <c r="I321" s="15">
        <v>0</v>
      </c>
      <c r="J321" s="15">
        <v>1273.5999899999999</v>
      </c>
      <c r="K321" s="16">
        <v>0</v>
      </c>
    </row>
    <row r="322" spans="1:11">
      <c r="A322">
        <v>316</v>
      </c>
      <c r="B322" s="11">
        <v>1026.0999400000001</v>
      </c>
      <c r="C322" s="15">
        <v>23.4</v>
      </c>
      <c r="D322" s="15">
        <v>0</v>
      </c>
      <c r="E322" s="15">
        <v>0</v>
      </c>
      <c r="F322" s="15">
        <v>0</v>
      </c>
      <c r="G322" s="11">
        <v>0</v>
      </c>
      <c r="H322" s="15">
        <v>0</v>
      </c>
      <c r="I322" s="15">
        <v>0</v>
      </c>
      <c r="J322" s="15">
        <v>0</v>
      </c>
      <c r="K322" s="16">
        <v>0</v>
      </c>
    </row>
    <row r="323" spans="1:11">
      <c r="A323">
        <v>317</v>
      </c>
      <c r="B323" s="11">
        <v>0</v>
      </c>
      <c r="C323" s="15">
        <v>0</v>
      </c>
      <c r="D323" s="15">
        <v>0</v>
      </c>
      <c r="E323" s="15">
        <v>0</v>
      </c>
      <c r="F323" s="15">
        <v>0</v>
      </c>
      <c r="G323" s="11">
        <v>0</v>
      </c>
      <c r="H323" s="15">
        <v>0</v>
      </c>
      <c r="I323" s="15">
        <v>0</v>
      </c>
      <c r="J323" s="15">
        <v>0</v>
      </c>
      <c r="K323" s="16">
        <v>0</v>
      </c>
    </row>
    <row r="324" spans="1:11">
      <c r="A324">
        <v>318</v>
      </c>
      <c r="B324" s="11">
        <v>0</v>
      </c>
      <c r="C324" s="15">
        <v>0.2</v>
      </c>
      <c r="D324" s="15">
        <v>0</v>
      </c>
      <c r="E324" s="15">
        <v>0</v>
      </c>
      <c r="F324" s="15">
        <v>0</v>
      </c>
      <c r="G324" s="11">
        <v>0</v>
      </c>
      <c r="H324" s="15">
        <v>0</v>
      </c>
      <c r="I324" s="15">
        <v>0</v>
      </c>
      <c r="J324" s="15">
        <v>661.79993999999988</v>
      </c>
      <c r="K324" s="16">
        <v>0</v>
      </c>
    </row>
    <row r="325" spans="1:11">
      <c r="A325">
        <v>319</v>
      </c>
      <c r="B325" s="11">
        <v>0</v>
      </c>
      <c r="C325" s="15">
        <v>0</v>
      </c>
      <c r="D325" s="15">
        <v>0</v>
      </c>
      <c r="E325" s="15">
        <v>0</v>
      </c>
      <c r="F325" s="15">
        <v>0</v>
      </c>
      <c r="G325" s="11">
        <v>0</v>
      </c>
      <c r="H325" s="15">
        <v>0</v>
      </c>
      <c r="I325" s="15">
        <v>0</v>
      </c>
      <c r="J325" s="15">
        <v>0</v>
      </c>
      <c r="K325" s="16">
        <v>0</v>
      </c>
    </row>
    <row r="326" spans="1:11">
      <c r="A326">
        <v>320</v>
      </c>
      <c r="B326" s="11">
        <v>0</v>
      </c>
      <c r="C326" s="15">
        <v>36</v>
      </c>
      <c r="D326" s="15">
        <v>0</v>
      </c>
      <c r="E326" s="15">
        <v>0</v>
      </c>
      <c r="F326" s="15">
        <v>0</v>
      </c>
      <c r="G326" s="11">
        <v>0</v>
      </c>
      <c r="H326" s="15">
        <v>0</v>
      </c>
      <c r="I326" s="15">
        <v>0</v>
      </c>
      <c r="J326" s="15">
        <v>0</v>
      </c>
      <c r="K326" s="16">
        <v>0</v>
      </c>
    </row>
    <row r="327" spans="1:11">
      <c r="A327">
        <v>321</v>
      </c>
      <c r="B327" s="11">
        <v>0</v>
      </c>
      <c r="C327" s="15">
        <v>1.5</v>
      </c>
      <c r="D327" s="15">
        <v>0.1</v>
      </c>
      <c r="E327" s="15">
        <v>0</v>
      </c>
      <c r="F327" s="15">
        <v>0</v>
      </c>
      <c r="G327" s="11">
        <v>0</v>
      </c>
      <c r="H327" s="15">
        <v>0</v>
      </c>
      <c r="I327" s="15">
        <v>0</v>
      </c>
      <c r="J327" s="15">
        <v>0</v>
      </c>
      <c r="K327" s="16">
        <v>0</v>
      </c>
    </row>
    <row r="328" spans="1:11">
      <c r="A328">
        <v>322</v>
      </c>
      <c r="B328" s="11">
        <v>612.75752</v>
      </c>
      <c r="C328" s="15">
        <v>846.1</v>
      </c>
      <c r="D328" s="15">
        <v>348.7</v>
      </c>
      <c r="E328" s="15">
        <v>61.4</v>
      </c>
      <c r="F328" s="15">
        <v>0.2</v>
      </c>
      <c r="G328" s="11">
        <v>0</v>
      </c>
      <c r="H328" s="15">
        <v>0</v>
      </c>
      <c r="I328" s="15">
        <v>0</v>
      </c>
      <c r="J328" s="15">
        <v>0</v>
      </c>
      <c r="K328" s="16">
        <v>0</v>
      </c>
    </row>
    <row r="329" spans="1:11">
      <c r="A329">
        <v>323</v>
      </c>
      <c r="B329" s="11">
        <v>238.66</v>
      </c>
      <c r="C329" s="15">
        <v>44.9</v>
      </c>
      <c r="D329" s="15">
        <v>2.8</v>
      </c>
      <c r="E329" s="15">
        <v>0</v>
      </c>
      <c r="F329" s="15">
        <v>0</v>
      </c>
      <c r="G329" s="11">
        <v>0</v>
      </c>
      <c r="H329" s="15">
        <v>0</v>
      </c>
      <c r="I329" s="15">
        <v>0</v>
      </c>
      <c r="J329" s="15">
        <v>0</v>
      </c>
      <c r="K329" s="16">
        <v>0</v>
      </c>
    </row>
    <row r="330" spans="1:11">
      <c r="A330">
        <v>324</v>
      </c>
      <c r="B330" s="11">
        <v>0</v>
      </c>
      <c r="C330" s="15">
        <v>51.7</v>
      </c>
      <c r="D330" s="15">
        <v>4.5</v>
      </c>
      <c r="E330" s="15">
        <v>0</v>
      </c>
      <c r="F330" s="15">
        <v>0</v>
      </c>
      <c r="G330" s="11">
        <v>0</v>
      </c>
      <c r="H330" s="15">
        <v>0</v>
      </c>
      <c r="I330" s="15">
        <v>0</v>
      </c>
      <c r="J330" s="15">
        <v>0</v>
      </c>
      <c r="K330" s="16">
        <v>0</v>
      </c>
    </row>
    <row r="331" spans="1:11">
      <c r="A331">
        <v>325</v>
      </c>
      <c r="B331" s="11">
        <v>0</v>
      </c>
      <c r="C331" s="15">
        <v>22</v>
      </c>
      <c r="D331" s="15">
        <v>0</v>
      </c>
      <c r="E331" s="15">
        <v>0</v>
      </c>
      <c r="F331" s="15">
        <v>0</v>
      </c>
      <c r="G331" s="11">
        <v>0</v>
      </c>
      <c r="H331" s="15">
        <v>0</v>
      </c>
      <c r="I331" s="15">
        <v>0</v>
      </c>
      <c r="J331" s="15">
        <v>0</v>
      </c>
      <c r="K331" s="16">
        <v>0</v>
      </c>
    </row>
    <row r="332" spans="1:11">
      <c r="A332">
        <v>326</v>
      </c>
      <c r="B332" s="11">
        <v>0</v>
      </c>
      <c r="C332" s="15">
        <v>19.7</v>
      </c>
      <c r="D332" s="15">
        <v>0.4</v>
      </c>
      <c r="E332" s="15">
        <v>0</v>
      </c>
      <c r="F332" s="15">
        <v>0</v>
      </c>
      <c r="G332" s="11">
        <v>0</v>
      </c>
      <c r="H332" s="15">
        <v>0</v>
      </c>
      <c r="I332" s="15">
        <v>0</v>
      </c>
      <c r="J332" s="15">
        <v>0</v>
      </c>
      <c r="K332" s="16">
        <v>0</v>
      </c>
    </row>
    <row r="333" spans="1:11">
      <c r="A333">
        <v>327</v>
      </c>
      <c r="B333" s="11">
        <v>0</v>
      </c>
      <c r="C333" s="15">
        <v>0</v>
      </c>
      <c r="D333" s="15">
        <v>0</v>
      </c>
      <c r="E333" s="15">
        <v>0</v>
      </c>
      <c r="F333" s="15">
        <v>0</v>
      </c>
      <c r="G333" s="11">
        <v>0</v>
      </c>
      <c r="H333" s="15">
        <v>0</v>
      </c>
      <c r="I333" s="15">
        <v>0</v>
      </c>
      <c r="J333" s="15">
        <v>0</v>
      </c>
      <c r="K333" s="16">
        <v>0</v>
      </c>
    </row>
    <row r="334" spans="1:11">
      <c r="A334">
        <v>328</v>
      </c>
      <c r="B334" s="11">
        <v>0</v>
      </c>
      <c r="C334" s="15">
        <v>0</v>
      </c>
      <c r="D334" s="15">
        <v>0</v>
      </c>
      <c r="E334" s="15">
        <v>0</v>
      </c>
      <c r="F334" s="15">
        <v>0</v>
      </c>
      <c r="G334" s="11">
        <v>0</v>
      </c>
      <c r="H334" s="15">
        <v>0</v>
      </c>
      <c r="I334" s="15">
        <v>0</v>
      </c>
      <c r="J334" s="15">
        <v>0</v>
      </c>
      <c r="K334" s="16">
        <v>0</v>
      </c>
    </row>
    <row r="335" spans="1:11">
      <c r="A335">
        <v>329</v>
      </c>
      <c r="B335" s="11">
        <v>0</v>
      </c>
      <c r="C335" s="15">
        <v>0</v>
      </c>
      <c r="D335" s="15">
        <v>0</v>
      </c>
      <c r="E335" s="15">
        <v>0</v>
      </c>
      <c r="F335" s="15">
        <v>0</v>
      </c>
      <c r="G335" s="11">
        <v>0</v>
      </c>
      <c r="H335" s="15">
        <v>0</v>
      </c>
      <c r="I335" s="15">
        <v>0</v>
      </c>
      <c r="J335" s="15">
        <v>0</v>
      </c>
      <c r="K335" s="16">
        <v>0</v>
      </c>
    </row>
    <row r="336" spans="1:11">
      <c r="A336">
        <v>330</v>
      </c>
      <c r="B336" s="11">
        <v>0</v>
      </c>
      <c r="C336" s="15">
        <v>0</v>
      </c>
      <c r="D336" s="15">
        <v>0</v>
      </c>
      <c r="E336" s="15">
        <v>0</v>
      </c>
      <c r="F336" s="15">
        <v>0</v>
      </c>
      <c r="G336" s="11">
        <v>0</v>
      </c>
      <c r="H336" s="15">
        <v>0</v>
      </c>
      <c r="I336" s="15">
        <v>55.057040000000001</v>
      </c>
      <c r="J336" s="15">
        <v>5638.5995899999998</v>
      </c>
      <c r="K336" s="16">
        <v>0</v>
      </c>
    </row>
    <row r="337" spans="1:11">
      <c r="A337">
        <v>331</v>
      </c>
      <c r="B337" s="11">
        <v>0</v>
      </c>
      <c r="C337" s="15">
        <v>0</v>
      </c>
      <c r="D337" s="15">
        <v>0</v>
      </c>
      <c r="E337" s="15">
        <v>0</v>
      </c>
      <c r="F337" s="15">
        <v>0</v>
      </c>
      <c r="G337" s="11">
        <v>0</v>
      </c>
      <c r="H337" s="15">
        <v>0</v>
      </c>
      <c r="I337" s="15">
        <v>0</v>
      </c>
      <c r="J337" s="15">
        <v>0</v>
      </c>
      <c r="K337" s="16">
        <v>0</v>
      </c>
    </row>
    <row r="338" spans="1:11">
      <c r="A338">
        <v>332</v>
      </c>
      <c r="B338" s="11">
        <v>0</v>
      </c>
      <c r="C338" s="15">
        <v>13.4</v>
      </c>
      <c r="D338" s="15">
        <v>0</v>
      </c>
      <c r="E338" s="15">
        <v>0</v>
      </c>
      <c r="F338" s="15">
        <v>0</v>
      </c>
      <c r="G338" s="11">
        <v>0</v>
      </c>
      <c r="H338" s="15">
        <v>0</v>
      </c>
      <c r="I338" s="15">
        <v>12.36717</v>
      </c>
      <c r="J338" s="15">
        <v>4140.9998599999999</v>
      </c>
      <c r="K338" s="16">
        <v>0</v>
      </c>
    </row>
    <row r="339" spans="1:11">
      <c r="A339">
        <v>333</v>
      </c>
      <c r="B339" s="11">
        <v>0</v>
      </c>
      <c r="C339" s="15">
        <v>301.72699999999998</v>
      </c>
      <c r="D339" s="15">
        <v>0.3</v>
      </c>
      <c r="E339" s="15">
        <v>0</v>
      </c>
      <c r="F339" s="15">
        <v>0</v>
      </c>
      <c r="G339" s="11">
        <v>0</v>
      </c>
      <c r="H339" s="15">
        <v>0</v>
      </c>
      <c r="I339" s="15">
        <v>0</v>
      </c>
      <c r="J339" s="15">
        <v>0</v>
      </c>
      <c r="K339" s="16">
        <v>0</v>
      </c>
    </row>
    <row r="340" spans="1:11">
      <c r="A340">
        <v>334</v>
      </c>
      <c r="B340" s="11">
        <v>33.9</v>
      </c>
      <c r="C340" s="15">
        <v>7.6</v>
      </c>
      <c r="D340" s="15">
        <v>0</v>
      </c>
      <c r="E340" s="15">
        <v>0</v>
      </c>
      <c r="F340" s="15">
        <v>0</v>
      </c>
      <c r="G340" s="11">
        <v>0</v>
      </c>
      <c r="H340" s="15">
        <v>0</v>
      </c>
      <c r="I340" s="15">
        <v>0</v>
      </c>
      <c r="J340" s="15">
        <v>0</v>
      </c>
      <c r="K340" s="16">
        <v>0</v>
      </c>
    </row>
    <row r="341" spans="1:11">
      <c r="A341">
        <v>335</v>
      </c>
      <c r="B341" s="11">
        <v>0</v>
      </c>
      <c r="C341" s="15">
        <v>57</v>
      </c>
      <c r="D341" s="15">
        <v>7.9</v>
      </c>
      <c r="E341" s="15">
        <v>0</v>
      </c>
      <c r="F341" s="15">
        <v>0</v>
      </c>
      <c r="G341" s="11">
        <v>0</v>
      </c>
      <c r="H341" s="15">
        <v>0</v>
      </c>
      <c r="I341" s="15">
        <v>0</v>
      </c>
      <c r="J341" s="15">
        <v>0</v>
      </c>
      <c r="K341" s="16">
        <v>0</v>
      </c>
    </row>
    <row r="342" spans="1:11">
      <c r="A342">
        <v>336</v>
      </c>
      <c r="B342" s="11">
        <v>95.030519999999996</v>
      </c>
      <c r="C342" s="15">
        <v>141.1</v>
      </c>
      <c r="D342" s="15">
        <v>23.3</v>
      </c>
      <c r="E342" s="15">
        <v>0</v>
      </c>
      <c r="F342" s="15">
        <v>0</v>
      </c>
      <c r="G342" s="11">
        <v>0</v>
      </c>
      <c r="H342" s="15">
        <v>0</v>
      </c>
      <c r="I342" s="15">
        <v>0</v>
      </c>
      <c r="J342" s="15">
        <v>0</v>
      </c>
      <c r="K342" s="16">
        <v>0</v>
      </c>
    </row>
    <row r="343" spans="1:11">
      <c r="A343">
        <v>337</v>
      </c>
      <c r="B343" s="11">
        <v>109.878704</v>
      </c>
      <c r="C343" s="15">
        <v>32</v>
      </c>
      <c r="D343" s="15">
        <v>0</v>
      </c>
      <c r="E343" s="15">
        <v>0</v>
      </c>
      <c r="F343" s="15">
        <v>0</v>
      </c>
      <c r="G343" s="11">
        <v>0</v>
      </c>
      <c r="H343" s="15">
        <v>0</v>
      </c>
      <c r="I343" s="15">
        <v>0</v>
      </c>
      <c r="J343" s="15">
        <v>0</v>
      </c>
      <c r="K343" s="16">
        <v>0</v>
      </c>
    </row>
    <row r="344" spans="1:11">
      <c r="A344">
        <v>338</v>
      </c>
      <c r="B344" s="11">
        <v>21.318169999999999</v>
      </c>
      <c r="C344" s="15">
        <v>349.89997</v>
      </c>
      <c r="D344" s="15">
        <v>148.4</v>
      </c>
      <c r="E344" s="15">
        <v>47</v>
      </c>
      <c r="F344" s="15">
        <v>14.6</v>
      </c>
      <c r="G344" s="11">
        <v>0</v>
      </c>
      <c r="H344" s="15">
        <v>0</v>
      </c>
      <c r="I344" s="15">
        <v>0</v>
      </c>
      <c r="J344" s="15">
        <v>0</v>
      </c>
      <c r="K344" s="16">
        <v>0</v>
      </c>
    </row>
    <row r="345" spans="1:11">
      <c r="A345">
        <v>339</v>
      </c>
      <c r="B345" s="11">
        <v>121.4</v>
      </c>
      <c r="C345" s="15">
        <v>344.8</v>
      </c>
      <c r="D345" s="15">
        <v>165.8</v>
      </c>
      <c r="E345" s="15">
        <v>70.099999999999994</v>
      </c>
      <c r="F345" s="15">
        <v>31.7</v>
      </c>
      <c r="G345" s="11">
        <v>0</v>
      </c>
      <c r="H345" s="15">
        <v>0</v>
      </c>
      <c r="I345" s="15">
        <v>0</v>
      </c>
      <c r="J345" s="15">
        <v>0</v>
      </c>
      <c r="K345" s="16">
        <v>0</v>
      </c>
    </row>
    <row r="346" spans="1:11">
      <c r="A346">
        <v>340</v>
      </c>
      <c r="B346" s="11">
        <v>0</v>
      </c>
      <c r="C346" s="15">
        <v>48.5</v>
      </c>
      <c r="D346" s="15">
        <v>13.8</v>
      </c>
      <c r="E346" s="15">
        <v>3.3</v>
      </c>
      <c r="F346" s="15">
        <v>0.6</v>
      </c>
      <c r="G346" s="11">
        <v>0</v>
      </c>
      <c r="H346" s="15">
        <v>0</v>
      </c>
      <c r="I346" s="15">
        <v>0</v>
      </c>
      <c r="J346" s="15">
        <v>0</v>
      </c>
      <c r="K346" s="16">
        <v>0</v>
      </c>
    </row>
    <row r="347" spans="1:11">
      <c r="A347">
        <v>341</v>
      </c>
      <c r="B347" s="11">
        <v>0</v>
      </c>
      <c r="C347" s="15">
        <v>0</v>
      </c>
      <c r="D347" s="15">
        <v>0</v>
      </c>
      <c r="E347" s="15">
        <v>0</v>
      </c>
      <c r="F347" s="15">
        <v>0</v>
      </c>
      <c r="G347" s="11">
        <v>0</v>
      </c>
      <c r="H347" s="15">
        <v>0</v>
      </c>
      <c r="I347" s="15">
        <v>0</v>
      </c>
      <c r="J347" s="15">
        <v>0</v>
      </c>
      <c r="K347" s="16">
        <v>0</v>
      </c>
    </row>
    <row r="348" spans="1:11">
      <c r="A348">
        <v>342</v>
      </c>
      <c r="B348" s="11">
        <v>0</v>
      </c>
      <c r="C348" s="15">
        <v>0</v>
      </c>
      <c r="D348" s="15">
        <v>0</v>
      </c>
      <c r="E348" s="15">
        <v>0</v>
      </c>
      <c r="F348" s="15">
        <v>0</v>
      </c>
      <c r="G348" s="11">
        <v>0</v>
      </c>
      <c r="H348" s="15">
        <v>0</v>
      </c>
      <c r="I348" s="15">
        <v>49.65945</v>
      </c>
      <c r="J348" s="15">
        <v>2641.9998999999998</v>
      </c>
      <c r="K348" s="16">
        <v>0</v>
      </c>
    </row>
    <row r="349" spans="1:11">
      <c r="A349">
        <v>343</v>
      </c>
      <c r="B349" s="11">
        <v>0</v>
      </c>
      <c r="C349" s="15">
        <v>0</v>
      </c>
      <c r="D349" s="15">
        <v>0</v>
      </c>
      <c r="E349" s="15">
        <v>0</v>
      </c>
      <c r="F349" s="15">
        <v>0</v>
      </c>
      <c r="G349" s="11">
        <v>0</v>
      </c>
      <c r="H349" s="15">
        <v>0</v>
      </c>
      <c r="I349" s="15">
        <v>0</v>
      </c>
      <c r="J349" s="15">
        <v>0</v>
      </c>
      <c r="K349" s="16">
        <v>0</v>
      </c>
    </row>
    <row r="350" spans="1:11">
      <c r="A350">
        <v>344</v>
      </c>
      <c r="B350" s="11">
        <v>0</v>
      </c>
      <c r="C350" s="15">
        <v>0</v>
      </c>
      <c r="D350" s="15">
        <v>0</v>
      </c>
      <c r="E350" s="15">
        <v>0</v>
      </c>
      <c r="F350" s="15">
        <v>0</v>
      </c>
      <c r="G350" s="11">
        <v>0</v>
      </c>
      <c r="H350" s="15">
        <v>0</v>
      </c>
      <c r="I350" s="15">
        <v>0</v>
      </c>
      <c r="J350" s="15">
        <v>0</v>
      </c>
      <c r="K350" s="16">
        <v>0</v>
      </c>
    </row>
    <row r="351" spans="1:11">
      <c r="A351">
        <v>345</v>
      </c>
      <c r="B351" s="11">
        <v>0</v>
      </c>
      <c r="C351" s="15">
        <v>0</v>
      </c>
      <c r="D351" s="15">
        <v>0</v>
      </c>
      <c r="E351" s="15">
        <v>0</v>
      </c>
      <c r="F351" s="15">
        <v>0</v>
      </c>
      <c r="G351" s="11">
        <v>0</v>
      </c>
      <c r="H351" s="15">
        <v>0</v>
      </c>
      <c r="I351" s="15">
        <v>0</v>
      </c>
      <c r="J351" s="15">
        <v>974.45479999999998</v>
      </c>
      <c r="K351" s="16">
        <v>0</v>
      </c>
    </row>
    <row r="352" spans="1:11">
      <c r="A352">
        <v>346</v>
      </c>
      <c r="B352" s="11">
        <v>0</v>
      </c>
      <c r="C352" s="15">
        <v>0</v>
      </c>
      <c r="D352" s="15">
        <v>0</v>
      </c>
      <c r="E352" s="15">
        <v>0</v>
      </c>
      <c r="F352" s="15">
        <v>0</v>
      </c>
      <c r="G352" s="11">
        <v>0</v>
      </c>
      <c r="H352" s="15">
        <v>0</v>
      </c>
      <c r="I352" s="15">
        <v>0</v>
      </c>
      <c r="J352" s="15">
        <v>0.2</v>
      </c>
      <c r="K352" s="16">
        <v>0</v>
      </c>
    </row>
    <row r="353" spans="1:11">
      <c r="A353">
        <v>347</v>
      </c>
      <c r="B353" s="11">
        <v>0</v>
      </c>
      <c r="C353" s="15">
        <v>0</v>
      </c>
      <c r="D353" s="15">
        <v>0</v>
      </c>
      <c r="E353" s="15">
        <v>2.25</v>
      </c>
      <c r="F353" s="15">
        <v>0.75</v>
      </c>
      <c r="G353" s="11">
        <v>0</v>
      </c>
      <c r="H353" s="15">
        <v>0</v>
      </c>
      <c r="I353" s="15">
        <v>0</v>
      </c>
      <c r="J353" s="15">
        <v>0</v>
      </c>
      <c r="K353" s="16">
        <v>0</v>
      </c>
    </row>
    <row r="354" spans="1:11">
      <c r="A354">
        <v>348</v>
      </c>
      <c r="B354" s="11">
        <v>0.66</v>
      </c>
      <c r="C354" s="15">
        <v>0</v>
      </c>
      <c r="D354" s="15">
        <v>0</v>
      </c>
      <c r="E354" s="15">
        <v>0</v>
      </c>
      <c r="F354" s="15">
        <v>0</v>
      </c>
      <c r="G354" s="11">
        <v>0</v>
      </c>
      <c r="H354" s="15">
        <v>0</v>
      </c>
      <c r="I354" s="15">
        <v>0</v>
      </c>
      <c r="J354" s="15">
        <v>642</v>
      </c>
      <c r="K354" s="16">
        <v>0</v>
      </c>
    </row>
    <row r="355" spans="1:11">
      <c r="A355">
        <v>349</v>
      </c>
      <c r="B355" s="11">
        <v>0</v>
      </c>
      <c r="C355" s="15">
        <v>0</v>
      </c>
      <c r="D355" s="15">
        <v>0</v>
      </c>
      <c r="E355" s="15">
        <v>0</v>
      </c>
      <c r="F355" s="15">
        <v>0</v>
      </c>
      <c r="G355" s="11">
        <v>0</v>
      </c>
      <c r="H355" s="15">
        <v>0</v>
      </c>
      <c r="I355" s="15">
        <v>0</v>
      </c>
      <c r="J355" s="15">
        <v>5221.9147800000001</v>
      </c>
      <c r="K355" s="16">
        <v>1668.1998999999998</v>
      </c>
    </row>
    <row r="356" spans="1:11">
      <c r="A356">
        <v>350</v>
      </c>
      <c r="B356" s="11">
        <v>0</v>
      </c>
      <c r="C356" s="15">
        <v>0</v>
      </c>
      <c r="D356" s="15">
        <v>0</v>
      </c>
      <c r="E356" s="15">
        <v>0</v>
      </c>
      <c r="F356" s="15">
        <v>28.494420000000002</v>
      </c>
      <c r="G356" s="11">
        <v>0</v>
      </c>
      <c r="H356" s="15">
        <v>0</v>
      </c>
      <c r="I356" s="15">
        <v>0</v>
      </c>
      <c r="J356" s="15">
        <v>0</v>
      </c>
      <c r="K356" s="16">
        <v>0</v>
      </c>
    </row>
    <row r="357" spans="1:11">
      <c r="A357">
        <v>351</v>
      </c>
      <c r="B357" s="11">
        <v>0</v>
      </c>
      <c r="C357" s="15">
        <v>0</v>
      </c>
      <c r="D357" s="15">
        <v>194.6</v>
      </c>
      <c r="E357" s="15">
        <v>151</v>
      </c>
      <c r="F357" s="15">
        <v>43.4</v>
      </c>
      <c r="G357" s="11">
        <v>0</v>
      </c>
      <c r="H357" s="15">
        <v>0</v>
      </c>
      <c r="I357" s="15">
        <v>0</v>
      </c>
      <c r="J357" s="15">
        <v>0</v>
      </c>
      <c r="K357" s="16">
        <v>0</v>
      </c>
    </row>
    <row r="358" spans="1:11">
      <c r="A358">
        <v>352</v>
      </c>
      <c r="B358" s="11">
        <v>0</v>
      </c>
      <c r="C358" s="15">
        <v>0</v>
      </c>
      <c r="D358" s="15">
        <v>111.38890000000001</v>
      </c>
      <c r="E358" s="15">
        <v>160.30000000000001</v>
      </c>
      <c r="F358" s="15">
        <v>55.5</v>
      </c>
      <c r="G358" s="11">
        <v>0</v>
      </c>
      <c r="H358" s="15">
        <v>0</v>
      </c>
      <c r="I358" s="15">
        <v>0</v>
      </c>
      <c r="J358" s="15">
        <v>0</v>
      </c>
      <c r="K358" s="16">
        <v>0</v>
      </c>
    </row>
    <row r="359" spans="1:11">
      <c r="A359">
        <v>353</v>
      </c>
      <c r="B359" s="11">
        <v>0</v>
      </c>
      <c r="C359" s="15">
        <v>0</v>
      </c>
      <c r="D359" s="15">
        <v>46.32705</v>
      </c>
      <c r="E359" s="15">
        <v>141.19999999999999</v>
      </c>
      <c r="F359" s="15">
        <v>30.3</v>
      </c>
      <c r="G359" s="11">
        <v>0</v>
      </c>
      <c r="H359" s="15">
        <v>0</v>
      </c>
      <c r="I359" s="15">
        <v>0</v>
      </c>
      <c r="J359" s="15">
        <v>0</v>
      </c>
      <c r="K359" s="16">
        <v>0</v>
      </c>
    </row>
    <row r="360" spans="1:11">
      <c r="A360">
        <v>354</v>
      </c>
      <c r="B360" s="11">
        <v>0</v>
      </c>
      <c r="C360" s="15">
        <v>0</v>
      </c>
      <c r="D360" s="15">
        <v>0</v>
      </c>
      <c r="E360" s="15">
        <v>0</v>
      </c>
      <c r="F360" s="15">
        <v>2</v>
      </c>
      <c r="G360" s="11">
        <v>0</v>
      </c>
      <c r="H360" s="15">
        <v>0</v>
      </c>
      <c r="I360" s="15">
        <v>0</v>
      </c>
      <c r="J360" s="15">
        <v>0</v>
      </c>
      <c r="K360" s="16">
        <v>0</v>
      </c>
    </row>
    <row r="361" spans="1:11">
      <c r="A361">
        <v>355</v>
      </c>
      <c r="B361" s="11">
        <v>0</v>
      </c>
      <c r="C361" s="15">
        <v>0</v>
      </c>
      <c r="D361" s="15">
        <v>0</v>
      </c>
      <c r="E361" s="15">
        <v>665.12149999999997</v>
      </c>
      <c r="F361" s="15">
        <v>448.1</v>
      </c>
      <c r="G361" s="11">
        <v>0</v>
      </c>
      <c r="H361" s="15">
        <v>0</v>
      </c>
      <c r="I361" s="15">
        <v>0</v>
      </c>
      <c r="J361" s="15">
        <v>0</v>
      </c>
      <c r="K361" s="16">
        <v>0</v>
      </c>
    </row>
    <row r="362" spans="1:11">
      <c r="A362">
        <v>356</v>
      </c>
      <c r="B362" s="11">
        <v>0.5</v>
      </c>
      <c r="C362" s="15">
        <v>0</v>
      </c>
      <c r="D362" s="15">
        <v>0</v>
      </c>
      <c r="E362" s="15">
        <v>0</v>
      </c>
      <c r="F362" s="15">
        <v>0</v>
      </c>
      <c r="G362" s="11">
        <v>0</v>
      </c>
      <c r="H362" s="15">
        <v>0</v>
      </c>
      <c r="I362" s="15">
        <v>0</v>
      </c>
      <c r="J362" s="15">
        <v>2010.1538</v>
      </c>
      <c r="K362" s="16">
        <v>0</v>
      </c>
    </row>
    <row r="363" spans="1:11">
      <c r="A363">
        <v>357</v>
      </c>
      <c r="B363" s="11">
        <v>0</v>
      </c>
      <c r="C363" s="15">
        <v>0</v>
      </c>
      <c r="D363" s="15">
        <v>0</v>
      </c>
      <c r="E363" s="15">
        <v>0</v>
      </c>
      <c r="F363" s="15">
        <v>0</v>
      </c>
      <c r="G363" s="11">
        <v>0</v>
      </c>
      <c r="H363" s="15">
        <v>0</v>
      </c>
      <c r="I363" s="15">
        <v>0</v>
      </c>
      <c r="J363" s="15">
        <v>0</v>
      </c>
      <c r="K363" s="16">
        <v>0</v>
      </c>
    </row>
    <row r="364" spans="1:11">
      <c r="A364">
        <v>358</v>
      </c>
      <c r="B364" s="11">
        <v>0</v>
      </c>
      <c r="C364" s="15">
        <v>0</v>
      </c>
      <c r="D364" s="15">
        <v>0</v>
      </c>
      <c r="E364" s="15">
        <v>0</v>
      </c>
      <c r="F364" s="15">
        <v>0</v>
      </c>
      <c r="G364" s="11">
        <v>0</v>
      </c>
      <c r="H364" s="15">
        <v>0</v>
      </c>
      <c r="I364" s="15">
        <v>0</v>
      </c>
      <c r="J364" s="15">
        <v>0</v>
      </c>
      <c r="K364" s="16">
        <v>0</v>
      </c>
    </row>
  </sheetData>
  <mergeCells count="2">
    <mergeCell ref="B3:F3"/>
    <mergeCell ref="G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435"/>
  <sheetViews>
    <sheetView workbookViewId="0">
      <selection activeCell="C1" sqref="C1"/>
    </sheetView>
  </sheetViews>
  <sheetFormatPr defaultRowHeight="15"/>
  <cols>
    <col min="1" max="1" width="11.7109375" bestFit="1" customWidth="1"/>
    <col min="2" max="2" width="13.28515625" bestFit="1" customWidth="1"/>
    <col min="3" max="3" width="10" style="5" bestFit="1" customWidth="1"/>
    <col min="4" max="4" width="9.42578125" style="5" bestFit="1" customWidth="1"/>
  </cols>
  <sheetData>
    <row r="1" spans="1:31">
      <c r="E1" s="2">
        <f>SUM(E3:I435)</f>
        <v>295650.07108499983</v>
      </c>
      <c r="O1" s="2">
        <f>SUM(O3:O5000)</f>
        <v>295650.07108500012</v>
      </c>
      <c r="P1" s="2">
        <f t="shared" ref="P1:Q1" si="0">SUM(P3:P5000)</f>
        <v>61912.925025000011</v>
      </c>
      <c r="Q1" s="2">
        <f t="shared" si="0"/>
        <v>357562.99611000012</v>
      </c>
      <c r="S1" t="s">
        <v>40</v>
      </c>
    </row>
    <row r="2" spans="1:31" s="8" customFormat="1" ht="60.75" thickBot="1">
      <c r="A2" s="6" t="s">
        <v>0</v>
      </c>
      <c r="B2" s="6" t="s">
        <v>33</v>
      </c>
      <c r="C2" s="7" t="s">
        <v>35</v>
      </c>
      <c r="D2" s="7" t="s">
        <v>36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</row>
    <row r="3" spans="1:31">
      <c r="A3" s="1" t="s">
        <v>1</v>
      </c>
      <c r="B3">
        <v>33</v>
      </c>
      <c r="C3" s="5">
        <v>14.053567625499999</v>
      </c>
      <c r="D3" s="5">
        <v>2.0475920464000001</v>
      </c>
      <c r="E3" s="12">
        <v>0</v>
      </c>
      <c r="F3" s="13">
        <v>3890.1998999999996</v>
      </c>
      <c r="G3" s="13">
        <v>1168.5</v>
      </c>
      <c r="H3" s="13">
        <v>685.19999999999993</v>
      </c>
      <c r="I3" s="13">
        <v>400.7</v>
      </c>
      <c r="J3" s="12">
        <v>0</v>
      </c>
      <c r="K3" s="13">
        <v>0</v>
      </c>
      <c r="L3" s="13">
        <v>0</v>
      </c>
      <c r="M3" s="13">
        <v>0</v>
      </c>
      <c r="N3" s="14">
        <v>0</v>
      </c>
      <c r="O3" s="2">
        <f t="shared" ref="O3:O66" si="1">SUM(E3:I3)</f>
        <v>6144.5998999999993</v>
      </c>
      <c r="P3" s="2">
        <f t="shared" ref="P3:P66" si="2">SUM(J3:N3)</f>
        <v>0</v>
      </c>
      <c r="Q3" s="2">
        <f t="shared" ref="Q3:Q66" si="3">SUM(O3:P3)</f>
        <v>6144.5998999999993</v>
      </c>
      <c r="S3" s="2">
        <f>E3*$C3/100</f>
        <v>0</v>
      </c>
      <c r="T3" s="2">
        <f t="shared" ref="T3:T66" si="4">F3*$C3/100</f>
        <v>546.71187371363328</v>
      </c>
      <c r="U3" s="2">
        <f t="shared" ref="U3:U66" si="5">G3*$C3/100</f>
        <v>164.21593770396751</v>
      </c>
      <c r="V3" s="2">
        <f t="shared" ref="V3:V66" si="6">H3*$C3/100</f>
        <v>96.295045369925987</v>
      </c>
      <c r="W3" s="2">
        <f t="shared" ref="W3:W66" si="7">I3*$C3/100</f>
        <v>56.312645475378496</v>
      </c>
      <c r="X3" s="2">
        <f t="shared" ref="X3:X66" si="8">J3*$C3/100</f>
        <v>0</v>
      </c>
      <c r="Y3" s="2">
        <f t="shared" ref="Y3:Y66" si="9">K3*$C3/100</f>
        <v>0</v>
      </c>
      <c r="Z3" s="2">
        <f t="shared" ref="Z3:Z66" si="10">L3*$C3/100</f>
        <v>0</v>
      </c>
      <c r="AA3" s="2">
        <f t="shared" ref="AA3:AA66" si="11">M3*$C3/100</f>
        <v>0</v>
      </c>
      <c r="AB3" s="2">
        <f t="shared" ref="AB3:AB66" si="12">N3*$C3/100</f>
        <v>0</v>
      </c>
      <c r="AC3" s="2">
        <f t="shared" ref="AC3:AC66" si="13">O3*$C3/100</f>
        <v>863.5355022629052</v>
      </c>
      <c r="AD3" s="2">
        <f t="shared" ref="AD3:AD66" si="14">P3*$C3/100</f>
        <v>0</v>
      </c>
      <c r="AE3" s="2">
        <f t="shared" ref="AE3:AE66" si="15">Q3*$C3/100</f>
        <v>863.5355022629052</v>
      </c>
    </row>
    <row r="4" spans="1:31">
      <c r="A4" s="1" t="s">
        <v>1</v>
      </c>
      <c r="B4">
        <v>53</v>
      </c>
      <c r="C4" s="5">
        <v>99.984108315699999</v>
      </c>
      <c r="D4" s="5">
        <v>6.1538951275100002</v>
      </c>
      <c r="E4" s="11">
        <v>0</v>
      </c>
      <c r="F4" s="15">
        <v>225.99999000000003</v>
      </c>
      <c r="G4" s="15">
        <v>47.2</v>
      </c>
      <c r="H4" s="15">
        <v>8.6</v>
      </c>
      <c r="I4" s="15">
        <v>1.4</v>
      </c>
      <c r="J4" s="11">
        <v>0</v>
      </c>
      <c r="K4" s="15">
        <v>0</v>
      </c>
      <c r="L4" s="15">
        <v>0</v>
      </c>
      <c r="M4" s="15">
        <v>0</v>
      </c>
      <c r="N4" s="16">
        <v>0</v>
      </c>
      <c r="O4" s="2">
        <f t="shared" si="1"/>
        <v>283.19999000000001</v>
      </c>
      <c r="P4" s="2">
        <f t="shared" si="2"/>
        <v>0</v>
      </c>
      <c r="Q4" s="2">
        <f t="shared" si="3"/>
        <v>283.19999000000001</v>
      </c>
      <c r="S4" s="2">
        <f t="shared" ref="S4:S67" si="16">E4*$C4/100</f>
        <v>0</v>
      </c>
      <c r="T4" s="2">
        <f t="shared" si="4"/>
        <v>225.96407479507118</v>
      </c>
      <c r="U4" s="2">
        <f t="shared" si="5"/>
        <v>47.1924991250104</v>
      </c>
      <c r="V4" s="2">
        <f t="shared" si="6"/>
        <v>8.5986333151501988</v>
      </c>
      <c r="W4" s="2">
        <f t="shared" si="7"/>
        <v>1.3997775164197999</v>
      </c>
      <c r="X4" s="2">
        <f t="shared" si="8"/>
        <v>0</v>
      </c>
      <c r="Y4" s="2">
        <f t="shared" si="9"/>
        <v>0</v>
      </c>
      <c r="Z4" s="2">
        <f t="shared" si="10"/>
        <v>0</v>
      </c>
      <c r="AA4" s="2">
        <f t="shared" si="11"/>
        <v>0</v>
      </c>
      <c r="AB4" s="2">
        <f t="shared" si="12"/>
        <v>0</v>
      </c>
      <c r="AC4" s="2">
        <f t="shared" si="13"/>
        <v>283.15498475165157</v>
      </c>
      <c r="AD4" s="2">
        <f t="shared" si="14"/>
        <v>0</v>
      </c>
      <c r="AE4" s="2">
        <f t="shared" si="15"/>
        <v>283.15498475165157</v>
      </c>
    </row>
    <row r="5" spans="1:31">
      <c r="A5" s="1" t="s">
        <v>1</v>
      </c>
      <c r="B5">
        <v>54</v>
      </c>
      <c r="C5" s="5">
        <v>99.9996403114</v>
      </c>
      <c r="D5" s="5">
        <v>13.0753938174</v>
      </c>
      <c r="E5" s="11">
        <v>125.7397</v>
      </c>
      <c r="F5" s="15">
        <v>584.29999999999995</v>
      </c>
      <c r="G5" s="15">
        <v>240.3</v>
      </c>
      <c r="H5" s="15">
        <v>104.1</v>
      </c>
      <c r="I5" s="15">
        <v>12</v>
      </c>
      <c r="J5" s="11">
        <v>0</v>
      </c>
      <c r="K5" s="15">
        <v>0</v>
      </c>
      <c r="L5" s="15">
        <v>0</v>
      </c>
      <c r="M5" s="15">
        <v>0</v>
      </c>
      <c r="N5" s="16">
        <v>0</v>
      </c>
      <c r="O5" s="2">
        <f t="shared" si="1"/>
        <v>1066.4396999999999</v>
      </c>
      <c r="P5" s="2">
        <f t="shared" si="2"/>
        <v>0</v>
      </c>
      <c r="Q5" s="2">
        <f t="shared" si="3"/>
        <v>1066.4396999999999</v>
      </c>
      <c r="S5" s="2">
        <f>E5*$C5/100</f>
        <v>125.73924772863342</v>
      </c>
      <c r="T5" s="2">
        <f t="shared" si="4"/>
        <v>584.29789833951008</v>
      </c>
      <c r="U5" s="2">
        <f t="shared" si="5"/>
        <v>240.29913566829421</v>
      </c>
      <c r="V5" s="2">
        <f t="shared" si="6"/>
        <v>104.0996255641674</v>
      </c>
      <c r="W5" s="2">
        <f t="shared" si="7"/>
        <v>11.999956837368</v>
      </c>
      <c r="X5" s="2">
        <f t="shared" si="8"/>
        <v>0</v>
      </c>
      <c r="Y5" s="2">
        <f t="shared" si="9"/>
        <v>0</v>
      </c>
      <c r="Z5" s="2">
        <f t="shared" si="10"/>
        <v>0</v>
      </c>
      <c r="AA5" s="2">
        <f t="shared" si="11"/>
        <v>0</v>
      </c>
      <c r="AB5" s="2">
        <f t="shared" si="12"/>
        <v>0</v>
      </c>
      <c r="AC5" s="2">
        <f t="shared" si="13"/>
        <v>1066.4358641379731</v>
      </c>
      <c r="AD5" s="2">
        <f t="shared" si="14"/>
        <v>0</v>
      </c>
      <c r="AE5" s="2">
        <f t="shared" si="15"/>
        <v>1066.4358641379731</v>
      </c>
    </row>
    <row r="6" spans="1:31">
      <c r="A6" s="1" t="s">
        <v>1</v>
      </c>
      <c r="B6">
        <v>55</v>
      </c>
      <c r="C6" s="5">
        <v>99.999866455599999</v>
      </c>
      <c r="D6" s="5">
        <v>5.1253520658799996</v>
      </c>
      <c r="E6" s="11">
        <v>2.2000000000000002</v>
      </c>
      <c r="F6" s="15">
        <v>406.5</v>
      </c>
      <c r="G6" s="15">
        <v>62.1</v>
      </c>
      <c r="H6" s="15">
        <v>18</v>
      </c>
      <c r="I6" s="15">
        <v>0.6</v>
      </c>
      <c r="J6" s="11">
        <v>0</v>
      </c>
      <c r="K6" s="15">
        <v>0</v>
      </c>
      <c r="L6" s="15">
        <v>0</v>
      </c>
      <c r="M6" s="15">
        <v>0</v>
      </c>
      <c r="N6" s="16">
        <v>0</v>
      </c>
      <c r="O6" s="2">
        <f t="shared" si="1"/>
        <v>489.40000000000003</v>
      </c>
      <c r="P6" s="2">
        <f t="shared" si="2"/>
        <v>0</v>
      </c>
      <c r="Q6" s="2">
        <f t="shared" si="3"/>
        <v>489.40000000000003</v>
      </c>
      <c r="S6" s="2">
        <f t="shared" si="16"/>
        <v>2.1999970620232001</v>
      </c>
      <c r="T6" s="2">
        <f t="shared" si="4"/>
        <v>406.49945714201402</v>
      </c>
      <c r="U6" s="2">
        <f t="shared" si="5"/>
        <v>62.099917068927596</v>
      </c>
      <c r="V6" s="2">
        <f t="shared" si="6"/>
        <v>17.999975962008001</v>
      </c>
      <c r="W6" s="2">
        <f t="shared" si="7"/>
        <v>0.59999919873359997</v>
      </c>
      <c r="X6" s="2">
        <f t="shared" si="8"/>
        <v>0</v>
      </c>
      <c r="Y6" s="2">
        <f t="shared" si="9"/>
        <v>0</v>
      </c>
      <c r="Z6" s="2">
        <f t="shared" si="10"/>
        <v>0</v>
      </c>
      <c r="AA6" s="2">
        <f t="shared" si="11"/>
        <v>0</v>
      </c>
      <c r="AB6" s="2">
        <f t="shared" si="12"/>
        <v>0</v>
      </c>
      <c r="AC6" s="2">
        <f t="shared" si="13"/>
        <v>489.39934643370646</v>
      </c>
      <c r="AD6" s="2">
        <f t="shared" si="14"/>
        <v>0</v>
      </c>
      <c r="AE6" s="2">
        <f t="shared" si="15"/>
        <v>489.39934643370646</v>
      </c>
    </row>
    <row r="7" spans="1:31">
      <c r="A7" s="1" t="s">
        <v>1</v>
      </c>
      <c r="B7">
        <v>56</v>
      </c>
      <c r="C7" s="5">
        <v>99.998879328599998</v>
      </c>
      <c r="D7" s="5">
        <v>8.25456340629</v>
      </c>
      <c r="E7" s="11">
        <v>128.6</v>
      </c>
      <c r="F7" s="15">
        <v>21.6</v>
      </c>
      <c r="G7" s="15">
        <v>2.1</v>
      </c>
      <c r="H7" s="15">
        <v>0</v>
      </c>
      <c r="I7" s="15">
        <v>0</v>
      </c>
      <c r="J7" s="11">
        <v>0</v>
      </c>
      <c r="K7" s="15">
        <v>0</v>
      </c>
      <c r="L7" s="15">
        <v>0</v>
      </c>
      <c r="M7" s="15">
        <v>0</v>
      </c>
      <c r="N7" s="16">
        <v>0</v>
      </c>
      <c r="O7" s="2">
        <f t="shared" si="1"/>
        <v>152.29999999999998</v>
      </c>
      <c r="P7" s="2">
        <f t="shared" si="2"/>
        <v>0</v>
      </c>
      <c r="Q7" s="2">
        <f t="shared" si="3"/>
        <v>152.29999999999998</v>
      </c>
      <c r="S7" s="2">
        <f t="shared" si="16"/>
        <v>128.59855881657958</v>
      </c>
      <c r="T7" s="2">
        <f t="shared" si="4"/>
        <v>21.599757934977603</v>
      </c>
      <c r="U7" s="2">
        <f t="shared" si="5"/>
        <v>2.0999764659006002</v>
      </c>
      <c r="V7" s="2">
        <f t="shared" si="6"/>
        <v>0</v>
      </c>
      <c r="W7" s="2">
        <f t="shared" si="7"/>
        <v>0</v>
      </c>
      <c r="X7" s="2">
        <f t="shared" si="8"/>
        <v>0</v>
      </c>
      <c r="Y7" s="2">
        <f t="shared" si="9"/>
        <v>0</v>
      </c>
      <c r="Z7" s="2">
        <f t="shared" si="10"/>
        <v>0</v>
      </c>
      <c r="AA7" s="2">
        <f t="shared" si="11"/>
        <v>0</v>
      </c>
      <c r="AB7" s="2">
        <f t="shared" si="12"/>
        <v>0</v>
      </c>
      <c r="AC7" s="2">
        <f t="shared" si="13"/>
        <v>152.29829321745777</v>
      </c>
      <c r="AD7" s="2">
        <f t="shared" si="14"/>
        <v>0</v>
      </c>
      <c r="AE7" s="2">
        <f t="shared" si="15"/>
        <v>152.29829321745777</v>
      </c>
    </row>
    <row r="8" spans="1:31">
      <c r="A8" s="1" t="s">
        <v>1</v>
      </c>
      <c r="B8">
        <v>57</v>
      </c>
      <c r="C8" s="5">
        <v>100</v>
      </c>
      <c r="D8" s="5">
        <v>6.6696216167099998</v>
      </c>
      <c r="E8" s="11">
        <v>0</v>
      </c>
      <c r="F8" s="15">
        <v>115.2</v>
      </c>
      <c r="G8" s="15">
        <v>33.1</v>
      </c>
      <c r="H8" s="15">
        <v>16.3</v>
      </c>
      <c r="I8" s="15">
        <v>1.6</v>
      </c>
      <c r="J8" s="11">
        <v>0</v>
      </c>
      <c r="K8" s="15">
        <v>0</v>
      </c>
      <c r="L8" s="15">
        <v>0</v>
      </c>
      <c r="M8" s="15">
        <v>0</v>
      </c>
      <c r="N8" s="16">
        <v>0</v>
      </c>
      <c r="O8" s="2">
        <f t="shared" si="1"/>
        <v>166.20000000000002</v>
      </c>
      <c r="P8" s="2">
        <f t="shared" si="2"/>
        <v>0</v>
      </c>
      <c r="Q8" s="2">
        <f t="shared" si="3"/>
        <v>166.20000000000002</v>
      </c>
      <c r="S8" s="2">
        <f t="shared" si="16"/>
        <v>0</v>
      </c>
      <c r="T8" s="2">
        <f t="shared" si="4"/>
        <v>115.2</v>
      </c>
      <c r="U8" s="2">
        <f t="shared" si="5"/>
        <v>33.1</v>
      </c>
      <c r="V8" s="2">
        <f t="shared" si="6"/>
        <v>16.3</v>
      </c>
      <c r="W8" s="2">
        <f t="shared" si="7"/>
        <v>1.6</v>
      </c>
      <c r="X8" s="2">
        <f t="shared" si="8"/>
        <v>0</v>
      </c>
      <c r="Y8" s="2">
        <f t="shared" si="9"/>
        <v>0</v>
      </c>
      <c r="Z8" s="2">
        <f t="shared" si="10"/>
        <v>0</v>
      </c>
      <c r="AA8" s="2">
        <f t="shared" si="11"/>
        <v>0</v>
      </c>
      <c r="AB8" s="2">
        <f t="shared" si="12"/>
        <v>0</v>
      </c>
      <c r="AC8" s="2">
        <f t="shared" si="13"/>
        <v>166.2</v>
      </c>
      <c r="AD8" s="2">
        <f t="shared" si="14"/>
        <v>0</v>
      </c>
      <c r="AE8" s="2">
        <f t="shared" si="15"/>
        <v>166.2</v>
      </c>
    </row>
    <row r="9" spans="1:31">
      <c r="A9" s="1" t="s">
        <v>1</v>
      </c>
      <c r="B9">
        <v>58</v>
      </c>
      <c r="C9" s="5">
        <v>99.999994251900006</v>
      </c>
      <c r="D9" s="5">
        <v>4.7005329788400001</v>
      </c>
      <c r="E9" s="11">
        <v>0</v>
      </c>
      <c r="F9" s="15">
        <v>59.8</v>
      </c>
      <c r="G9" s="15">
        <v>11.7</v>
      </c>
      <c r="H9" s="15">
        <v>1.8</v>
      </c>
      <c r="I9" s="15">
        <v>0</v>
      </c>
      <c r="J9" s="11">
        <v>0</v>
      </c>
      <c r="K9" s="15">
        <v>0</v>
      </c>
      <c r="L9" s="15">
        <v>0</v>
      </c>
      <c r="M9" s="15">
        <v>0</v>
      </c>
      <c r="N9" s="16">
        <v>0</v>
      </c>
      <c r="O9" s="2">
        <f t="shared" si="1"/>
        <v>73.3</v>
      </c>
      <c r="P9" s="2">
        <f t="shared" si="2"/>
        <v>0</v>
      </c>
      <c r="Q9" s="2">
        <f t="shared" si="3"/>
        <v>73.3</v>
      </c>
      <c r="S9" s="2">
        <f t="shared" si="16"/>
        <v>0</v>
      </c>
      <c r="T9" s="2">
        <f t="shared" si="4"/>
        <v>59.799996562636196</v>
      </c>
      <c r="U9" s="2">
        <f t="shared" si="5"/>
        <v>11.699999327472302</v>
      </c>
      <c r="V9" s="2">
        <f t="shared" si="6"/>
        <v>1.7999998965342001</v>
      </c>
      <c r="W9" s="2">
        <f t="shared" si="7"/>
        <v>0</v>
      </c>
      <c r="X9" s="2">
        <f t="shared" si="8"/>
        <v>0</v>
      </c>
      <c r="Y9" s="2">
        <f t="shared" si="9"/>
        <v>0</v>
      </c>
      <c r="Z9" s="2">
        <f t="shared" si="10"/>
        <v>0</v>
      </c>
      <c r="AA9" s="2">
        <f t="shared" si="11"/>
        <v>0</v>
      </c>
      <c r="AB9" s="2">
        <f t="shared" si="12"/>
        <v>0</v>
      </c>
      <c r="AC9" s="2">
        <f t="shared" si="13"/>
        <v>73.299995786642697</v>
      </c>
      <c r="AD9" s="2">
        <f t="shared" si="14"/>
        <v>0</v>
      </c>
      <c r="AE9" s="2">
        <f t="shared" si="15"/>
        <v>73.299995786642697</v>
      </c>
    </row>
    <row r="10" spans="1:31">
      <c r="A10" s="1" t="s">
        <v>1</v>
      </c>
      <c r="B10">
        <v>59</v>
      </c>
      <c r="C10" s="5">
        <v>99.999990118300005</v>
      </c>
      <c r="D10" s="5">
        <v>7.9975691549299999</v>
      </c>
      <c r="E10" s="11">
        <v>0</v>
      </c>
      <c r="F10" s="15">
        <v>305.79417000000001</v>
      </c>
      <c r="G10" s="15">
        <v>122.699985</v>
      </c>
      <c r="H10" s="15">
        <v>53</v>
      </c>
      <c r="I10" s="15">
        <v>4.2</v>
      </c>
      <c r="J10" s="11">
        <v>0</v>
      </c>
      <c r="K10" s="15">
        <v>0</v>
      </c>
      <c r="L10" s="15">
        <v>0</v>
      </c>
      <c r="M10" s="15">
        <v>0</v>
      </c>
      <c r="N10" s="16">
        <v>0</v>
      </c>
      <c r="O10" s="2">
        <f t="shared" si="1"/>
        <v>485.69415499999997</v>
      </c>
      <c r="P10" s="2">
        <f t="shared" si="2"/>
        <v>0</v>
      </c>
      <c r="Q10" s="2">
        <f t="shared" si="3"/>
        <v>485.69415499999997</v>
      </c>
      <c r="S10" s="2">
        <f t="shared" si="16"/>
        <v>0</v>
      </c>
      <c r="T10" s="2">
        <f t="shared" si="4"/>
        <v>305.79413978233754</v>
      </c>
      <c r="U10" s="2">
        <f t="shared" si="5"/>
        <v>122.69997287515558</v>
      </c>
      <c r="V10" s="2">
        <f t="shared" si="6"/>
        <v>52.999994762699004</v>
      </c>
      <c r="W10" s="2">
        <f t="shared" si="7"/>
        <v>4.1999995849685998</v>
      </c>
      <c r="X10" s="2">
        <f t="shared" si="8"/>
        <v>0</v>
      </c>
      <c r="Y10" s="2">
        <f t="shared" si="9"/>
        <v>0</v>
      </c>
      <c r="Z10" s="2">
        <f t="shared" si="10"/>
        <v>0</v>
      </c>
      <c r="AA10" s="2">
        <f t="shared" si="11"/>
        <v>0</v>
      </c>
      <c r="AB10" s="2">
        <f t="shared" si="12"/>
        <v>0</v>
      </c>
      <c r="AC10" s="2">
        <f t="shared" si="13"/>
        <v>485.69410700516067</v>
      </c>
      <c r="AD10" s="2">
        <f t="shared" si="14"/>
        <v>0</v>
      </c>
      <c r="AE10" s="2">
        <f t="shared" si="15"/>
        <v>485.69410700516067</v>
      </c>
    </row>
    <row r="11" spans="1:31">
      <c r="A11" s="1" t="s">
        <v>1</v>
      </c>
      <c r="B11">
        <v>88</v>
      </c>
      <c r="C11" s="5">
        <v>99.997801178900005</v>
      </c>
      <c r="D11" s="5">
        <v>7.5856393224199996</v>
      </c>
      <c r="E11" s="11">
        <v>0</v>
      </c>
      <c r="F11" s="15">
        <v>332.5</v>
      </c>
      <c r="G11" s="15">
        <v>194.09997999999999</v>
      </c>
      <c r="H11" s="15">
        <v>75.400000000000006</v>
      </c>
      <c r="I11" s="15">
        <v>4.0999999999999996</v>
      </c>
      <c r="J11" s="11">
        <v>0</v>
      </c>
      <c r="K11" s="15">
        <v>0</v>
      </c>
      <c r="L11" s="15">
        <v>0</v>
      </c>
      <c r="M11" s="15">
        <v>0</v>
      </c>
      <c r="N11" s="16">
        <v>0</v>
      </c>
      <c r="O11" s="2">
        <f t="shared" si="1"/>
        <v>606.09997999999996</v>
      </c>
      <c r="P11" s="2">
        <f t="shared" si="2"/>
        <v>0</v>
      </c>
      <c r="Q11" s="2">
        <f t="shared" si="3"/>
        <v>606.09997999999996</v>
      </c>
      <c r="S11" s="2">
        <f t="shared" si="16"/>
        <v>0</v>
      </c>
      <c r="T11" s="2">
        <f t="shared" si="4"/>
        <v>332.49268891984252</v>
      </c>
      <c r="U11" s="2">
        <f t="shared" si="5"/>
        <v>194.09571208868468</v>
      </c>
      <c r="V11" s="2">
        <f t="shared" si="6"/>
        <v>75.398342088890615</v>
      </c>
      <c r="W11" s="2">
        <f t="shared" si="7"/>
        <v>4.0999098483348995</v>
      </c>
      <c r="X11" s="2">
        <f t="shared" si="8"/>
        <v>0</v>
      </c>
      <c r="Y11" s="2">
        <f t="shared" si="9"/>
        <v>0</v>
      </c>
      <c r="Z11" s="2">
        <f t="shared" si="10"/>
        <v>0</v>
      </c>
      <c r="AA11" s="2">
        <f t="shared" si="11"/>
        <v>0</v>
      </c>
      <c r="AB11" s="2">
        <f t="shared" si="12"/>
        <v>0</v>
      </c>
      <c r="AC11" s="2">
        <f t="shared" si="13"/>
        <v>606.08665294575269</v>
      </c>
      <c r="AD11" s="2">
        <f t="shared" si="14"/>
        <v>0</v>
      </c>
      <c r="AE11" s="2">
        <f t="shared" si="15"/>
        <v>606.08665294575269</v>
      </c>
    </row>
    <row r="12" spans="1:31">
      <c r="A12" s="1" t="s">
        <v>1</v>
      </c>
      <c r="B12">
        <v>89</v>
      </c>
      <c r="C12" s="5">
        <v>100</v>
      </c>
      <c r="D12" s="5">
        <v>2.23088203947</v>
      </c>
      <c r="E12" s="11">
        <v>0</v>
      </c>
      <c r="F12" s="15">
        <v>0</v>
      </c>
      <c r="G12" s="15">
        <v>28.5</v>
      </c>
      <c r="H12" s="15">
        <v>7</v>
      </c>
      <c r="I12" s="15">
        <v>0.2</v>
      </c>
      <c r="J12" s="11">
        <v>0</v>
      </c>
      <c r="K12" s="15">
        <v>0</v>
      </c>
      <c r="L12" s="15">
        <v>0</v>
      </c>
      <c r="M12" s="15">
        <v>0</v>
      </c>
      <c r="N12" s="16">
        <v>0</v>
      </c>
      <c r="O12" s="2">
        <f t="shared" si="1"/>
        <v>35.700000000000003</v>
      </c>
      <c r="P12" s="2">
        <f t="shared" si="2"/>
        <v>0</v>
      </c>
      <c r="Q12" s="2">
        <f t="shared" si="3"/>
        <v>35.700000000000003</v>
      </c>
      <c r="S12" s="2">
        <f t="shared" si="16"/>
        <v>0</v>
      </c>
      <c r="T12" s="2">
        <f t="shared" si="4"/>
        <v>0</v>
      </c>
      <c r="U12" s="2">
        <f t="shared" si="5"/>
        <v>28.5</v>
      </c>
      <c r="V12" s="2">
        <f t="shared" si="6"/>
        <v>7</v>
      </c>
      <c r="W12" s="2">
        <f t="shared" si="7"/>
        <v>0.2</v>
      </c>
      <c r="X12" s="2">
        <f t="shared" si="8"/>
        <v>0</v>
      </c>
      <c r="Y12" s="2">
        <f t="shared" si="9"/>
        <v>0</v>
      </c>
      <c r="Z12" s="2">
        <f t="shared" si="10"/>
        <v>0</v>
      </c>
      <c r="AA12" s="2">
        <f t="shared" si="11"/>
        <v>0</v>
      </c>
      <c r="AB12" s="2">
        <f t="shared" si="12"/>
        <v>0</v>
      </c>
      <c r="AC12" s="2">
        <f t="shared" si="13"/>
        <v>35.700000000000003</v>
      </c>
      <c r="AD12" s="2">
        <f t="shared" si="14"/>
        <v>0</v>
      </c>
      <c r="AE12" s="2">
        <f t="shared" si="15"/>
        <v>35.700000000000003</v>
      </c>
    </row>
    <row r="13" spans="1:31">
      <c r="A13" s="1" t="s">
        <v>1</v>
      </c>
      <c r="B13">
        <v>90</v>
      </c>
      <c r="C13" s="5">
        <v>99.999999540399997</v>
      </c>
      <c r="D13" s="5">
        <v>14.6228164962</v>
      </c>
      <c r="E13" s="11">
        <v>0</v>
      </c>
      <c r="F13" s="15">
        <v>61.7</v>
      </c>
      <c r="G13" s="15">
        <v>444.39998000000003</v>
      </c>
      <c r="H13" s="15">
        <v>213.30002999999999</v>
      </c>
      <c r="I13" s="15">
        <v>49.4</v>
      </c>
      <c r="J13" s="11">
        <v>0</v>
      </c>
      <c r="K13" s="15">
        <v>0</v>
      </c>
      <c r="L13" s="15">
        <v>0</v>
      </c>
      <c r="M13" s="15">
        <v>0</v>
      </c>
      <c r="N13" s="16">
        <v>0</v>
      </c>
      <c r="O13" s="2">
        <f t="shared" si="1"/>
        <v>768.80001000000004</v>
      </c>
      <c r="P13" s="2">
        <f t="shared" si="2"/>
        <v>0</v>
      </c>
      <c r="Q13" s="2">
        <f t="shared" si="3"/>
        <v>768.80001000000004</v>
      </c>
      <c r="S13" s="2">
        <f t="shared" si="16"/>
        <v>0</v>
      </c>
      <c r="T13" s="2">
        <f t="shared" si="4"/>
        <v>61.699999716426802</v>
      </c>
      <c r="U13" s="2">
        <f t="shared" si="5"/>
        <v>444.39997795753771</v>
      </c>
      <c r="V13" s="2">
        <f t="shared" si="6"/>
        <v>213.30002901967305</v>
      </c>
      <c r="W13" s="2">
        <f t="shared" si="7"/>
        <v>49.399999772957599</v>
      </c>
      <c r="X13" s="2">
        <f t="shared" si="8"/>
        <v>0</v>
      </c>
      <c r="Y13" s="2">
        <f t="shared" si="9"/>
        <v>0</v>
      </c>
      <c r="Z13" s="2">
        <f t="shared" si="10"/>
        <v>0</v>
      </c>
      <c r="AA13" s="2">
        <f t="shared" si="11"/>
        <v>0</v>
      </c>
      <c r="AB13" s="2">
        <f t="shared" si="12"/>
        <v>0</v>
      </c>
      <c r="AC13" s="2">
        <f t="shared" si="13"/>
        <v>768.80000646659528</v>
      </c>
      <c r="AD13" s="2">
        <f t="shared" si="14"/>
        <v>0</v>
      </c>
      <c r="AE13" s="2">
        <f t="shared" si="15"/>
        <v>768.80000646659528</v>
      </c>
    </row>
    <row r="14" spans="1:31">
      <c r="A14" s="1" t="s">
        <v>1</v>
      </c>
      <c r="B14">
        <v>91</v>
      </c>
      <c r="C14" s="5">
        <v>99.9978394364</v>
      </c>
      <c r="D14" s="5">
        <v>4.6238789017400004</v>
      </c>
      <c r="E14" s="11">
        <v>0</v>
      </c>
      <c r="F14" s="15">
        <v>0</v>
      </c>
      <c r="G14" s="15">
        <v>83.29504</v>
      </c>
      <c r="H14" s="15">
        <v>127.4</v>
      </c>
      <c r="I14" s="15">
        <v>132.79999600000002</v>
      </c>
      <c r="J14" s="11">
        <v>0</v>
      </c>
      <c r="K14" s="15">
        <v>0</v>
      </c>
      <c r="L14" s="15">
        <v>0</v>
      </c>
      <c r="M14" s="15">
        <v>0</v>
      </c>
      <c r="N14" s="16">
        <v>0</v>
      </c>
      <c r="O14" s="2">
        <f t="shared" si="1"/>
        <v>343.49503600000003</v>
      </c>
      <c r="P14" s="2">
        <f t="shared" si="2"/>
        <v>0</v>
      </c>
      <c r="Q14" s="2">
        <f t="shared" si="3"/>
        <v>343.49503600000003</v>
      </c>
      <c r="S14" s="2">
        <f t="shared" si="16"/>
        <v>0</v>
      </c>
      <c r="T14" s="2">
        <f t="shared" si="4"/>
        <v>0</v>
      </c>
      <c r="U14" s="2">
        <f t="shared" si="5"/>
        <v>83.29324035768515</v>
      </c>
      <c r="V14" s="2">
        <f t="shared" si="6"/>
        <v>127.39724744197362</v>
      </c>
      <c r="W14" s="2">
        <f t="shared" si="7"/>
        <v>132.79712677162564</v>
      </c>
      <c r="X14" s="2">
        <f t="shared" si="8"/>
        <v>0</v>
      </c>
      <c r="Y14" s="2">
        <f t="shared" si="9"/>
        <v>0</v>
      </c>
      <c r="Z14" s="2">
        <f t="shared" si="10"/>
        <v>0</v>
      </c>
      <c r="AA14" s="2">
        <f t="shared" si="11"/>
        <v>0</v>
      </c>
      <c r="AB14" s="2">
        <f t="shared" si="12"/>
        <v>0</v>
      </c>
      <c r="AC14" s="2">
        <f t="shared" si="13"/>
        <v>343.48761457128444</v>
      </c>
      <c r="AD14" s="2">
        <f t="shared" si="14"/>
        <v>0</v>
      </c>
      <c r="AE14" s="2">
        <f t="shared" si="15"/>
        <v>343.48761457128444</v>
      </c>
    </row>
    <row r="15" spans="1:31">
      <c r="A15" s="1" t="s">
        <v>1</v>
      </c>
      <c r="B15">
        <v>92</v>
      </c>
      <c r="C15" s="5">
        <v>99.999535823800002</v>
      </c>
      <c r="D15" s="5">
        <v>6.7636800732399998</v>
      </c>
      <c r="E15" s="11">
        <v>0</v>
      </c>
      <c r="F15" s="15">
        <v>0</v>
      </c>
      <c r="G15" s="15">
        <v>1438.9164600000001</v>
      </c>
      <c r="H15" s="15">
        <v>354.9</v>
      </c>
      <c r="I15" s="15">
        <v>10.5</v>
      </c>
      <c r="J15" s="11">
        <v>0</v>
      </c>
      <c r="K15" s="15">
        <v>0</v>
      </c>
      <c r="L15" s="15">
        <v>0</v>
      </c>
      <c r="M15" s="15">
        <v>0</v>
      </c>
      <c r="N15" s="16">
        <v>0</v>
      </c>
      <c r="O15" s="2">
        <f t="shared" si="1"/>
        <v>1804.31646</v>
      </c>
      <c r="P15" s="2">
        <f t="shared" si="2"/>
        <v>0</v>
      </c>
      <c r="Q15" s="2">
        <f t="shared" si="3"/>
        <v>1804.31646</v>
      </c>
      <c r="S15" s="2">
        <f t="shared" si="16"/>
        <v>0</v>
      </c>
      <c r="T15" s="2">
        <f t="shared" si="4"/>
        <v>0</v>
      </c>
      <c r="U15" s="2">
        <f t="shared" si="5"/>
        <v>1438.9097808922552</v>
      </c>
      <c r="V15" s="2">
        <f t="shared" si="6"/>
        <v>354.89835263866621</v>
      </c>
      <c r="W15" s="2">
        <f t="shared" si="7"/>
        <v>10.499951261499</v>
      </c>
      <c r="X15" s="2">
        <f t="shared" si="8"/>
        <v>0</v>
      </c>
      <c r="Y15" s="2">
        <f t="shared" si="9"/>
        <v>0</v>
      </c>
      <c r="Z15" s="2">
        <f t="shared" si="10"/>
        <v>0</v>
      </c>
      <c r="AA15" s="2">
        <f t="shared" si="11"/>
        <v>0</v>
      </c>
      <c r="AB15" s="2">
        <f t="shared" si="12"/>
        <v>0</v>
      </c>
      <c r="AC15" s="2">
        <f t="shared" si="13"/>
        <v>1804.30808479242</v>
      </c>
      <c r="AD15" s="2">
        <f t="shared" si="14"/>
        <v>0</v>
      </c>
      <c r="AE15" s="2">
        <f t="shared" si="15"/>
        <v>1804.30808479242</v>
      </c>
    </row>
    <row r="16" spans="1:31">
      <c r="A16" s="1" t="s">
        <v>1</v>
      </c>
      <c r="B16">
        <v>93</v>
      </c>
      <c r="C16" s="5">
        <v>75.342670428700004</v>
      </c>
      <c r="D16" s="5">
        <v>7.4899436146399996</v>
      </c>
      <c r="E16" s="11">
        <v>0</v>
      </c>
      <c r="F16" s="15">
        <v>0</v>
      </c>
      <c r="G16" s="15">
        <v>481.5856</v>
      </c>
      <c r="H16" s="15">
        <v>404.29994099999999</v>
      </c>
      <c r="I16" s="15">
        <v>184.3</v>
      </c>
      <c r="J16" s="11">
        <v>0</v>
      </c>
      <c r="K16" s="15">
        <v>0</v>
      </c>
      <c r="L16" s="15">
        <v>0</v>
      </c>
      <c r="M16" s="15">
        <v>0</v>
      </c>
      <c r="N16" s="16">
        <v>0</v>
      </c>
      <c r="O16" s="2">
        <f t="shared" si="1"/>
        <v>1070.1855410000001</v>
      </c>
      <c r="P16" s="2">
        <f t="shared" si="2"/>
        <v>0</v>
      </c>
      <c r="Q16" s="2">
        <f t="shared" si="3"/>
        <v>1070.1855410000001</v>
      </c>
      <c r="S16" s="2">
        <f t="shared" si="16"/>
        <v>0</v>
      </c>
      <c r="T16" s="2">
        <f t="shared" si="4"/>
        <v>0</v>
      </c>
      <c r="U16" s="2">
        <f t="shared" si="5"/>
        <v>362.83945144007748</v>
      </c>
      <c r="V16" s="2">
        <f t="shared" si="6"/>
        <v>304.61037209105854</v>
      </c>
      <c r="W16" s="2">
        <f t="shared" si="7"/>
        <v>138.85654160009412</v>
      </c>
      <c r="X16" s="2">
        <f t="shared" si="8"/>
        <v>0</v>
      </c>
      <c r="Y16" s="2">
        <f t="shared" si="9"/>
        <v>0</v>
      </c>
      <c r="Z16" s="2">
        <f t="shared" si="10"/>
        <v>0</v>
      </c>
      <c r="AA16" s="2">
        <f t="shared" si="11"/>
        <v>0</v>
      </c>
      <c r="AB16" s="2">
        <f t="shared" si="12"/>
        <v>0</v>
      </c>
      <c r="AC16" s="2">
        <f t="shared" si="13"/>
        <v>806.30636513123011</v>
      </c>
      <c r="AD16" s="2">
        <f t="shared" si="14"/>
        <v>0</v>
      </c>
      <c r="AE16" s="2">
        <f t="shared" si="15"/>
        <v>806.30636513123011</v>
      </c>
    </row>
    <row r="17" spans="1:31">
      <c r="A17" s="1" t="s">
        <v>1</v>
      </c>
      <c r="B17">
        <v>94</v>
      </c>
      <c r="C17" s="5">
        <v>99.999829420099999</v>
      </c>
      <c r="D17" s="5">
        <v>0.45804951404900002</v>
      </c>
      <c r="E17" s="11">
        <v>1.4</v>
      </c>
      <c r="F17" s="15">
        <v>0.4</v>
      </c>
      <c r="G17" s="15">
        <v>0.2</v>
      </c>
      <c r="H17" s="15">
        <v>0</v>
      </c>
      <c r="I17" s="15">
        <v>0</v>
      </c>
      <c r="J17" s="11">
        <v>0</v>
      </c>
      <c r="K17" s="15">
        <v>0</v>
      </c>
      <c r="L17" s="15">
        <v>0</v>
      </c>
      <c r="M17" s="15">
        <v>0</v>
      </c>
      <c r="N17" s="16">
        <v>0</v>
      </c>
      <c r="O17" s="2">
        <f t="shared" si="1"/>
        <v>1.9999999999999998</v>
      </c>
      <c r="P17" s="2">
        <f t="shared" si="2"/>
        <v>0</v>
      </c>
      <c r="Q17" s="2">
        <f t="shared" si="3"/>
        <v>1.9999999999999998</v>
      </c>
      <c r="S17" s="2">
        <f t="shared" si="16"/>
        <v>1.3999976118813999</v>
      </c>
      <c r="T17" s="2">
        <f t="shared" si="4"/>
        <v>0.39999931768039998</v>
      </c>
      <c r="U17" s="2">
        <f t="shared" si="5"/>
        <v>0.19999965884019999</v>
      </c>
      <c r="V17" s="2">
        <f t="shared" si="6"/>
        <v>0</v>
      </c>
      <c r="W17" s="2">
        <f t="shared" si="7"/>
        <v>0</v>
      </c>
      <c r="X17" s="2">
        <f t="shared" si="8"/>
        <v>0</v>
      </c>
      <c r="Y17" s="2">
        <f t="shared" si="9"/>
        <v>0</v>
      </c>
      <c r="Z17" s="2">
        <f t="shared" si="10"/>
        <v>0</v>
      </c>
      <c r="AA17" s="2">
        <f t="shared" si="11"/>
        <v>0</v>
      </c>
      <c r="AB17" s="2">
        <f t="shared" si="12"/>
        <v>0</v>
      </c>
      <c r="AC17" s="2">
        <f t="shared" si="13"/>
        <v>1.9999965884019997</v>
      </c>
      <c r="AD17" s="2">
        <f t="shared" si="14"/>
        <v>0</v>
      </c>
      <c r="AE17" s="2">
        <f t="shared" si="15"/>
        <v>1.9999965884019997</v>
      </c>
    </row>
    <row r="18" spans="1:31">
      <c r="A18" s="1" t="s">
        <v>1</v>
      </c>
      <c r="B18">
        <v>163</v>
      </c>
      <c r="C18" s="5">
        <v>14.9868788653</v>
      </c>
      <c r="D18" s="5">
        <v>2.0785035193099999</v>
      </c>
      <c r="E18" s="11">
        <v>0</v>
      </c>
      <c r="F18" s="15">
        <v>0</v>
      </c>
      <c r="G18" s="15">
        <v>3074.4497000000001</v>
      </c>
      <c r="H18" s="15">
        <v>753.19997000000001</v>
      </c>
      <c r="I18" s="15">
        <v>25.2</v>
      </c>
      <c r="J18" s="11">
        <v>0</v>
      </c>
      <c r="K18" s="15">
        <v>0</v>
      </c>
      <c r="L18" s="15">
        <v>0</v>
      </c>
      <c r="M18" s="15">
        <v>0</v>
      </c>
      <c r="N18" s="16">
        <v>0</v>
      </c>
      <c r="O18" s="2">
        <f t="shared" si="1"/>
        <v>3852.8496700000001</v>
      </c>
      <c r="P18" s="2">
        <f t="shared" si="2"/>
        <v>0</v>
      </c>
      <c r="Q18" s="2">
        <f t="shared" si="3"/>
        <v>3852.8496700000001</v>
      </c>
      <c r="S18" s="2">
        <f t="shared" si="16"/>
        <v>0</v>
      </c>
      <c r="T18" s="2">
        <f t="shared" si="4"/>
        <v>0</v>
      </c>
      <c r="U18" s="2">
        <f>G18*$C18/100</f>
        <v>460.76405231357921</v>
      </c>
      <c r="V18" s="2">
        <f t="shared" si="6"/>
        <v>112.88116711737594</v>
      </c>
      <c r="W18" s="2">
        <f t="shared" si="7"/>
        <v>3.7766934740555995</v>
      </c>
      <c r="X18" s="2">
        <f t="shared" si="8"/>
        <v>0</v>
      </c>
      <c r="Y18" s="2">
        <f t="shared" si="9"/>
        <v>0</v>
      </c>
      <c r="Z18" s="2">
        <f t="shared" si="10"/>
        <v>0</v>
      </c>
      <c r="AA18" s="2">
        <f t="shared" si="11"/>
        <v>0</v>
      </c>
      <c r="AB18" s="2">
        <f t="shared" si="12"/>
        <v>0</v>
      </c>
      <c r="AC18" s="2">
        <f t="shared" si="13"/>
        <v>577.4219129050108</v>
      </c>
      <c r="AD18" s="2">
        <f t="shared" si="14"/>
        <v>0</v>
      </c>
      <c r="AE18" s="2">
        <f t="shared" si="15"/>
        <v>577.4219129050108</v>
      </c>
    </row>
    <row r="19" spans="1:31">
      <c r="A19" s="1" t="s">
        <v>2</v>
      </c>
      <c r="B19">
        <v>20</v>
      </c>
      <c r="C19" s="5">
        <v>94.404948946100006</v>
      </c>
      <c r="D19" s="5">
        <v>19.995088440699998</v>
      </c>
      <c r="E19" s="11">
        <v>0</v>
      </c>
      <c r="F19" s="15">
        <v>423.60003</v>
      </c>
      <c r="G19" s="15">
        <v>160.60000000000002</v>
      </c>
      <c r="H19" s="15">
        <v>123.19999999999999</v>
      </c>
      <c r="I19" s="15">
        <v>52.699996999999996</v>
      </c>
      <c r="J19" s="11">
        <v>0</v>
      </c>
      <c r="K19" s="15">
        <v>0</v>
      </c>
      <c r="L19" s="15">
        <v>0</v>
      </c>
      <c r="M19" s="15">
        <v>0</v>
      </c>
      <c r="N19" s="16">
        <v>7</v>
      </c>
      <c r="O19" s="2">
        <f t="shared" si="1"/>
        <v>760.10002699999995</v>
      </c>
      <c r="P19" s="2">
        <f t="shared" si="2"/>
        <v>7</v>
      </c>
      <c r="Q19" s="2">
        <f t="shared" si="3"/>
        <v>767.10002699999995</v>
      </c>
      <c r="S19" s="2">
        <f t="shared" si="16"/>
        <v>0</v>
      </c>
      <c r="T19" s="2">
        <f t="shared" si="4"/>
        <v>399.89939205716428</v>
      </c>
      <c r="U19" s="2">
        <f t="shared" si="5"/>
        <v>151.61434800743663</v>
      </c>
      <c r="V19" s="2">
        <f t="shared" si="6"/>
        <v>116.30689710159521</v>
      </c>
      <c r="W19" s="2">
        <f t="shared" si="7"/>
        <v>49.751405262446234</v>
      </c>
      <c r="X19" s="2">
        <f t="shared" si="8"/>
        <v>0</v>
      </c>
      <c r="Y19" s="2">
        <f t="shared" si="9"/>
        <v>0</v>
      </c>
      <c r="Z19" s="2">
        <f t="shared" si="10"/>
        <v>0</v>
      </c>
      <c r="AA19" s="2">
        <f t="shared" si="11"/>
        <v>0</v>
      </c>
      <c r="AB19" s="2">
        <f t="shared" si="12"/>
        <v>6.6083464262270004</v>
      </c>
      <c r="AC19" s="2">
        <f t="shared" si="13"/>
        <v>717.57204242864236</v>
      </c>
      <c r="AD19" s="2">
        <f t="shared" si="14"/>
        <v>6.6083464262270004</v>
      </c>
      <c r="AE19" s="2">
        <f t="shared" si="15"/>
        <v>724.18038885486942</v>
      </c>
    </row>
    <row r="20" spans="1:31">
      <c r="A20" s="1" t="s">
        <v>2</v>
      </c>
      <c r="B20">
        <v>21</v>
      </c>
      <c r="C20" s="5">
        <v>30.9105072901</v>
      </c>
      <c r="D20" s="5">
        <v>5.5141272360000002</v>
      </c>
      <c r="E20" s="11">
        <v>0</v>
      </c>
      <c r="F20" s="15">
        <v>430.10001</v>
      </c>
      <c r="G20" s="15">
        <v>66.95187</v>
      </c>
      <c r="H20" s="15">
        <v>78</v>
      </c>
      <c r="I20" s="15">
        <v>27.900000000000002</v>
      </c>
      <c r="J20" s="11">
        <v>0</v>
      </c>
      <c r="K20" s="15">
        <v>0</v>
      </c>
      <c r="L20" s="15">
        <v>0</v>
      </c>
      <c r="M20" s="15">
        <v>0</v>
      </c>
      <c r="N20" s="16">
        <v>0</v>
      </c>
      <c r="O20" s="2">
        <f t="shared" si="1"/>
        <v>602.95187999999996</v>
      </c>
      <c r="P20" s="2">
        <f t="shared" si="2"/>
        <v>0</v>
      </c>
      <c r="Q20" s="2">
        <f t="shared" si="3"/>
        <v>602.95187999999996</v>
      </c>
      <c r="S20" s="2">
        <f t="shared" si="16"/>
        <v>0</v>
      </c>
      <c r="T20" s="2">
        <f t="shared" si="4"/>
        <v>132.94609494577082</v>
      </c>
      <c r="U20" s="2">
        <f t="shared" si="5"/>
        <v>20.695162657208275</v>
      </c>
      <c r="V20" s="2">
        <f t="shared" si="6"/>
        <v>24.110195686277997</v>
      </c>
      <c r="W20" s="2">
        <f t="shared" si="7"/>
        <v>8.6240315339379006</v>
      </c>
      <c r="X20" s="2">
        <f t="shared" si="8"/>
        <v>0</v>
      </c>
      <c r="Y20" s="2">
        <f t="shared" si="9"/>
        <v>0</v>
      </c>
      <c r="Z20" s="2">
        <f t="shared" si="10"/>
        <v>0</v>
      </c>
      <c r="AA20" s="2">
        <f t="shared" si="11"/>
        <v>0</v>
      </c>
      <c r="AB20" s="2">
        <f t="shared" si="12"/>
        <v>0</v>
      </c>
      <c r="AC20" s="2">
        <f t="shared" si="13"/>
        <v>186.37548482319499</v>
      </c>
      <c r="AD20" s="2">
        <f t="shared" si="14"/>
        <v>0</v>
      </c>
      <c r="AE20" s="2">
        <f t="shared" si="15"/>
        <v>186.37548482319499</v>
      </c>
    </row>
    <row r="21" spans="1:31">
      <c r="A21" s="1" t="s">
        <v>2</v>
      </c>
      <c r="B21">
        <v>22</v>
      </c>
      <c r="C21" s="5">
        <v>100</v>
      </c>
      <c r="D21" s="5">
        <v>5.6487313974499997</v>
      </c>
      <c r="E21" s="11">
        <v>0</v>
      </c>
      <c r="F21" s="15">
        <v>50.8</v>
      </c>
      <c r="G21" s="15">
        <v>10.5</v>
      </c>
      <c r="H21" s="15">
        <v>1.8</v>
      </c>
      <c r="I21" s="15">
        <v>0</v>
      </c>
      <c r="J21" s="11">
        <v>0</v>
      </c>
      <c r="K21" s="15">
        <v>0</v>
      </c>
      <c r="L21" s="15">
        <v>0</v>
      </c>
      <c r="M21" s="15">
        <v>0</v>
      </c>
      <c r="N21" s="16">
        <v>0</v>
      </c>
      <c r="O21" s="2">
        <f t="shared" si="1"/>
        <v>63.099999999999994</v>
      </c>
      <c r="P21" s="2">
        <f t="shared" si="2"/>
        <v>0</v>
      </c>
      <c r="Q21" s="2">
        <f t="shared" si="3"/>
        <v>63.099999999999994</v>
      </c>
      <c r="S21" s="2">
        <f t="shared" si="16"/>
        <v>0</v>
      </c>
      <c r="T21" s="2">
        <f t="shared" si="4"/>
        <v>50.8</v>
      </c>
      <c r="U21" s="2">
        <f t="shared" si="5"/>
        <v>10.5</v>
      </c>
      <c r="V21" s="2">
        <f t="shared" si="6"/>
        <v>1.8</v>
      </c>
      <c r="W21" s="2">
        <f t="shared" si="7"/>
        <v>0</v>
      </c>
      <c r="X21" s="2">
        <f t="shared" si="8"/>
        <v>0</v>
      </c>
      <c r="Y21" s="2">
        <f t="shared" si="9"/>
        <v>0</v>
      </c>
      <c r="Z21" s="2">
        <f t="shared" si="10"/>
        <v>0</v>
      </c>
      <c r="AA21" s="2">
        <f t="shared" si="11"/>
        <v>0</v>
      </c>
      <c r="AB21" s="2">
        <f t="shared" si="12"/>
        <v>0</v>
      </c>
      <c r="AC21" s="2">
        <f t="shared" si="13"/>
        <v>63.099999999999994</v>
      </c>
      <c r="AD21" s="2">
        <f t="shared" si="14"/>
        <v>0</v>
      </c>
      <c r="AE21" s="2">
        <f t="shared" si="15"/>
        <v>63.099999999999994</v>
      </c>
    </row>
    <row r="22" spans="1:31">
      <c r="A22" s="1" t="s">
        <v>2</v>
      </c>
      <c r="B22">
        <v>23</v>
      </c>
      <c r="C22" s="5">
        <v>100</v>
      </c>
      <c r="D22" s="5">
        <v>3.4220337972400001</v>
      </c>
      <c r="E22" s="11">
        <v>0</v>
      </c>
      <c r="F22" s="15">
        <v>0</v>
      </c>
      <c r="G22" s="15">
        <v>4</v>
      </c>
      <c r="H22" s="15">
        <v>0</v>
      </c>
      <c r="I22" s="15">
        <v>0</v>
      </c>
      <c r="J22" s="11">
        <v>0</v>
      </c>
      <c r="K22" s="15">
        <v>0</v>
      </c>
      <c r="L22" s="15">
        <v>0</v>
      </c>
      <c r="M22" s="15">
        <v>0</v>
      </c>
      <c r="N22" s="16">
        <v>0</v>
      </c>
      <c r="O22" s="2">
        <f t="shared" si="1"/>
        <v>4</v>
      </c>
      <c r="P22" s="2">
        <f t="shared" si="2"/>
        <v>0</v>
      </c>
      <c r="Q22" s="2">
        <f t="shared" si="3"/>
        <v>4</v>
      </c>
      <c r="S22" s="2">
        <f t="shared" si="16"/>
        <v>0</v>
      </c>
      <c r="T22" s="2">
        <f t="shared" si="4"/>
        <v>0</v>
      </c>
      <c r="U22" s="2">
        <f t="shared" si="5"/>
        <v>4</v>
      </c>
      <c r="V22" s="2">
        <f t="shared" si="6"/>
        <v>0</v>
      </c>
      <c r="W22" s="2">
        <f t="shared" si="7"/>
        <v>0</v>
      </c>
      <c r="X22" s="2">
        <f t="shared" si="8"/>
        <v>0</v>
      </c>
      <c r="Y22" s="2">
        <f t="shared" si="9"/>
        <v>0</v>
      </c>
      <c r="Z22" s="2">
        <f t="shared" si="10"/>
        <v>0</v>
      </c>
      <c r="AA22" s="2">
        <f t="shared" si="11"/>
        <v>0</v>
      </c>
      <c r="AB22" s="2">
        <f t="shared" si="12"/>
        <v>0</v>
      </c>
      <c r="AC22" s="2">
        <f t="shared" si="13"/>
        <v>4</v>
      </c>
      <c r="AD22" s="2">
        <f t="shared" si="14"/>
        <v>0</v>
      </c>
      <c r="AE22" s="2">
        <f t="shared" si="15"/>
        <v>4</v>
      </c>
    </row>
    <row r="23" spans="1:31">
      <c r="A23" s="1" t="s">
        <v>2</v>
      </c>
      <c r="B23">
        <v>24</v>
      </c>
      <c r="C23" s="5">
        <v>99.999916918599993</v>
      </c>
      <c r="D23" s="5">
        <v>11.9451768561</v>
      </c>
      <c r="E23" s="11">
        <v>0</v>
      </c>
      <c r="F23" s="15">
        <v>121.4</v>
      </c>
      <c r="G23" s="15">
        <v>47.100003999999998</v>
      </c>
      <c r="H23" s="15">
        <v>24.5</v>
      </c>
      <c r="I23" s="15">
        <v>7.5</v>
      </c>
      <c r="J23" s="11">
        <v>0</v>
      </c>
      <c r="K23" s="15">
        <v>0</v>
      </c>
      <c r="L23" s="15">
        <v>0</v>
      </c>
      <c r="M23" s="15">
        <v>0</v>
      </c>
      <c r="N23" s="16">
        <v>0</v>
      </c>
      <c r="O23" s="2">
        <f t="shared" si="1"/>
        <v>200.50000399999999</v>
      </c>
      <c r="P23" s="2">
        <f t="shared" si="2"/>
        <v>0</v>
      </c>
      <c r="Q23" s="2">
        <f t="shared" si="3"/>
        <v>200.50000399999999</v>
      </c>
      <c r="S23" s="2">
        <f t="shared" si="16"/>
        <v>0</v>
      </c>
      <c r="T23" s="2">
        <f t="shared" si="4"/>
        <v>121.39989913918039</v>
      </c>
      <c r="U23" s="2">
        <f t="shared" si="5"/>
        <v>47.099964868657274</v>
      </c>
      <c r="V23" s="2">
        <f t="shared" si="6"/>
        <v>24.499979645056996</v>
      </c>
      <c r="W23" s="2">
        <f t="shared" si="7"/>
        <v>7.4999937688949991</v>
      </c>
      <c r="X23" s="2">
        <f t="shared" si="8"/>
        <v>0</v>
      </c>
      <c r="Y23" s="2">
        <f t="shared" si="9"/>
        <v>0</v>
      </c>
      <c r="Z23" s="2">
        <f t="shared" si="10"/>
        <v>0</v>
      </c>
      <c r="AA23" s="2">
        <f t="shared" si="11"/>
        <v>0</v>
      </c>
      <c r="AB23" s="2">
        <f t="shared" si="12"/>
        <v>0</v>
      </c>
      <c r="AC23" s="2">
        <f t="shared" si="13"/>
        <v>200.49983742178966</v>
      </c>
      <c r="AD23" s="2">
        <f t="shared" si="14"/>
        <v>0</v>
      </c>
      <c r="AE23" s="2">
        <f t="shared" si="15"/>
        <v>200.49983742178966</v>
      </c>
    </row>
    <row r="24" spans="1:31">
      <c r="A24" s="1" t="s">
        <v>2</v>
      </c>
      <c r="B24">
        <v>25</v>
      </c>
      <c r="C24" s="5">
        <v>100</v>
      </c>
      <c r="D24" s="5">
        <v>8.7505446469100008</v>
      </c>
      <c r="E24" s="11">
        <v>0</v>
      </c>
      <c r="F24" s="15">
        <v>1138.3</v>
      </c>
      <c r="G24" s="15">
        <v>98.8</v>
      </c>
      <c r="H24" s="15">
        <v>172.1</v>
      </c>
      <c r="I24" s="15">
        <v>0</v>
      </c>
      <c r="J24" s="11">
        <v>0</v>
      </c>
      <c r="K24" s="15">
        <v>810.04579999999999</v>
      </c>
      <c r="L24" s="15">
        <v>51</v>
      </c>
      <c r="M24" s="15">
        <v>0</v>
      </c>
      <c r="N24" s="16">
        <v>0</v>
      </c>
      <c r="O24" s="2">
        <f t="shared" si="1"/>
        <v>1409.1999999999998</v>
      </c>
      <c r="P24" s="2">
        <f t="shared" si="2"/>
        <v>861.04579999999999</v>
      </c>
      <c r="Q24" s="2">
        <f t="shared" si="3"/>
        <v>2270.2457999999997</v>
      </c>
      <c r="S24" s="2">
        <f t="shared" si="16"/>
        <v>0</v>
      </c>
      <c r="T24" s="2">
        <f t="shared" si="4"/>
        <v>1138.3</v>
      </c>
      <c r="U24" s="2">
        <f t="shared" si="5"/>
        <v>98.8</v>
      </c>
      <c r="V24" s="2">
        <f t="shared" si="6"/>
        <v>172.1</v>
      </c>
      <c r="W24" s="2">
        <f t="shared" si="7"/>
        <v>0</v>
      </c>
      <c r="X24" s="2">
        <f t="shared" si="8"/>
        <v>0</v>
      </c>
      <c r="Y24" s="2">
        <f t="shared" si="9"/>
        <v>810.04579999999999</v>
      </c>
      <c r="Z24" s="2">
        <f t="shared" si="10"/>
        <v>51</v>
      </c>
      <c r="AA24" s="2">
        <f t="shared" si="11"/>
        <v>0</v>
      </c>
      <c r="AB24" s="2">
        <f t="shared" si="12"/>
        <v>0</v>
      </c>
      <c r="AC24" s="2">
        <f t="shared" si="13"/>
        <v>1409.1999999999998</v>
      </c>
      <c r="AD24" s="2">
        <f t="shared" si="14"/>
        <v>861.04579999999999</v>
      </c>
      <c r="AE24" s="2">
        <f t="shared" si="15"/>
        <v>2270.2457999999997</v>
      </c>
    </row>
    <row r="25" spans="1:31">
      <c r="A25" s="1" t="s">
        <v>2</v>
      </c>
      <c r="B25">
        <v>26</v>
      </c>
      <c r="C25" s="5">
        <v>100</v>
      </c>
      <c r="D25" s="5">
        <v>6.9018339980499999</v>
      </c>
      <c r="E25" s="11">
        <v>148.49</v>
      </c>
      <c r="F25" s="15">
        <v>107</v>
      </c>
      <c r="G25" s="15">
        <v>29</v>
      </c>
      <c r="H25" s="15">
        <v>147.31</v>
      </c>
      <c r="I25" s="15">
        <v>0</v>
      </c>
      <c r="J25" s="11">
        <v>0</v>
      </c>
      <c r="K25" s="15">
        <v>0</v>
      </c>
      <c r="L25" s="15">
        <v>0</v>
      </c>
      <c r="M25" s="15">
        <v>0</v>
      </c>
      <c r="N25" s="16">
        <v>0</v>
      </c>
      <c r="O25" s="2">
        <f t="shared" si="1"/>
        <v>431.8</v>
      </c>
      <c r="P25" s="2">
        <f t="shared" si="2"/>
        <v>0</v>
      </c>
      <c r="Q25" s="2">
        <f t="shared" si="3"/>
        <v>431.8</v>
      </c>
      <c r="S25" s="2">
        <f t="shared" si="16"/>
        <v>148.49</v>
      </c>
      <c r="T25" s="2">
        <f t="shared" si="4"/>
        <v>107</v>
      </c>
      <c r="U25" s="2">
        <f t="shared" si="5"/>
        <v>29</v>
      </c>
      <c r="V25" s="2">
        <f t="shared" si="6"/>
        <v>147.31</v>
      </c>
      <c r="W25" s="2">
        <f t="shared" si="7"/>
        <v>0</v>
      </c>
      <c r="X25" s="2">
        <f t="shared" si="8"/>
        <v>0</v>
      </c>
      <c r="Y25" s="2">
        <f t="shared" si="9"/>
        <v>0</v>
      </c>
      <c r="Z25" s="2">
        <f t="shared" si="10"/>
        <v>0</v>
      </c>
      <c r="AA25" s="2">
        <f t="shared" si="11"/>
        <v>0</v>
      </c>
      <c r="AB25" s="2">
        <f t="shared" si="12"/>
        <v>0</v>
      </c>
      <c r="AC25" s="2">
        <f t="shared" si="13"/>
        <v>431.8</v>
      </c>
      <c r="AD25" s="2">
        <f t="shared" si="14"/>
        <v>0</v>
      </c>
      <c r="AE25" s="2">
        <f t="shared" si="15"/>
        <v>431.8</v>
      </c>
    </row>
    <row r="26" spans="1:31">
      <c r="A26" s="1" t="s">
        <v>2</v>
      </c>
      <c r="B26">
        <v>27</v>
      </c>
      <c r="C26" s="5">
        <v>99.998647124599998</v>
      </c>
      <c r="D26" s="5">
        <v>13.910289765</v>
      </c>
      <c r="E26" s="11">
        <v>0</v>
      </c>
      <c r="F26" s="15">
        <v>16.600000000000001</v>
      </c>
      <c r="G26" s="15">
        <v>1.9</v>
      </c>
      <c r="H26" s="15">
        <v>0</v>
      </c>
      <c r="I26" s="15">
        <v>0</v>
      </c>
      <c r="J26" s="11">
        <v>0</v>
      </c>
      <c r="K26" s="15">
        <v>0</v>
      </c>
      <c r="L26" s="15">
        <v>0</v>
      </c>
      <c r="M26" s="15">
        <v>0</v>
      </c>
      <c r="N26" s="16">
        <v>0</v>
      </c>
      <c r="O26" s="2">
        <f t="shared" si="1"/>
        <v>18.5</v>
      </c>
      <c r="P26" s="2">
        <f t="shared" si="2"/>
        <v>0</v>
      </c>
      <c r="Q26" s="2">
        <f t="shared" si="3"/>
        <v>18.5</v>
      </c>
      <c r="S26" s="2">
        <f t="shared" si="16"/>
        <v>0</v>
      </c>
      <c r="T26" s="2">
        <f t="shared" si="4"/>
        <v>16.599775422683603</v>
      </c>
      <c r="U26" s="2">
        <f t="shared" si="5"/>
        <v>1.8999742953673999</v>
      </c>
      <c r="V26" s="2">
        <f t="shared" si="6"/>
        <v>0</v>
      </c>
      <c r="W26" s="2">
        <f t="shared" si="7"/>
        <v>0</v>
      </c>
      <c r="X26" s="2">
        <f t="shared" si="8"/>
        <v>0</v>
      </c>
      <c r="Y26" s="2">
        <f t="shared" si="9"/>
        <v>0</v>
      </c>
      <c r="Z26" s="2">
        <f t="shared" si="10"/>
        <v>0</v>
      </c>
      <c r="AA26" s="2">
        <f t="shared" si="11"/>
        <v>0</v>
      </c>
      <c r="AB26" s="2">
        <f t="shared" si="12"/>
        <v>0</v>
      </c>
      <c r="AC26" s="2">
        <f t="shared" si="13"/>
        <v>18.499749718051</v>
      </c>
      <c r="AD26" s="2">
        <f t="shared" si="14"/>
        <v>0</v>
      </c>
      <c r="AE26" s="2">
        <f t="shared" si="15"/>
        <v>18.499749718051</v>
      </c>
    </row>
    <row r="27" spans="1:31">
      <c r="A27" s="1" t="s">
        <v>2</v>
      </c>
      <c r="B27">
        <v>29</v>
      </c>
      <c r="C27" s="5">
        <v>77.3937569534</v>
      </c>
      <c r="D27" s="5">
        <v>10.999624214100001</v>
      </c>
      <c r="E27" s="11">
        <v>0</v>
      </c>
      <c r="F27" s="15">
        <v>168.8</v>
      </c>
      <c r="G27" s="15">
        <v>56</v>
      </c>
      <c r="H27" s="15">
        <v>29.200000000000003</v>
      </c>
      <c r="I27" s="15">
        <v>6</v>
      </c>
      <c r="J27" s="11">
        <v>0</v>
      </c>
      <c r="K27" s="15">
        <v>0</v>
      </c>
      <c r="L27" s="15">
        <v>0</v>
      </c>
      <c r="M27" s="15">
        <v>0</v>
      </c>
      <c r="N27" s="16">
        <v>7</v>
      </c>
      <c r="O27" s="2">
        <f t="shared" si="1"/>
        <v>260</v>
      </c>
      <c r="P27" s="2">
        <f t="shared" si="2"/>
        <v>7</v>
      </c>
      <c r="Q27" s="2">
        <f t="shared" si="3"/>
        <v>267</v>
      </c>
      <c r="S27" s="2">
        <f t="shared" si="16"/>
        <v>0</v>
      </c>
      <c r="T27" s="2">
        <f t="shared" si="4"/>
        <v>130.6406617373392</v>
      </c>
      <c r="U27" s="2">
        <f t="shared" si="5"/>
        <v>43.340503893904</v>
      </c>
      <c r="V27" s="2">
        <f t="shared" si="6"/>
        <v>22.598977030392803</v>
      </c>
      <c r="W27" s="2">
        <f t="shared" si="7"/>
        <v>4.6436254172040003</v>
      </c>
      <c r="X27" s="2">
        <f t="shared" si="8"/>
        <v>0</v>
      </c>
      <c r="Y27" s="2">
        <f t="shared" si="9"/>
        <v>0</v>
      </c>
      <c r="Z27" s="2">
        <f t="shared" si="10"/>
        <v>0</v>
      </c>
      <c r="AA27" s="2">
        <f t="shared" si="11"/>
        <v>0</v>
      </c>
      <c r="AB27" s="2">
        <f t="shared" si="12"/>
        <v>5.417562986738</v>
      </c>
      <c r="AC27" s="2">
        <f t="shared" si="13"/>
        <v>201.22376807884001</v>
      </c>
      <c r="AD27" s="2">
        <f t="shared" si="14"/>
        <v>5.417562986738</v>
      </c>
      <c r="AE27" s="2">
        <f t="shared" si="15"/>
        <v>206.64133106557802</v>
      </c>
    </row>
    <row r="28" spans="1:31">
      <c r="A28" s="1" t="s">
        <v>2</v>
      </c>
      <c r="B28">
        <v>30</v>
      </c>
      <c r="C28" s="5">
        <v>62.778873983300002</v>
      </c>
      <c r="D28" s="5">
        <v>9.5340152344900009</v>
      </c>
      <c r="E28" s="11">
        <v>140</v>
      </c>
      <c r="F28" s="15">
        <v>1190.0081</v>
      </c>
      <c r="G28" s="15">
        <v>1818.4000499999997</v>
      </c>
      <c r="H28" s="15">
        <v>1619.29998</v>
      </c>
      <c r="I28" s="15">
        <v>683.7</v>
      </c>
      <c r="J28" s="11">
        <v>0</v>
      </c>
      <c r="K28" s="15">
        <v>0</v>
      </c>
      <c r="L28" s="15">
        <v>0</v>
      </c>
      <c r="M28" s="15">
        <v>0</v>
      </c>
      <c r="N28" s="16">
        <v>0</v>
      </c>
      <c r="O28" s="2">
        <f t="shared" si="1"/>
        <v>5451.4081299999998</v>
      </c>
      <c r="P28" s="2">
        <f t="shared" si="2"/>
        <v>0</v>
      </c>
      <c r="Q28" s="2">
        <f t="shared" si="3"/>
        <v>5451.4081299999998</v>
      </c>
      <c r="S28" s="2">
        <f t="shared" si="16"/>
        <v>87.890423576619995</v>
      </c>
      <c r="T28" s="2">
        <f t="shared" si="4"/>
        <v>747.07368549006264</v>
      </c>
      <c r="U28" s="2">
        <f t="shared" si="5"/>
        <v>1141.5710759017641</v>
      </c>
      <c r="V28" s="2">
        <f t="shared" si="6"/>
        <v>1016.5782938558021</v>
      </c>
      <c r="W28" s="2">
        <f t="shared" si="7"/>
        <v>429.21916142382213</v>
      </c>
      <c r="X28" s="2">
        <f t="shared" si="8"/>
        <v>0</v>
      </c>
      <c r="Y28" s="2">
        <f t="shared" si="9"/>
        <v>0</v>
      </c>
      <c r="Z28" s="2">
        <f t="shared" si="10"/>
        <v>0</v>
      </c>
      <c r="AA28" s="2">
        <f t="shared" si="11"/>
        <v>0</v>
      </c>
      <c r="AB28" s="2">
        <f t="shared" si="12"/>
        <v>0</v>
      </c>
      <c r="AC28" s="2">
        <f t="shared" si="13"/>
        <v>3422.3326402480707</v>
      </c>
      <c r="AD28" s="2">
        <f t="shared" si="14"/>
        <v>0</v>
      </c>
      <c r="AE28" s="2">
        <f t="shared" si="15"/>
        <v>3422.3326402480707</v>
      </c>
    </row>
    <row r="29" spans="1:31">
      <c r="A29" s="1" t="s">
        <v>3</v>
      </c>
      <c r="B29">
        <v>28</v>
      </c>
      <c r="C29" s="5">
        <v>99.9914773629</v>
      </c>
      <c r="D29" s="5">
        <v>21.5368356392</v>
      </c>
      <c r="E29" s="11">
        <v>0</v>
      </c>
      <c r="F29" s="15">
        <v>139.34988899999999</v>
      </c>
      <c r="G29" s="15">
        <v>198.49999399999999</v>
      </c>
      <c r="H29" s="15">
        <v>64.400000000000006</v>
      </c>
      <c r="I29" s="15">
        <v>12.4</v>
      </c>
      <c r="J29" s="11">
        <v>0</v>
      </c>
      <c r="K29" s="15">
        <v>0</v>
      </c>
      <c r="L29" s="15">
        <v>0</v>
      </c>
      <c r="M29" s="15">
        <v>0</v>
      </c>
      <c r="N29" s="16">
        <v>0</v>
      </c>
      <c r="O29" s="2">
        <f t="shared" si="1"/>
        <v>414.64988299999993</v>
      </c>
      <c r="P29" s="2">
        <f t="shared" si="2"/>
        <v>0</v>
      </c>
      <c r="Q29" s="2">
        <f t="shared" si="3"/>
        <v>414.64988299999993</v>
      </c>
      <c r="S29" s="2">
        <f t="shared" si="16"/>
        <v>0</v>
      </c>
      <c r="T29" s="2">
        <f t="shared" si="4"/>
        <v>139.33801271466126</v>
      </c>
      <c r="U29" s="2">
        <f t="shared" si="5"/>
        <v>198.48307656586786</v>
      </c>
      <c r="V29" s="2">
        <f t="shared" si="6"/>
        <v>64.394511421707605</v>
      </c>
      <c r="W29" s="2">
        <f t="shared" si="7"/>
        <v>12.398943192999599</v>
      </c>
      <c r="X29" s="2">
        <f t="shared" si="8"/>
        <v>0</v>
      </c>
      <c r="Y29" s="2">
        <f t="shared" si="9"/>
        <v>0</v>
      </c>
      <c r="Z29" s="2">
        <f t="shared" si="10"/>
        <v>0</v>
      </c>
      <c r="AA29" s="2">
        <f t="shared" si="11"/>
        <v>0</v>
      </c>
      <c r="AB29" s="2">
        <f t="shared" si="12"/>
        <v>0</v>
      </c>
      <c r="AC29" s="2">
        <f t="shared" si="13"/>
        <v>414.6145438952363</v>
      </c>
      <c r="AD29" s="2">
        <f t="shared" si="14"/>
        <v>0</v>
      </c>
      <c r="AE29" s="2">
        <f t="shared" si="15"/>
        <v>414.6145438952363</v>
      </c>
    </row>
    <row r="30" spans="1:31">
      <c r="A30" s="1" t="s">
        <v>3</v>
      </c>
      <c r="B30">
        <v>29</v>
      </c>
      <c r="C30" s="5">
        <v>22.606243045799999</v>
      </c>
      <c r="D30" s="5">
        <v>4.4344278258400003</v>
      </c>
      <c r="E30" s="11">
        <v>0</v>
      </c>
      <c r="F30" s="15">
        <v>168.8</v>
      </c>
      <c r="G30" s="15">
        <v>56</v>
      </c>
      <c r="H30" s="15">
        <v>29.200000000000003</v>
      </c>
      <c r="I30" s="15">
        <v>6</v>
      </c>
      <c r="J30" s="11">
        <v>0</v>
      </c>
      <c r="K30" s="15">
        <v>0</v>
      </c>
      <c r="L30" s="15">
        <v>0</v>
      </c>
      <c r="M30" s="15">
        <v>0</v>
      </c>
      <c r="N30" s="16">
        <v>7</v>
      </c>
      <c r="O30" s="2">
        <f t="shared" si="1"/>
        <v>260</v>
      </c>
      <c r="P30" s="2">
        <f t="shared" si="2"/>
        <v>7</v>
      </c>
      <c r="Q30" s="2">
        <f t="shared" si="3"/>
        <v>267</v>
      </c>
      <c r="S30" s="2">
        <f t="shared" si="16"/>
        <v>0</v>
      </c>
      <c r="T30" s="2">
        <f t="shared" si="4"/>
        <v>38.159338261310403</v>
      </c>
      <c r="U30" s="2">
        <f t="shared" si="5"/>
        <v>12.659496105648</v>
      </c>
      <c r="V30" s="2">
        <f t="shared" si="6"/>
        <v>6.6010229693736004</v>
      </c>
      <c r="W30" s="2">
        <f t="shared" si="7"/>
        <v>1.356374582748</v>
      </c>
      <c r="X30" s="2">
        <f t="shared" si="8"/>
        <v>0</v>
      </c>
      <c r="Y30" s="2">
        <f t="shared" si="9"/>
        <v>0</v>
      </c>
      <c r="Z30" s="2">
        <f t="shared" si="10"/>
        <v>0</v>
      </c>
      <c r="AA30" s="2">
        <f t="shared" si="11"/>
        <v>0</v>
      </c>
      <c r="AB30" s="2">
        <f t="shared" si="12"/>
        <v>1.5824370132059999</v>
      </c>
      <c r="AC30" s="2">
        <f t="shared" si="13"/>
        <v>58.776231919080004</v>
      </c>
      <c r="AD30" s="2">
        <f t="shared" si="14"/>
        <v>1.5824370132059999</v>
      </c>
      <c r="AE30" s="2">
        <f t="shared" si="15"/>
        <v>60.358668932286001</v>
      </c>
    </row>
    <row r="31" spans="1:31">
      <c r="A31" s="1" t="s">
        <v>3</v>
      </c>
      <c r="B31">
        <v>30</v>
      </c>
      <c r="C31" s="5">
        <v>37.2211260168</v>
      </c>
      <c r="D31" s="5">
        <v>7.8016974832999999</v>
      </c>
      <c r="E31" s="11">
        <v>140</v>
      </c>
      <c r="F31" s="15">
        <v>1190.0081</v>
      </c>
      <c r="G31" s="15">
        <v>1818.4000499999997</v>
      </c>
      <c r="H31" s="15">
        <v>1619.29998</v>
      </c>
      <c r="I31" s="15">
        <v>683.7</v>
      </c>
      <c r="J31" s="11">
        <v>0</v>
      </c>
      <c r="K31" s="15">
        <v>0</v>
      </c>
      <c r="L31" s="15">
        <v>0</v>
      </c>
      <c r="M31" s="15">
        <v>0</v>
      </c>
      <c r="N31" s="16">
        <v>0</v>
      </c>
      <c r="O31" s="2">
        <f t="shared" si="1"/>
        <v>5451.4081299999998</v>
      </c>
      <c r="P31" s="2">
        <f t="shared" si="2"/>
        <v>0</v>
      </c>
      <c r="Q31" s="2">
        <f t="shared" si="3"/>
        <v>5451.4081299999998</v>
      </c>
      <c r="S31" s="2">
        <f t="shared" si="16"/>
        <v>52.109576423520004</v>
      </c>
      <c r="T31" s="2">
        <f t="shared" si="4"/>
        <v>442.93441451112733</v>
      </c>
      <c r="U31" s="2">
        <f t="shared" si="5"/>
        <v>676.82897410005398</v>
      </c>
      <c r="V31" s="2">
        <f t="shared" si="6"/>
        <v>602.72168614581722</v>
      </c>
      <c r="W31" s="2">
        <f t="shared" si="7"/>
        <v>254.4808385768616</v>
      </c>
      <c r="X31" s="2">
        <f t="shared" si="8"/>
        <v>0</v>
      </c>
      <c r="Y31" s="2">
        <f t="shared" si="9"/>
        <v>0</v>
      </c>
      <c r="Z31" s="2">
        <f t="shared" si="10"/>
        <v>0</v>
      </c>
      <c r="AA31" s="2">
        <f t="shared" si="11"/>
        <v>0</v>
      </c>
      <c r="AB31" s="2">
        <f t="shared" si="12"/>
        <v>0</v>
      </c>
      <c r="AC31" s="2">
        <f t="shared" si="13"/>
        <v>2029.0754897573802</v>
      </c>
      <c r="AD31" s="2">
        <f t="shared" si="14"/>
        <v>0</v>
      </c>
      <c r="AE31" s="2">
        <f t="shared" si="15"/>
        <v>2029.0754897573802</v>
      </c>
    </row>
    <row r="32" spans="1:31">
      <c r="A32" s="1" t="s">
        <v>3</v>
      </c>
      <c r="B32">
        <v>31</v>
      </c>
      <c r="C32" s="5">
        <v>99.997226662800003</v>
      </c>
      <c r="D32" s="5">
        <v>10.8707663044</v>
      </c>
      <c r="E32" s="11">
        <v>0</v>
      </c>
      <c r="F32" s="15">
        <v>0</v>
      </c>
      <c r="G32" s="15">
        <v>0</v>
      </c>
      <c r="H32" s="15">
        <v>6.98</v>
      </c>
      <c r="I32" s="15">
        <v>0</v>
      </c>
      <c r="J32" s="11">
        <v>0</v>
      </c>
      <c r="K32" s="15">
        <v>0</v>
      </c>
      <c r="L32" s="15">
        <v>0</v>
      </c>
      <c r="M32" s="15">
        <v>0</v>
      </c>
      <c r="N32" s="16">
        <v>0</v>
      </c>
      <c r="O32" s="2">
        <f t="shared" si="1"/>
        <v>6.98</v>
      </c>
      <c r="P32" s="2">
        <f t="shared" si="2"/>
        <v>0</v>
      </c>
      <c r="Q32" s="2">
        <f t="shared" si="3"/>
        <v>6.98</v>
      </c>
      <c r="S32" s="2">
        <f t="shared" si="16"/>
        <v>0</v>
      </c>
      <c r="T32" s="2">
        <f t="shared" si="4"/>
        <v>0</v>
      </c>
      <c r="U32" s="2">
        <f t="shared" si="5"/>
        <v>0</v>
      </c>
      <c r="V32" s="2">
        <f t="shared" si="6"/>
        <v>6.9798064210634401</v>
      </c>
      <c r="W32" s="2">
        <f t="shared" si="7"/>
        <v>0</v>
      </c>
      <c r="X32" s="2">
        <f t="shared" si="8"/>
        <v>0</v>
      </c>
      <c r="Y32" s="2">
        <f t="shared" si="9"/>
        <v>0</v>
      </c>
      <c r="Z32" s="2">
        <f t="shared" si="10"/>
        <v>0</v>
      </c>
      <c r="AA32" s="2">
        <f t="shared" si="11"/>
        <v>0</v>
      </c>
      <c r="AB32" s="2">
        <f t="shared" si="12"/>
        <v>0</v>
      </c>
      <c r="AC32" s="2">
        <f t="shared" si="13"/>
        <v>6.9798064210634401</v>
      </c>
      <c r="AD32" s="2">
        <f t="shared" si="14"/>
        <v>0</v>
      </c>
      <c r="AE32" s="2">
        <f t="shared" si="15"/>
        <v>6.9798064210634401</v>
      </c>
    </row>
    <row r="33" spans="1:31">
      <c r="A33" s="1" t="s">
        <v>3</v>
      </c>
      <c r="B33">
        <v>32</v>
      </c>
      <c r="C33" s="5">
        <v>99.9993278635</v>
      </c>
      <c r="D33" s="5">
        <v>6.8308637428100001</v>
      </c>
      <c r="E33" s="11">
        <v>9.25</v>
      </c>
      <c r="F33" s="15">
        <v>0</v>
      </c>
      <c r="G33" s="15">
        <v>0</v>
      </c>
      <c r="H33" s="15">
        <v>0</v>
      </c>
      <c r="I33" s="15">
        <v>42.4</v>
      </c>
      <c r="J33" s="11">
        <v>0</v>
      </c>
      <c r="K33" s="15">
        <v>0</v>
      </c>
      <c r="L33" s="15">
        <v>0</v>
      </c>
      <c r="M33" s="15">
        <v>0</v>
      </c>
      <c r="N33" s="16">
        <v>0</v>
      </c>
      <c r="O33" s="2">
        <f t="shared" si="1"/>
        <v>51.65</v>
      </c>
      <c r="P33" s="2">
        <f t="shared" si="2"/>
        <v>0</v>
      </c>
      <c r="Q33" s="2">
        <f t="shared" si="3"/>
        <v>51.65</v>
      </c>
      <c r="S33" s="2">
        <f t="shared" si="16"/>
        <v>9.2499378273737491</v>
      </c>
      <c r="T33" s="2">
        <f t="shared" si="4"/>
        <v>0</v>
      </c>
      <c r="U33" s="2">
        <f t="shared" si="5"/>
        <v>0</v>
      </c>
      <c r="V33" s="2">
        <f t="shared" si="6"/>
        <v>0</v>
      </c>
      <c r="W33" s="2">
        <f t="shared" si="7"/>
        <v>42.399715014123991</v>
      </c>
      <c r="X33" s="2">
        <f t="shared" si="8"/>
        <v>0</v>
      </c>
      <c r="Y33" s="2">
        <f t="shared" si="9"/>
        <v>0</v>
      </c>
      <c r="Z33" s="2">
        <f t="shared" si="10"/>
        <v>0</v>
      </c>
      <c r="AA33" s="2">
        <f t="shared" si="11"/>
        <v>0</v>
      </c>
      <c r="AB33" s="2">
        <f t="shared" si="12"/>
        <v>0</v>
      </c>
      <c r="AC33" s="2">
        <f t="shared" si="13"/>
        <v>51.649652841497748</v>
      </c>
      <c r="AD33" s="2">
        <f t="shared" si="14"/>
        <v>0</v>
      </c>
      <c r="AE33" s="2">
        <f t="shared" si="15"/>
        <v>51.649652841497748</v>
      </c>
    </row>
    <row r="34" spans="1:31">
      <c r="A34" s="1" t="s">
        <v>3</v>
      </c>
      <c r="B34">
        <v>33</v>
      </c>
      <c r="C34" s="5">
        <v>85.946225848300003</v>
      </c>
      <c r="D34" s="5">
        <v>44.190804821</v>
      </c>
      <c r="E34" s="11">
        <v>0</v>
      </c>
      <c r="F34" s="15">
        <v>3890.1998999999996</v>
      </c>
      <c r="G34" s="15">
        <v>1168.5</v>
      </c>
      <c r="H34" s="15">
        <v>685.19999999999993</v>
      </c>
      <c r="I34" s="15">
        <v>400.7</v>
      </c>
      <c r="J34" s="11">
        <v>0</v>
      </c>
      <c r="K34" s="15">
        <v>0</v>
      </c>
      <c r="L34" s="15">
        <v>0</v>
      </c>
      <c r="M34" s="15">
        <v>0</v>
      </c>
      <c r="N34" s="16">
        <v>0</v>
      </c>
      <c r="O34" s="2">
        <f t="shared" si="1"/>
        <v>6144.5998999999993</v>
      </c>
      <c r="P34" s="2">
        <f t="shared" si="2"/>
        <v>0</v>
      </c>
      <c r="Q34" s="2">
        <f t="shared" si="3"/>
        <v>6144.5998999999993</v>
      </c>
      <c r="S34" s="2">
        <f t="shared" si="16"/>
        <v>0</v>
      </c>
      <c r="T34" s="2">
        <f t="shared" si="4"/>
        <v>3343.4799920043406</v>
      </c>
      <c r="U34" s="2">
        <f t="shared" si="5"/>
        <v>1004.2816490373855</v>
      </c>
      <c r="V34" s="2">
        <f t="shared" si="6"/>
        <v>588.90353951255156</v>
      </c>
      <c r="W34" s="2">
        <f t="shared" si="7"/>
        <v>344.38652697413812</v>
      </c>
      <c r="X34" s="2">
        <f t="shared" si="8"/>
        <v>0</v>
      </c>
      <c r="Y34" s="2">
        <f t="shared" si="9"/>
        <v>0</v>
      </c>
      <c r="Z34" s="2">
        <f t="shared" si="10"/>
        <v>0</v>
      </c>
      <c r="AA34" s="2">
        <f t="shared" si="11"/>
        <v>0</v>
      </c>
      <c r="AB34" s="2">
        <f t="shared" si="12"/>
        <v>0</v>
      </c>
      <c r="AC34" s="2">
        <f t="shared" si="13"/>
        <v>5281.0517075284151</v>
      </c>
      <c r="AD34" s="2">
        <f t="shared" si="14"/>
        <v>0</v>
      </c>
      <c r="AE34" s="2">
        <f t="shared" si="15"/>
        <v>5281.0517075284151</v>
      </c>
    </row>
    <row r="35" spans="1:31">
      <c r="A35" s="1" t="s">
        <v>4</v>
      </c>
      <c r="B35">
        <v>199</v>
      </c>
      <c r="C35" s="5">
        <v>86.788885766000007</v>
      </c>
      <c r="D35" s="5">
        <v>33.653769560999997</v>
      </c>
      <c r="E35" s="11">
        <v>0</v>
      </c>
      <c r="F35" s="15">
        <v>30.308299999999999</v>
      </c>
      <c r="G35" s="15">
        <v>0</v>
      </c>
      <c r="H35" s="15">
        <v>0</v>
      </c>
      <c r="I35" s="15">
        <v>0</v>
      </c>
      <c r="J35" s="11">
        <v>0</v>
      </c>
      <c r="K35" s="15">
        <v>0</v>
      </c>
      <c r="L35" s="15">
        <v>0</v>
      </c>
      <c r="M35" s="15">
        <v>0</v>
      </c>
      <c r="N35" s="16">
        <v>0</v>
      </c>
      <c r="O35" s="2">
        <f t="shared" si="1"/>
        <v>30.308299999999999</v>
      </c>
      <c r="P35" s="2">
        <f t="shared" si="2"/>
        <v>0</v>
      </c>
      <c r="Q35" s="2">
        <f t="shared" si="3"/>
        <v>30.308299999999999</v>
      </c>
      <c r="S35" s="2">
        <f t="shared" si="16"/>
        <v>0</v>
      </c>
      <c r="T35" s="2">
        <f t="shared" si="4"/>
        <v>26.304235864616579</v>
      </c>
      <c r="U35" s="2">
        <f t="shared" si="5"/>
        <v>0</v>
      </c>
      <c r="V35" s="2">
        <f t="shared" si="6"/>
        <v>0</v>
      </c>
      <c r="W35" s="2">
        <f t="shared" si="7"/>
        <v>0</v>
      </c>
      <c r="X35" s="2">
        <f t="shared" si="8"/>
        <v>0</v>
      </c>
      <c r="Y35" s="2">
        <f t="shared" si="9"/>
        <v>0</v>
      </c>
      <c r="Z35" s="2">
        <f t="shared" si="10"/>
        <v>0</v>
      </c>
      <c r="AA35" s="2">
        <f t="shared" si="11"/>
        <v>0</v>
      </c>
      <c r="AB35" s="2">
        <f t="shared" si="12"/>
        <v>0</v>
      </c>
      <c r="AC35" s="2">
        <f t="shared" si="13"/>
        <v>26.304235864616579</v>
      </c>
      <c r="AD35" s="2">
        <f t="shared" si="14"/>
        <v>0</v>
      </c>
      <c r="AE35" s="2">
        <f t="shared" si="15"/>
        <v>26.304235864616579</v>
      </c>
    </row>
    <row r="36" spans="1:31">
      <c r="A36" s="1" t="s">
        <v>4</v>
      </c>
      <c r="B36">
        <v>206</v>
      </c>
      <c r="C36" s="5">
        <v>99.983698794399999</v>
      </c>
      <c r="D36" s="5">
        <v>27.554788731199999</v>
      </c>
      <c r="E36" s="11">
        <v>0</v>
      </c>
      <c r="F36" s="15">
        <v>0</v>
      </c>
      <c r="G36" s="15">
        <v>0</v>
      </c>
      <c r="H36" s="15">
        <v>0</v>
      </c>
      <c r="I36" s="15">
        <v>0</v>
      </c>
      <c r="J36" s="11">
        <v>0</v>
      </c>
      <c r="K36" s="15">
        <v>0</v>
      </c>
      <c r="L36" s="15">
        <v>0</v>
      </c>
      <c r="M36" s="15">
        <v>0</v>
      </c>
      <c r="N36" s="16">
        <v>0</v>
      </c>
      <c r="O36" s="2">
        <f t="shared" si="1"/>
        <v>0</v>
      </c>
      <c r="P36" s="2">
        <f t="shared" si="2"/>
        <v>0</v>
      </c>
      <c r="Q36" s="2">
        <f t="shared" si="3"/>
        <v>0</v>
      </c>
      <c r="S36" s="2">
        <f t="shared" si="16"/>
        <v>0</v>
      </c>
      <c r="T36" s="2">
        <f t="shared" si="4"/>
        <v>0</v>
      </c>
      <c r="U36" s="2">
        <f t="shared" si="5"/>
        <v>0</v>
      </c>
      <c r="V36" s="2">
        <f t="shared" si="6"/>
        <v>0</v>
      </c>
      <c r="W36" s="2">
        <f t="shared" si="7"/>
        <v>0</v>
      </c>
      <c r="X36" s="2">
        <f t="shared" si="8"/>
        <v>0</v>
      </c>
      <c r="Y36" s="2">
        <f t="shared" si="9"/>
        <v>0</v>
      </c>
      <c r="Z36" s="2">
        <f t="shared" si="10"/>
        <v>0</v>
      </c>
      <c r="AA36" s="2">
        <f t="shared" si="11"/>
        <v>0</v>
      </c>
      <c r="AB36" s="2">
        <f t="shared" si="12"/>
        <v>0</v>
      </c>
      <c r="AC36" s="2">
        <f t="shared" si="13"/>
        <v>0</v>
      </c>
      <c r="AD36" s="2">
        <f t="shared" si="14"/>
        <v>0</v>
      </c>
      <c r="AE36" s="2">
        <f t="shared" si="15"/>
        <v>0</v>
      </c>
    </row>
    <row r="37" spans="1:31">
      <c r="A37" s="1" t="s">
        <v>4</v>
      </c>
      <c r="B37">
        <v>207</v>
      </c>
      <c r="C37" s="5">
        <v>71.165463941699997</v>
      </c>
      <c r="D37" s="5">
        <v>18.9797691572</v>
      </c>
      <c r="E37" s="11">
        <v>37.799999999999997</v>
      </c>
      <c r="F37" s="15">
        <v>12.6</v>
      </c>
      <c r="G37" s="15">
        <v>0</v>
      </c>
      <c r="H37" s="15">
        <v>0</v>
      </c>
      <c r="I37" s="15">
        <v>0</v>
      </c>
      <c r="J37" s="11">
        <v>0</v>
      </c>
      <c r="K37" s="15">
        <v>0</v>
      </c>
      <c r="L37" s="15">
        <v>0</v>
      </c>
      <c r="M37" s="15">
        <v>0</v>
      </c>
      <c r="N37" s="16">
        <v>0</v>
      </c>
      <c r="O37" s="2">
        <f t="shared" si="1"/>
        <v>50.4</v>
      </c>
      <c r="P37" s="2">
        <f t="shared" si="2"/>
        <v>0</v>
      </c>
      <c r="Q37" s="2">
        <f t="shared" si="3"/>
        <v>50.4</v>
      </c>
      <c r="S37" s="2">
        <f t="shared" si="16"/>
        <v>26.900545369962597</v>
      </c>
      <c r="T37" s="2">
        <f t="shared" si="4"/>
        <v>8.9668484566541995</v>
      </c>
      <c r="U37" s="2">
        <f t="shared" si="5"/>
        <v>0</v>
      </c>
      <c r="V37" s="2">
        <f t="shared" si="6"/>
        <v>0</v>
      </c>
      <c r="W37" s="2">
        <f t="shared" si="7"/>
        <v>0</v>
      </c>
      <c r="X37" s="2">
        <f t="shared" si="8"/>
        <v>0</v>
      </c>
      <c r="Y37" s="2">
        <f t="shared" si="9"/>
        <v>0</v>
      </c>
      <c r="Z37" s="2">
        <f t="shared" si="10"/>
        <v>0</v>
      </c>
      <c r="AA37" s="2">
        <f t="shared" si="11"/>
        <v>0</v>
      </c>
      <c r="AB37" s="2">
        <f t="shared" si="12"/>
        <v>0</v>
      </c>
      <c r="AC37" s="2">
        <f t="shared" si="13"/>
        <v>35.867393826616798</v>
      </c>
      <c r="AD37" s="2">
        <f t="shared" si="14"/>
        <v>0</v>
      </c>
      <c r="AE37" s="2">
        <f t="shared" si="15"/>
        <v>35.867393826616798</v>
      </c>
    </row>
    <row r="38" spans="1:31">
      <c r="A38" s="1" t="s">
        <v>4</v>
      </c>
      <c r="B38">
        <v>209</v>
      </c>
      <c r="C38" s="5">
        <v>27.0947268038</v>
      </c>
      <c r="D38" s="5">
        <v>8.2225855836099999</v>
      </c>
      <c r="E38" s="11">
        <v>3470.5210299999999</v>
      </c>
      <c r="F38" s="15">
        <v>19</v>
      </c>
      <c r="G38" s="15">
        <v>0</v>
      </c>
      <c r="H38" s="15">
        <v>0</v>
      </c>
      <c r="I38" s="15">
        <v>0</v>
      </c>
      <c r="J38" s="11">
        <v>0</v>
      </c>
      <c r="K38" s="15">
        <v>0</v>
      </c>
      <c r="L38" s="15">
        <v>0</v>
      </c>
      <c r="M38" s="15">
        <v>0</v>
      </c>
      <c r="N38" s="16">
        <v>0</v>
      </c>
      <c r="O38" s="2">
        <f t="shared" si="1"/>
        <v>3489.5210299999999</v>
      </c>
      <c r="P38" s="2">
        <f t="shared" si="2"/>
        <v>0</v>
      </c>
      <c r="Q38" s="2">
        <f t="shared" si="3"/>
        <v>3489.5210299999999</v>
      </c>
      <c r="S38" s="2">
        <f t="shared" si="16"/>
        <v>940.32819174692588</v>
      </c>
      <c r="T38" s="2">
        <f t="shared" si="4"/>
        <v>5.1479980927220002</v>
      </c>
      <c r="U38" s="2">
        <f t="shared" si="5"/>
        <v>0</v>
      </c>
      <c r="V38" s="2">
        <f t="shared" si="6"/>
        <v>0</v>
      </c>
      <c r="W38" s="2">
        <f t="shared" si="7"/>
        <v>0</v>
      </c>
      <c r="X38" s="2">
        <f t="shared" si="8"/>
        <v>0</v>
      </c>
      <c r="Y38" s="2">
        <f t="shared" si="9"/>
        <v>0</v>
      </c>
      <c r="Z38" s="2">
        <f t="shared" si="10"/>
        <v>0</v>
      </c>
      <c r="AA38" s="2">
        <f t="shared" si="11"/>
        <v>0</v>
      </c>
      <c r="AB38" s="2">
        <f t="shared" si="12"/>
        <v>0</v>
      </c>
      <c r="AC38" s="2">
        <f t="shared" si="13"/>
        <v>945.47618983964787</v>
      </c>
      <c r="AD38" s="2">
        <f t="shared" si="14"/>
        <v>0</v>
      </c>
      <c r="AE38" s="2">
        <f t="shared" si="15"/>
        <v>945.47618983964787</v>
      </c>
    </row>
    <row r="39" spans="1:31">
      <c r="A39" s="1" t="s">
        <v>5</v>
      </c>
      <c r="B39">
        <v>338</v>
      </c>
      <c r="C39" s="5">
        <v>66.540594105699995</v>
      </c>
      <c r="D39" s="5">
        <v>38.880264539499997</v>
      </c>
      <c r="E39" s="11">
        <v>21.318169999999999</v>
      </c>
      <c r="F39" s="15">
        <v>349.89997</v>
      </c>
      <c r="G39" s="15">
        <v>148.4</v>
      </c>
      <c r="H39" s="15">
        <v>47</v>
      </c>
      <c r="I39" s="15">
        <v>14.6</v>
      </c>
      <c r="J39" s="11">
        <v>0</v>
      </c>
      <c r="K39" s="15">
        <v>0</v>
      </c>
      <c r="L39" s="15">
        <v>0</v>
      </c>
      <c r="M39" s="15">
        <v>0</v>
      </c>
      <c r="N39" s="16">
        <v>0</v>
      </c>
      <c r="O39" s="2">
        <f t="shared" si="1"/>
        <v>581.21814000000006</v>
      </c>
      <c r="P39" s="2">
        <f t="shared" si="2"/>
        <v>0</v>
      </c>
      <c r="Q39" s="2">
        <f t="shared" si="3"/>
        <v>581.21814000000006</v>
      </c>
      <c r="S39" s="2">
        <f t="shared" si="16"/>
        <v>14.185236970463103</v>
      </c>
      <c r="T39" s="2">
        <f t="shared" si="4"/>
        <v>232.82551881366606</v>
      </c>
      <c r="U39" s="2">
        <f t="shared" si="5"/>
        <v>98.746241652858785</v>
      </c>
      <c r="V39" s="2">
        <f t="shared" si="6"/>
        <v>31.274079229678996</v>
      </c>
      <c r="W39" s="2">
        <f t="shared" si="7"/>
        <v>9.7149267394321992</v>
      </c>
      <c r="X39" s="2">
        <f t="shared" si="8"/>
        <v>0</v>
      </c>
      <c r="Y39" s="2">
        <f t="shared" si="9"/>
        <v>0</v>
      </c>
      <c r="Z39" s="2">
        <f t="shared" si="10"/>
        <v>0</v>
      </c>
      <c r="AA39" s="2">
        <f t="shared" si="11"/>
        <v>0</v>
      </c>
      <c r="AB39" s="2">
        <f t="shared" si="12"/>
        <v>0</v>
      </c>
      <c r="AC39" s="2">
        <f t="shared" si="13"/>
        <v>386.74600340609919</v>
      </c>
      <c r="AD39" s="2">
        <f t="shared" si="14"/>
        <v>0</v>
      </c>
      <c r="AE39" s="2">
        <f t="shared" si="15"/>
        <v>386.74600340609919</v>
      </c>
    </row>
    <row r="40" spans="1:31">
      <c r="A40" s="1" t="s">
        <v>5</v>
      </c>
      <c r="B40">
        <v>339</v>
      </c>
      <c r="C40" s="5">
        <v>40.486176584799999</v>
      </c>
      <c r="D40" s="5">
        <v>20.685027191100001</v>
      </c>
      <c r="E40" s="11">
        <v>121.4</v>
      </c>
      <c r="F40" s="15">
        <v>344.8</v>
      </c>
      <c r="G40" s="15">
        <v>165.8</v>
      </c>
      <c r="H40" s="15">
        <v>70.099999999999994</v>
      </c>
      <c r="I40" s="15">
        <v>31.7</v>
      </c>
      <c r="J40" s="11">
        <v>0</v>
      </c>
      <c r="K40" s="15">
        <v>0</v>
      </c>
      <c r="L40" s="15">
        <v>0</v>
      </c>
      <c r="M40" s="15">
        <v>0</v>
      </c>
      <c r="N40" s="16">
        <v>0</v>
      </c>
      <c r="O40" s="2">
        <f t="shared" si="1"/>
        <v>733.80000000000007</v>
      </c>
      <c r="P40" s="2">
        <f t="shared" si="2"/>
        <v>0</v>
      </c>
      <c r="Q40" s="2">
        <f t="shared" si="3"/>
        <v>733.80000000000007</v>
      </c>
      <c r="S40" s="2">
        <f t="shared" si="16"/>
        <v>49.150218373947197</v>
      </c>
      <c r="T40" s="2">
        <f t="shared" si="4"/>
        <v>139.59633686439039</v>
      </c>
      <c r="U40" s="2">
        <f t="shared" si="5"/>
        <v>67.126080777598403</v>
      </c>
      <c r="V40" s="2">
        <f t="shared" si="6"/>
        <v>28.380809785944798</v>
      </c>
      <c r="W40" s="2">
        <f t="shared" si="7"/>
        <v>12.834117977381601</v>
      </c>
      <c r="X40" s="2">
        <f t="shared" si="8"/>
        <v>0</v>
      </c>
      <c r="Y40" s="2">
        <f t="shared" si="9"/>
        <v>0</v>
      </c>
      <c r="Z40" s="2">
        <f t="shared" si="10"/>
        <v>0</v>
      </c>
      <c r="AA40" s="2">
        <f t="shared" si="11"/>
        <v>0</v>
      </c>
      <c r="AB40" s="2">
        <f t="shared" si="12"/>
        <v>0</v>
      </c>
      <c r="AC40" s="2">
        <f t="shared" si="13"/>
        <v>297.08756377926244</v>
      </c>
      <c r="AD40" s="2">
        <f t="shared" si="14"/>
        <v>0</v>
      </c>
      <c r="AE40" s="2">
        <f t="shared" si="15"/>
        <v>297.08756377926244</v>
      </c>
    </row>
    <row r="41" spans="1:31">
      <c r="A41" s="1" t="s">
        <v>5</v>
      </c>
      <c r="B41">
        <v>340</v>
      </c>
      <c r="C41" s="5">
        <v>99.999814184399995</v>
      </c>
      <c r="D41" s="5">
        <v>22.311315830200002</v>
      </c>
      <c r="E41" s="11">
        <v>0</v>
      </c>
      <c r="F41" s="15">
        <v>48.5</v>
      </c>
      <c r="G41" s="15">
        <v>13.8</v>
      </c>
      <c r="H41" s="15">
        <v>3.3</v>
      </c>
      <c r="I41" s="15">
        <v>0.6</v>
      </c>
      <c r="J41" s="11">
        <v>0</v>
      </c>
      <c r="K41" s="15">
        <v>0</v>
      </c>
      <c r="L41" s="15">
        <v>0</v>
      </c>
      <c r="M41" s="15">
        <v>0</v>
      </c>
      <c r="N41" s="16">
        <v>0</v>
      </c>
      <c r="O41" s="2">
        <f t="shared" si="1"/>
        <v>66.199999999999989</v>
      </c>
      <c r="P41" s="2">
        <f t="shared" si="2"/>
        <v>0</v>
      </c>
      <c r="Q41" s="2">
        <f t="shared" si="3"/>
        <v>66.199999999999989</v>
      </c>
      <c r="S41" s="2">
        <f t="shared" si="16"/>
        <v>0</v>
      </c>
      <c r="T41" s="2">
        <f t="shared" si="4"/>
        <v>48.499909879434</v>
      </c>
      <c r="U41" s="2">
        <f t="shared" si="5"/>
        <v>13.7999743574472</v>
      </c>
      <c r="V41" s="2">
        <f t="shared" si="6"/>
        <v>3.2999938680851995</v>
      </c>
      <c r="W41" s="2">
        <f t="shared" si="7"/>
        <v>0.59999888510639987</v>
      </c>
      <c r="X41" s="2">
        <f t="shared" si="8"/>
        <v>0</v>
      </c>
      <c r="Y41" s="2">
        <f t="shared" si="9"/>
        <v>0</v>
      </c>
      <c r="Z41" s="2">
        <f t="shared" si="10"/>
        <v>0</v>
      </c>
      <c r="AA41" s="2">
        <f t="shared" si="11"/>
        <v>0</v>
      </c>
      <c r="AB41" s="2">
        <f t="shared" si="12"/>
        <v>0</v>
      </c>
      <c r="AC41" s="2">
        <f t="shared" si="13"/>
        <v>66.199876990072795</v>
      </c>
      <c r="AD41" s="2">
        <f t="shared" si="14"/>
        <v>0</v>
      </c>
      <c r="AE41" s="2">
        <f t="shared" si="15"/>
        <v>66.199876990072795</v>
      </c>
    </row>
    <row r="42" spans="1:31">
      <c r="A42" s="1" t="s">
        <v>5</v>
      </c>
      <c r="B42">
        <v>341</v>
      </c>
      <c r="C42" s="5">
        <v>89.345866651799994</v>
      </c>
      <c r="D42" s="5">
        <v>17.947815840299999</v>
      </c>
      <c r="E42" s="11">
        <v>0</v>
      </c>
      <c r="F42" s="15">
        <v>0</v>
      </c>
      <c r="G42" s="15">
        <v>0</v>
      </c>
      <c r="H42" s="15">
        <v>0</v>
      </c>
      <c r="I42" s="15">
        <v>0</v>
      </c>
      <c r="J42" s="11">
        <v>0</v>
      </c>
      <c r="K42" s="15">
        <v>0</v>
      </c>
      <c r="L42" s="15">
        <v>0</v>
      </c>
      <c r="M42" s="15">
        <v>0</v>
      </c>
      <c r="N42" s="16">
        <v>0</v>
      </c>
      <c r="O42" s="2">
        <f t="shared" si="1"/>
        <v>0</v>
      </c>
      <c r="P42" s="2">
        <f t="shared" si="2"/>
        <v>0</v>
      </c>
      <c r="Q42" s="2">
        <f t="shared" si="3"/>
        <v>0</v>
      </c>
      <c r="S42" s="2">
        <f t="shared" si="16"/>
        <v>0</v>
      </c>
      <c r="T42" s="2">
        <f t="shared" si="4"/>
        <v>0</v>
      </c>
      <c r="U42" s="2">
        <f t="shared" si="5"/>
        <v>0</v>
      </c>
      <c r="V42" s="2">
        <f t="shared" si="6"/>
        <v>0</v>
      </c>
      <c r="W42" s="2">
        <f t="shared" si="7"/>
        <v>0</v>
      </c>
      <c r="X42" s="2">
        <f t="shared" si="8"/>
        <v>0</v>
      </c>
      <c r="Y42" s="2">
        <f t="shared" si="9"/>
        <v>0</v>
      </c>
      <c r="Z42" s="2">
        <f t="shared" si="10"/>
        <v>0</v>
      </c>
      <c r="AA42" s="2">
        <f t="shared" si="11"/>
        <v>0</v>
      </c>
      <c r="AB42" s="2">
        <f t="shared" si="12"/>
        <v>0</v>
      </c>
      <c r="AC42" s="2">
        <f t="shared" si="13"/>
        <v>0</v>
      </c>
      <c r="AD42" s="2">
        <f t="shared" si="14"/>
        <v>0</v>
      </c>
      <c r="AE42" s="2">
        <f t="shared" si="15"/>
        <v>0</v>
      </c>
    </row>
    <row r="43" spans="1:31">
      <c r="A43" s="1" t="s">
        <v>6</v>
      </c>
      <c r="B43">
        <v>147</v>
      </c>
      <c r="C43" s="5">
        <v>22.712745706300002</v>
      </c>
      <c r="D43" s="5">
        <v>1.7656235060600001</v>
      </c>
      <c r="E43" s="11">
        <v>0</v>
      </c>
      <c r="F43" s="15">
        <v>0</v>
      </c>
      <c r="G43" s="15">
        <v>0</v>
      </c>
      <c r="H43" s="15">
        <v>0</v>
      </c>
      <c r="I43" s="15">
        <v>0</v>
      </c>
      <c r="J43" s="11">
        <v>0</v>
      </c>
      <c r="K43" s="15">
        <v>0</v>
      </c>
      <c r="L43" s="15">
        <v>0</v>
      </c>
      <c r="M43" s="15">
        <v>0</v>
      </c>
      <c r="N43" s="16">
        <v>0</v>
      </c>
      <c r="O43" s="2">
        <f t="shared" si="1"/>
        <v>0</v>
      </c>
      <c r="P43" s="2">
        <f t="shared" si="2"/>
        <v>0</v>
      </c>
      <c r="Q43" s="2">
        <f t="shared" si="3"/>
        <v>0</v>
      </c>
      <c r="S43" s="2">
        <f t="shared" si="16"/>
        <v>0</v>
      </c>
      <c r="T43" s="2">
        <f t="shared" si="4"/>
        <v>0</v>
      </c>
      <c r="U43" s="2">
        <f t="shared" si="5"/>
        <v>0</v>
      </c>
      <c r="V43" s="2">
        <f t="shared" si="6"/>
        <v>0</v>
      </c>
      <c r="W43" s="2">
        <f t="shared" si="7"/>
        <v>0</v>
      </c>
      <c r="X43" s="2">
        <f t="shared" si="8"/>
        <v>0</v>
      </c>
      <c r="Y43" s="2">
        <f t="shared" si="9"/>
        <v>0</v>
      </c>
      <c r="Z43" s="2">
        <f t="shared" si="10"/>
        <v>0</v>
      </c>
      <c r="AA43" s="2">
        <f t="shared" si="11"/>
        <v>0</v>
      </c>
      <c r="AB43" s="2">
        <f t="shared" si="12"/>
        <v>0</v>
      </c>
      <c r="AC43" s="2">
        <f t="shared" si="13"/>
        <v>0</v>
      </c>
      <c r="AD43" s="2">
        <f t="shared" si="14"/>
        <v>0</v>
      </c>
      <c r="AE43" s="2">
        <f t="shared" si="15"/>
        <v>0</v>
      </c>
    </row>
    <row r="44" spans="1:31">
      <c r="A44" s="1" t="s">
        <v>6</v>
      </c>
      <c r="B44">
        <v>160</v>
      </c>
      <c r="C44" s="5">
        <v>21.872414537299999</v>
      </c>
      <c r="D44" s="5">
        <v>2.2284163650700002</v>
      </c>
      <c r="E44" s="11">
        <v>241</v>
      </c>
      <c r="F44" s="15">
        <v>33.5</v>
      </c>
      <c r="G44" s="15">
        <v>5.2</v>
      </c>
      <c r="H44" s="15">
        <v>0.7</v>
      </c>
      <c r="I44" s="15">
        <v>0</v>
      </c>
      <c r="J44" s="11">
        <v>0</v>
      </c>
      <c r="K44" s="15">
        <v>0</v>
      </c>
      <c r="L44" s="15">
        <v>0</v>
      </c>
      <c r="M44" s="15">
        <v>0</v>
      </c>
      <c r="N44" s="16">
        <v>0</v>
      </c>
      <c r="O44" s="2">
        <f t="shared" si="1"/>
        <v>280.39999999999998</v>
      </c>
      <c r="P44" s="2">
        <f t="shared" si="2"/>
        <v>0</v>
      </c>
      <c r="Q44" s="2">
        <f t="shared" si="3"/>
        <v>280.39999999999998</v>
      </c>
      <c r="S44" s="2">
        <f t="shared" si="16"/>
        <v>52.712519034892992</v>
      </c>
      <c r="T44" s="2">
        <f t="shared" si="4"/>
        <v>7.3272588699955001</v>
      </c>
      <c r="U44" s="2">
        <f t="shared" si="5"/>
        <v>1.1373655559396001</v>
      </c>
      <c r="V44" s="2">
        <f t="shared" si="6"/>
        <v>0.15310690176109998</v>
      </c>
      <c r="W44" s="2">
        <f t="shared" si="7"/>
        <v>0</v>
      </c>
      <c r="X44" s="2">
        <f t="shared" si="8"/>
        <v>0</v>
      </c>
      <c r="Y44" s="2">
        <f t="shared" si="9"/>
        <v>0</v>
      </c>
      <c r="Z44" s="2">
        <f t="shared" si="10"/>
        <v>0</v>
      </c>
      <c r="AA44" s="2">
        <f t="shared" si="11"/>
        <v>0</v>
      </c>
      <c r="AB44" s="2">
        <f t="shared" si="12"/>
        <v>0</v>
      </c>
      <c r="AC44" s="2">
        <f t="shared" si="13"/>
        <v>61.330250362589197</v>
      </c>
      <c r="AD44" s="2">
        <f t="shared" si="14"/>
        <v>0</v>
      </c>
      <c r="AE44" s="2">
        <f t="shared" si="15"/>
        <v>61.330250362589197</v>
      </c>
    </row>
    <row r="45" spans="1:31">
      <c r="A45" s="1" t="s">
        <v>6</v>
      </c>
      <c r="B45">
        <v>162</v>
      </c>
      <c r="C45" s="5">
        <v>37.6516651755</v>
      </c>
      <c r="D45" s="5">
        <v>6.9724295649599997</v>
      </c>
      <c r="E45" s="11">
        <v>0</v>
      </c>
      <c r="F45" s="15">
        <v>0</v>
      </c>
      <c r="G45" s="15">
        <v>0</v>
      </c>
      <c r="H45" s="15">
        <v>0</v>
      </c>
      <c r="I45" s="15">
        <v>0</v>
      </c>
      <c r="J45" s="11">
        <v>0</v>
      </c>
      <c r="K45" s="15">
        <v>0</v>
      </c>
      <c r="L45" s="15">
        <v>0</v>
      </c>
      <c r="M45" s="15">
        <v>0</v>
      </c>
      <c r="N45" s="16">
        <v>0</v>
      </c>
      <c r="O45" s="2">
        <f t="shared" si="1"/>
        <v>0</v>
      </c>
      <c r="P45" s="2">
        <f t="shared" si="2"/>
        <v>0</v>
      </c>
      <c r="Q45" s="2">
        <f t="shared" si="3"/>
        <v>0</v>
      </c>
      <c r="S45" s="2">
        <f t="shared" si="16"/>
        <v>0</v>
      </c>
      <c r="T45" s="2">
        <f t="shared" si="4"/>
        <v>0</v>
      </c>
      <c r="U45" s="2">
        <f t="shared" si="5"/>
        <v>0</v>
      </c>
      <c r="V45" s="2">
        <f t="shared" si="6"/>
        <v>0</v>
      </c>
      <c r="W45" s="2">
        <f t="shared" si="7"/>
        <v>0</v>
      </c>
      <c r="X45" s="2">
        <f t="shared" si="8"/>
        <v>0</v>
      </c>
      <c r="Y45" s="2">
        <f t="shared" si="9"/>
        <v>0</v>
      </c>
      <c r="Z45" s="2">
        <f t="shared" si="10"/>
        <v>0</v>
      </c>
      <c r="AA45" s="2">
        <f t="shared" si="11"/>
        <v>0</v>
      </c>
      <c r="AB45" s="2">
        <f t="shared" si="12"/>
        <v>0</v>
      </c>
      <c r="AC45" s="2">
        <f t="shared" si="13"/>
        <v>0</v>
      </c>
      <c r="AD45" s="2">
        <f t="shared" si="14"/>
        <v>0</v>
      </c>
      <c r="AE45" s="2">
        <f t="shared" si="15"/>
        <v>0</v>
      </c>
    </row>
    <row r="46" spans="1:31">
      <c r="A46" s="1" t="s">
        <v>6</v>
      </c>
      <c r="B46">
        <v>171</v>
      </c>
      <c r="C46" s="5">
        <v>2.8629441835299998</v>
      </c>
      <c r="D46" s="5">
        <v>0.65401289497199999</v>
      </c>
      <c r="E46" s="11">
        <v>0</v>
      </c>
      <c r="F46" s="15">
        <v>0</v>
      </c>
      <c r="G46" s="15">
        <v>0</v>
      </c>
      <c r="H46" s="15">
        <v>0</v>
      </c>
      <c r="I46" s="15">
        <v>0</v>
      </c>
      <c r="J46" s="11">
        <v>0</v>
      </c>
      <c r="K46" s="15">
        <v>0</v>
      </c>
      <c r="L46" s="15">
        <v>0</v>
      </c>
      <c r="M46" s="15">
        <v>0</v>
      </c>
      <c r="N46" s="16">
        <v>0</v>
      </c>
      <c r="O46" s="2">
        <f t="shared" si="1"/>
        <v>0</v>
      </c>
      <c r="P46" s="2">
        <f t="shared" si="2"/>
        <v>0</v>
      </c>
      <c r="Q46" s="2">
        <f t="shared" si="3"/>
        <v>0</v>
      </c>
      <c r="S46" s="2">
        <f t="shared" si="16"/>
        <v>0</v>
      </c>
      <c r="T46" s="2">
        <f t="shared" si="4"/>
        <v>0</v>
      </c>
      <c r="U46" s="2">
        <f t="shared" si="5"/>
        <v>0</v>
      </c>
      <c r="V46" s="2">
        <f t="shared" si="6"/>
        <v>0</v>
      </c>
      <c r="W46" s="2">
        <f t="shared" si="7"/>
        <v>0</v>
      </c>
      <c r="X46" s="2">
        <f t="shared" si="8"/>
        <v>0</v>
      </c>
      <c r="Y46" s="2">
        <f t="shared" si="9"/>
        <v>0</v>
      </c>
      <c r="Z46" s="2">
        <f t="shared" si="10"/>
        <v>0</v>
      </c>
      <c r="AA46" s="2">
        <f t="shared" si="11"/>
        <v>0</v>
      </c>
      <c r="AB46" s="2">
        <f t="shared" si="12"/>
        <v>0</v>
      </c>
      <c r="AC46" s="2">
        <f t="shared" si="13"/>
        <v>0</v>
      </c>
      <c r="AD46" s="2">
        <f t="shared" si="14"/>
        <v>0</v>
      </c>
      <c r="AE46" s="2">
        <f t="shared" si="15"/>
        <v>0</v>
      </c>
    </row>
    <row r="47" spans="1:31">
      <c r="A47" s="1" t="s">
        <v>6</v>
      </c>
      <c r="B47">
        <v>187</v>
      </c>
      <c r="C47" s="5">
        <v>84.222333920300002</v>
      </c>
      <c r="D47" s="5">
        <v>6.3755283774400002</v>
      </c>
      <c r="E47" s="11">
        <v>0</v>
      </c>
      <c r="F47" s="15">
        <v>0</v>
      </c>
      <c r="G47" s="15">
        <v>0</v>
      </c>
      <c r="H47" s="15">
        <v>0</v>
      </c>
      <c r="I47" s="15">
        <v>0</v>
      </c>
      <c r="J47" s="11">
        <v>0</v>
      </c>
      <c r="K47" s="15">
        <v>0</v>
      </c>
      <c r="L47" s="15">
        <v>0</v>
      </c>
      <c r="M47" s="15">
        <v>0</v>
      </c>
      <c r="N47" s="16">
        <v>0</v>
      </c>
      <c r="O47" s="2">
        <f t="shared" si="1"/>
        <v>0</v>
      </c>
      <c r="P47" s="2">
        <f t="shared" si="2"/>
        <v>0</v>
      </c>
      <c r="Q47" s="2">
        <f t="shared" si="3"/>
        <v>0</v>
      </c>
      <c r="S47" s="2">
        <f t="shared" si="16"/>
        <v>0</v>
      </c>
      <c r="T47" s="2">
        <f t="shared" si="4"/>
        <v>0</v>
      </c>
      <c r="U47" s="2">
        <f t="shared" si="5"/>
        <v>0</v>
      </c>
      <c r="V47" s="2">
        <f t="shared" si="6"/>
        <v>0</v>
      </c>
      <c r="W47" s="2">
        <f t="shared" si="7"/>
        <v>0</v>
      </c>
      <c r="X47" s="2">
        <f t="shared" si="8"/>
        <v>0</v>
      </c>
      <c r="Y47" s="2">
        <f t="shared" si="9"/>
        <v>0</v>
      </c>
      <c r="Z47" s="2">
        <f t="shared" si="10"/>
        <v>0</v>
      </c>
      <c r="AA47" s="2">
        <f t="shared" si="11"/>
        <v>0</v>
      </c>
      <c r="AB47" s="2">
        <f t="shared" si="12"/>
        <v>0</v>
      </c>
      <c r="AC47" s="2">
        <f t="shared" si="13"/>
        <v>0</v>
      </c>
      <c r="AD47" s="2">
        <f t="shared" si="14"/>
        <v>0</v>
      </c>
      <c r="AE47" s="2">
        <f t="shared" si="15"/>
        <v>0</v>
      </c>
    </row>
    <row r="48" spans="1:31">
      <c r="A48" s="1" t="s">
        <v>6</v>
      </c>
      <c r="B48">
        <v>188</v>
      </c>
      <c r="C48" s="5">
        <v>99.9993740229</v>
      </c>
      <c r="D48" s="5">
        <v>2.6813531090599998</v>
      </c>
      <c r="E48" s="11">
        <v>0</v>
      </c>
      <c r="F48" s="15">
        <v>0</v>
      </c>
      <c r="G48" s="15">
        <v>0</v>
      </c>
      <c r="H48" s="15">
        <v>0</v>
      </c>
      <c r="I48" s="15">
        <v>0</v>
      </c>
      <c r="J48" s="11">
        <v>0</v>
      </c>
      <c r="K48" s="15">
        <v>0</v>
      </c>
      <c r="L48" s="15">
        <v>0</v>
      </c>
      <c r="M48" s="15">
        <v>0</v>
      </c>
      <c r="N48" s="16">
        <v>0</v>
      </c>
      <c r="O48" s="2">
        <f t="shared" si="1"/>
        <v>0</v>
      </c>
      <c r="P48" s="2">
        <f t="shared" si="2"/>
        <v>0</v>
      </c>
      <c r="Q48" s="2">
        <f t="shared" si="3"/>
        <v>0</v>
      </c>
      <c r="S48" s="2">
        <f t="shared" si="16"/>
        <v>0</v>
      </c>
      <c r="T48" s="2">
        <f t="shared" si="4"/>
        <v>0</v>
      </c>
      <c r="U48" s="2">
        <f t="shared" si="5"/>
        <v>0</v>
      </c>
      <c r="V48" s="2">
        <f t="shared" si="6"/>
        <v>0</v>
      </c>
      <c r="W48" s="2">
        <f t="shared" si="7"/>
        <v>0</v>
      </c>
      <c r="X48" s="2">
        <f t="shared" si="8"/>
        <v>0</v>
      </c>
      <c r="Y48" s="2">
        <f t="shared" si="9"/>
        <v>0</v>
      </c>
      <c r="Z48" s="2">
        <f t="shared" si="10"/>
        <v>0</v>
      </c>
      <c r="AA48" s="2">
        <f t="shared" si="11"/>
        <v>0</v>
      </c>
      <c r="AB48" s="2">
        <f t="shared" si="12"/>
        <v>0</v>
      </c>
      <c r="AC48" s="2">
        <f t="shared" si="13"/>
        <v>0</v>
      </c>
      <c r="AD48" s="2">
        <f t="shared" si="14"/>
        <v>0</v>
      </c>
      <c r="AE48" s="2">
        <f t="shared" si="15"/>
        <v>0</v>
      </c>
    </row>
    <row r="49" spans="1:31">
      <c r="A49" s="1" t="s">
        <v>6</v>
      </c>
      <c r="B49">
        <v>190</v>
      </c>
      <c r="C49" s="5">
        <v>24.076938890499999</v>
      </c>
      <c r="D49" s="5">
        <v>0.69776330371499995</v>
      </c>
      <c r="E49" s="11">
        <v>0</v>
      </c>
      <c r="F49" s="15">
        <v>0</v>
      </c>
      <c r="G49" s="15">
        <v>0</v>
      </c>
      <c r="H49" s="15">
        <v>0</v>
      </c>
      <c r="I49" s="15">
        <v>0</v>
      </c>
      <c r="J49" s="11">
        <v>0</v>
      </c>
      <c r="K49" s="15">
        <v>0</v>
      </c>
      <c r="L49" s="15">
        <v>0</v>
      </c>
      <c r="M49" s="15">
        <v>0</v>
      </c>
      <c r="N49" s="16">
        <v>0</v>
      </c>
      <c r="O49" s="2">
        <f t="shared" si="1"/>
        <v>0</v>
      </c>
      <c r="P49" s="2">
        <f t="shared" si="2"/>
        <v>0</v>
      </c>
      <c r="Q49" s="2">
        <f t="shared" si="3"/>
        <v>0</v>
      </c>
      <c r="S49" s="2">
        <f t="shared" si="16"/>
        <v>0</v>
      </c>
      <c r="T49" s="2">
        <f t="shared" si="4"/>
        <v>0</v>
      </c>
      <c r="U49" s="2">
        <f t="shared" si="5"/>
        <v>0</v>
      </c>
      <c r="V49" s="2">
        <f t="shared" si="6"/>
        <v>0</v>
      </c>
      <c r="W49" s="2">
        <f t="shared" si="7"/>
        <v>0</v>
      </c>
      <c r="X49" s="2">
        <f t="shared" si="8"/>
        <v>0</v>
      </c>
      <c r="Y49" s="2">
        <f t="shared" si="9"/>
        <v>0</v>
      </c>
      <c r="Z49" s="2">
        <f t="shared" si="10"/>
        <v>0</v>
      </c>
      <c r="AA49" s="2">
        <f t="shared" si="11"/>
        <v>0</v>
      </c>
      <c r="AB49" s="2">
        <f t="shared" si="12"/>
        <v>0</v>
      </c>
      <c r="AC49" s="2">
        <f t="shared" si="13"/>
        <v>0</v>
      </c>
      <c r="AD49" s="2">
        <f t="shared" si="14"/>
        <v>0</v>
      </c>
      <c r="AE49" s="2">
        <f t="shared" si="15"/>
        <v>0</v>
      </c>
    </row>
    <row r="50" spans="1:31">
      <c r="A50" s="1" t="s">
        <v>6</v>
      </c>
      <c r="B50">
        <v>256</v>
      </c>
      <c r="C50" s="5">
        <v>73.086192423900002</v>
      </c>
      <c r="D50" s="5">
        <v>8.0114465255699994</v>
      </c>
      <c r="E50" s="11">
        <v>0</v>
      </c>
      <c r="F50" s="15">
        <v>0</v>
      </c>
      <c r="G50" s="15">
        <v>0</v>
      </c>
      <c r="H50" s="15">
        <v>0</v>
      </c>
      <c r="I50" s="15">
        <v>0</v>
      </c>
      <c r="J50" s="11">
        <v>0</v>
      </c>
      <c r="K50" s="15">
        <v>0</v>
      </c>
      <c r="L50" s="15">
        <v>0</v>
      </c>
      <c r="M50" s="15">
        <v>0</v>
      </c>
      <c r="N50" s="16">
        <v>0</v>
      </c>
      <c r="O50" s="2">
        <f t="shared" si="1"/>
        <v>0</v>
      </c>
      <c r="P50" s="2">
        <f t="shared" si="2"/>
        <v>0</v>
      </c>
      <c r="Q50" s="2">
        <f t="shared" si="3"/>
        <v>0</v>
      </c>
      <c r="S50" s="2">
        <f t="shared" si="16"/>
        <v>0</v>
      </c>
      <c r="T50" s="2">
        <f t="shared" si="4"/>
        <v>0</v>
      </c>
      <c r="U50" s="2">
        <f t="shared" si="5"/>
        <v>0</v>
      </c>
      <c r="V50" s="2">
        <f t="shared" si="6"/>
        <v>0</v>
      </c>
      <c r="W50" s="2">
        <f t="shared" si="7"/>
        <v>0</v>
      </c>
      <c r="X50" s="2">
        <f t="shared" si="8"/>
        <v>0</v>
      </c>
      <c r="Y50" s="2">
        <f t="shared" si="9"/>
        <v>0</v>
      </c>
      <c r="Z50" s="2">
        <f t="shared" si="10"/>
        <v>0</v>
      </c>
      <c r="AA50" s="2">
        <f t="shared" si="11"/>
        <v>0</v>
      </c>
      <c r="AB50" s="2">
        <f t="shared" si="12"/>
        <v>0</v>
      </c>
      <c r="AC50" s="2">
        <f t="shared" si="13"/>
        <v>0</v>
      </c>
      <c r="AD50" s="2">
        <f t="shared" si="14"/>
        <v>0</v>
      </c>
      <c r="AE50" s="2">
        <f t="shared" si="15"/>
        <v>0</v>
      </c>
    </row>
    <row r="51" spans="1:31">
      <c r="A51" s="1" t="s">
        <v>6</v>
      </c>
      <c r="B51">
        <v>257</v>
      </c>
      <c r="C51" s="5">
        <v>99.998549827100007</v>
      </c>
      <c r="D51" s="5">
        <v>4.07570191765</v>
      </c>
      <c r="E51" s="11">
        <v>0</v>
      </c>
      <c r="F51" s="15">
        <v>0</v>
      </c>
      <c r="G51" s="15">
        <v>0</v>
      </c>
      <c r="H51" s="15">
        <v>0</v>
      </c>
      <c r="I51" s="15">
        <v>0</v>
      </c>
      <c r="J51" s="11">
        <v>0</v>
      </c>
      <c r="K51" s="15">
        <v>0</v>
      </c>
      <c r="L51" s="15">
        <v>0</v>
      </c>
      <c r="M51" s="15">
        <v>0</v>
      </c>
      <c r="N51" s="16">
        <v>0</v>
      </c>
      <c r="O51" s="2">
        <f t="shared" si="1"/>
        <v>0</v>
      </c>
      <c r="P51" s="2">
        <f t="shared" si="2"/>
        <v>0</v>
      </c>
      <c r="Q51" s="2">
        <f t="shared" si="3"/>
        <v>0</v>
      </c>
      <c r="S51" s="2">
        <f t="shared" si="16"/>
        <v>0</v>
      </c>
      <c r="T51" s="2">
        <f t="shared" si="4"/>
        <v>0</v>
      </c>
      <c r="U51" s="2">
        <f t="shared" si="5"/>
        <v>0</v>
      </c>
      <c r="V51" s="2">
        <f t="shared" si="6"/>
        <v>0</v>
      </c>
      <c r="W51" s="2">
        <f t="shared" si="7"/>
        <v>0</v>
      </c>
      <c r="X51" s="2">
        <f t="shared" si="8"/>
        <v>0</v>
      </c>
      <c r="Y51" s="2">
        <f t="shared" si="9"/>
        <v>0</v>
      </c>
      <c r="Z51" s="2">
        <f t="shared" si="10"/>
        <v>0</v>
      </c>
      <c r="AA51" s="2">
        <f t="shared" si="11"/>
        <v>0</v>
      </c>
      <c r="AB51" s="2">
        <f t="shared" si="12"/>
        <v>0</v>
      </c>
      <c r="AC51" s="2">
        <f t="shared" si="13"/>
        <v>0</v>
      </c>
      <c r="AD51" s="2">
        <f t="shared" si="14"/>
        <v>0</v>
      </c>
      <c r="AE51" s="2">
        <f t="shared" si="15"/>
        <v>0</v>
      </c>
    </row>
    <row r="52" spans="1:31">
      <c r="A52" s="1" t="s">
        <v>6</v>
      </c>
      <c r="B52">
        <v>258</v>
      </c>
      <c r="C52" s="5">
        <v>100</v>
      </c>
      <c r="D52" s="5">
        <v>1.20122992777</v>
      </c>
      <c r="E52" s="11">
        <v>0</v>
      </c>
      <c r="F52" s="15">
        <v>0</v>
      </c>
      <c r="G52" s="15">
        <v>0</v>
      </c>
      <c r="H52" s="15">
        <v>0</v>
      </c>
      <c r="I52" s="15">
        <v>0</v>
      </c>
      <c r="J52" s="11">
        <v>0</v>
      </c>
      <c r="K52" s="15">
        <v>0</v>
      </c>
      <c r="L52" s="15">
        <v>0</v>
      </c>
      <c r="M52" s="15">
        <v>0</v>
      </c>
      <c r="N52" s="16">
        <v>0</v>
      </c>
      <c r="O52" s="2">
        <f t="shared" si="1"/>
        <v>0</v>
      </c>
      <c r="P52" s="2">
        <f t="shared" si="2"/>
        <v>0</v>
      </c>
      <c r="Q52" s="2">
        <f t="shared" si="3"/>
        <v>0</v>
      </c>
      <c r="S52" s="2">
        <f t="shared" si="16"/>
        <v>0</v>
      </c>
      <c r="T52" s="2">
        <f t="shared" si="4"/>
        <v>0</v>
      </c>
      <c r="U52" s="2">
        <f t="shared" si="5"/>
        <v>0</v>
      </c>
      <c r="V52" s="2">
        <f t="shared" si="6"/>
        <v>0</v>
      </c>
      <c r="W52" s="2">
        <f t="shared" si="7"/>
        <v>0</v>
      </c>
      <c r="X52" s="2">
        <f t="shared" si="8"/>
        <v>0</v>
      </c>
      <c r="Y52" s="2">
        <f t="shared" si="9"/>
        <v>0</v>
      </c>
      <c r="Z52" s="2">
        <f t="shared" si="10"/>
        <v>0</v>
      </c>
      <c r="AA52" s="2">
        <f t="shared" si="11"/>
        <v>0</v>
      </c>
      <c r="AB52" s="2">
        <f t="shared" si="12"/>
        <v>0</v>
      </c>
      <c r="AC52" s="2">
        <f t="shared" si="13"/>
        <v>0</v>
      </c>
      <c r="AD52" s="2">
        <f t="shared" si="14"/>
        <v>0</v>
      </c>
      <c r="AE52" s="2">
        <f t="shared" si="15"/>
        <v>0</v>
      </c>
    </row>
    <row r="53" spans="1:31">
      <c r="A53" s="1" t="s">
        <v>6</v>
      </c>
      <c r="B53">
        <v>259</v>
      </c>
      <c r="C53" s="5">
        <v>90.393837342899999</v>
      </c>
      <c r="D53" s="5">
        <v>23.900221205200001</v>
      </c>
      <c r="E53" s="11">
        <v>0</v>
      </c>
      <c r="F53" s="15">
        <v>0</v>
      </c>
      <c r="G53" s="15">
        <v>0</v>
      </c>
      <c r="H53" s="15">
        <v>0</v>
      </c>
      <c r="I53" s="15">
        <v>0</v>
      </c>
      <c r="J53" s="11">
        <v>0</v>
      </c>
      <c r="K53" s="15">
        <v>0</v>
      </c>
      <c r="L53" s="15">
        <v>0</v>
      </c>
      <c r="M53" s="15">
        <v>0</v>
      </c>
      <c r="N53" s="16">
        <v>0</v>
      </c>
      <c r="O53" s="2">
        <f t="shared" si="1"/>
        <v>0</v>
      </c>
      <c r="P53" s="2">
        <f t="shared" si="2"/>
        <v>0</v>
      </c>
      <c r="Q53" s="2">
        <f t="shared" si="3"/>
        <v>0</v>
      </c>
      <c r="S53" s="2">
        <f t="shared" si="16"/>
        <v>0</v>
      </c>
      <c r="T53" s="2">
        <f t="shared" si="4"/>
        <v>0</v>
      </c>
      <c r="U53" s="2">
        <f t="shared" si="5"/>
        <v>0</v>
      </c>
      <c r="V53" s="2">
        <f t="shared" si="6"/>
        <v>0</v>
      </c>
      <c r="W53" s="2">
        <f t="shared" si="7"/>
        <v>0</v>
      </c>
      <c r="X53" s="2">
        <f t="shared" si="8"/>
        <v>0</v>
      </c>
      <c r="Y53" s="2">
        <f t="shared" si="9"/>
        <v>0</v>
      </c>
      <c r="Z53" s="2">
        <f t="shared" si="10"/>
        <v>0</v>
      </c>
      <c r="AA53" s="2">
        <f t="shared" si="11"/>
        <v>0</v>
      </c>
      <c r="AB53" s="2">
        <f t="shared" si="12"/>
        <v>0</v>
      </c>
      <c r="AC53" s="2">
        <f t="shared" si="13"/>
        <v>0</v>
      </c>
      <c r="AD53" s="2">
        <f t="shared" si="14"/>
        <v>0</v>
      </c>
      <c r="AE53" s="2">
        <f t="shared" si="15"/>
        <v>0</v>
      </c>
    </row>
    <row r="54" spans="1:31">
      <c r="A54" s="1" t="s">
        <v>6</v>
      </c>
      <c r="B54">
        <v>260</v>
      </c>
      <c r="C54" s="5">
        <v>81.973125802300004</v>
      </c>
      <c r="D54" s="5">
        <v>4.6011207321400001</v>
      </c>
      <c r="E54" s="11">
        <v>0</v>
      </c>
      <c r="F54" s="15">
        <v>0</v>
      </c>
      <c r="G54" s="15">
        <v>0</v>
      </c>
      <c r="H54" s="15">
        <v>0</v>
      </c>
      <c r="I54" s="15">
        <v>0</v>
      </c>
      <c r="J54" s="11">
        <v>0</v>
      </c>
      <c r="K54" s="15">
        <v>0</v>
      </c>
      <c r="L54" s="15">
        <v>0</v>
      </c>
      <c r="M54" s="15">
        <v>0</v>
      </c>
      <c r="N54" s="16">
        <v>0</v>
      </c>
      <c r="O54" s="2">
        <f t="shared" si="1"/>
        <v>0</v>
      </c>
      <c r="P54" s="2">
        <f t="shared" si="2"/>
        <v>0</v>
      </c>
      <c r="Q54" s="2">
        <f t="shared" si="3"/>
        <v>0</v>
      </c>
      <c r="S54" s="2">
        <f t="shared" si="16"/>
        <v>0</v>
      </c>
      <c r="T54" s="2">
        <f t="shared" si="4"/>
        <v>0</v>
      </c>
      <c r="U54" s="2">
        <f t="shared" si="5"/>
        <v>0</v>
      </c>
      <c r="V54" s="2">
        <f t="shared" si="6"/>
        <v>0</v>
      </c>
      <c r="W54" s="2">
        <f t="shared" si="7"/>
        <v>0</v>
      </c>
      <c r="X54" s="2">
        <f t="shared" si="8"/>
        <v>0</v>
      </c>
      <c r="Y54" s="2">
        <f t="shared" si="9"/>
        <v>0</v>
      </c>
      <c r="Z54" s="2">
        <f t="shared" si="10"/>
        <v>0</v>
      </c>
      <c r="AA54" s="2">
        <f t="shared" si="11"/>
        <v>0</v>
      </c>
      <c r="AB54" s="2">
        <f t="shared" si="12"/>
        <v>0</v>
      </c>
      <c r="AC54" s="2">
        <f t="shared" si="13"/>
        <v>0</v>
      </c>
      <c r="AD54" s="2">
        <f t="shared" si="14"/>
        <v>0</v>
      </c>
      <c r="AE54" s="2">
        <f t="shared" si="15"/>
        <v>0</v>
      </c>
    </row>
    <row r="55" spans="1:31">
      <c r="A55" s="1" t="s">
        <v>6</v>
      </c>
      <c r="B55">
        <v>261</v>
      </c>
      <c r="C55" s="5">
        <v>99.998010640100006</v>
      </c>
      <c r="D55" s="5">
        <v>12.5420293556</v>
      </c>
      <c r="E55" s="11">
        <v>0</v>
      </c>
      <c r="F55" s="15">
        <v>0</v>
      </c>
      <c r="G55" s="15">
        <v>0</v>
      </c>
      <c r="H55" s="15">
        <v>0</v>
      </c>
      <c r="I55" s="15">
        <v>0</v>
      </c>
      <c r="J55" s="11">
        <v>0</v>
      </c>
      <c r="K55" s="15">
        <v>0</v>
      </c>
      <c r="L55" s="15">
        <v>0</v>
      </c>
      <c r="M55" s="15">
        <v>0</v>
      </c>
      <c r="N55" s="16">
        <v>0</v>
      </c>
      <c r="O55" s="2">
        <f t="shared" si="1"/>
        <v>0</v>
      </c>
      <c r="P55" s="2">
        <f t="shared" si="2"/>
        <v>0</v>
      </c>
      <c r="Q55" s="2">
        <f t="shared" si="3"/>
        <v>0</v>
      </c>
      <c r="S55" s="2">
        <f t="shared" si="16"/>
        <v>0</v>
      </c>
      <c r="T55" s="2">
        <f t="shared" si="4"/>
        <v>0</v>
      </c>
      <c r="U55" s="2">
        <f t="shared" si="5"/>
        <v>0</v>
      </c>
      <c r="V55" s="2">
        <f t="shared" si="6"/>
        <v>0</v>
      </c>
      <c r="W55" s="2">
        <f t="shared" si="7"/>
        <v>0</v>
      </c>
      <c r="X55" s="2">
        <f t="shared" si="8"/>
        <v>0</v>
      </c>
      <c r="Y55" s="2">
        <f t="shared" si="9"/>
        <v>0</v>
      </c>
      <c r="Z55" s="2">
        <f t="shared" si="10"/>
        <v>0</v>
      </c>
      <c r="AA55" s="2">
        <f t="shared" si="11"/>
        <v>0</v>
      </c>
      <c r="AB55" s="2">
        <f t="shared" si="12"/>
        <v>0</v>
      </c>
      <c r="AC55" s="2">
        <f t="shared" si="13"/>
        <v>0</v>
      </c>
      <c r="AD55" s="2">
        <f t="shared" si="14"/>
        <v>0</v>
      </c>
      <c r="AE55" s="2">
        <f t="shared" si="15"/>
        <v>0</v>
      </c>
    </row>
    <row r="56" spans="1:31">
      <c r="A56" s="1" t="s">
        <v>6</v>
      </c>
      <c r="B56">
        <v>262</v>
      </c>
      <c r="C56" s="5">
        <v>92.578386870800003</v>
      </c>
      <c r="D56" s="5">
        <v>17.784347544300001</v>
      </c>
      <c r="E56" s="11">
        <v>0</v>
      </c>
      <c r="F56" s="15">
        <v>0</v>
      </c>
      <c r="G56" s="15">
        <v>0</v>
      </c>
      <c r="H56" s="15">
        <v>0</v>
      </c>
      <c r="I56" s="15">
        <v>0</v>
      </c>
      <c r="J56" s="11">
        <v>0</v>
      </c>
      <c r="K56" s="15">
        <v>0</v>
      </c>
      <c r="L56" s="15">
        <v>0</v>
      </c>
      <c r="M56" s="15">
        <v>0</v>
      </c>
      <c r="N56" s="16">
        <v>0</v>
      </c>
      <c r="O56" s="2">
        <f t="shared" si="1"/>
        <v>0</v>
      </c>
      <c r="P56" s="2">
        <f t="shared" si="2"/>
        <v>0</v>
      </c>
      <c r="Q56" s="2">
        <f t="shared" si="3"/>
        <v>0</v>
      </c>
      <c r="S56" s="2">
        <f t="shared" si="16"/>
        <v>0</v>
      </c>
      <c r="T56" s="2">
        <f t="shared" si="4"/>
        <v>0</v>
      </c>
      <c r="U56" s="2">
        <f t="shared" si="5"/>
        <v>0</v>
      </c>
      <c r="V56" s="2">
        <f t="shared" si="6"/>
        <v>0</v>
      </c>
      <c r="W56" s="2">
        <f t="shared" si="7"/>
        <v>0</v>
      </c>
      <c r="X56" s="2">
        <f t="shared" si="8"/>
        <v>0</v>
      </c>
      <c r="Y56" s="2">
        <f t="shared" si="9"/>
        <v>0</v>
      </c>
      <c r="Z56" s="2">
        <f t="shared" si="10"/>
        <v>0</v>
      </c>
      <c r="AA56" s="2">
        <f t="shared" si="11"/>
        <v>0</v>
      </c>
      <c r="AB56" s="2">
        <f t="shared" si="12"/>
        <v>0</v>
      </c>
      <c r="AC56" s="2">
        <f t="shared" si="13"/>
        <v>0</v>
      </c>
      <c r="AD56" s="2">
        <f t="shared" si="14"/>
        <v>0</v>
      </c>
      <c r="AE56" s="2">
        <f t="shared" si="15"/>
        <v>0</v>
      </c>
    </row>
    <row r="57" spans="1:31">
      <c r="A57" s="1" t="s">
        <v>6</v>
      </c>
      <c r="B57">
        <v>263</v>
      </c>
      <c r="C57" s="5">
        <v>15.192562647999999</v>
      </c>
      <c r="D57" s="5">
        <v>1.5720836460100001</v>
      </c>
      <c r="E57" s="11">
        <v>0</v>
      </c>
      <c r="F57" s="15">
        <v>0</v>
      </c>
      <c r="G57" s="15">
        <v>0</v>
      </c>
      <c r="H57" s="15">
        <v>0</v>
      </c>
      <c r="I57" s="15">
        <v>0</v>
      </c>
      <c r="J57" s="11">
        <v>0</v>
      </c>
      <c r="K57" s="15">
        <v>0</v>
      </c>
      <c r="L57" s="15">
        <v>0</v>
      </c>
      <c r="M57" s="15">
        <v>0</v>
      </c>
      <c r="N57" s="16">
        <v>0</v>
      </c>
      <c r="O57" s="2">
        <f t="shared" si="1"/>
        <v>0</v>
      </c>
      <c r="P57" s="2">
        <f t="shared" si="2"/>
        <v>0</v>
      </c>
      <c r="Q57" s="2">
        <f t="shared" si="3"/>
        <v>0</v>
      </c>
      <c r="S57" s="2">
        <f t="shared" si="16"/>
        <v>0</v>
      </c>
      <c r="T57" s="2">
        <f t="shared" si="4"/>
        <v>0</v>
      </c>
      <c r="U57" s="2">
        <f t="shared" si="5"/>
        <v>0</v>
      </c>
      <c r="V57" s="2">
        <f t="shared" si="6"/>
        <v>0</v>
      </c>
      <c r="W57" s="2">
        <f t="shared" si="7"/>
        <v>0</v>
      </c>
      <c r="X57" s="2">
        <f t="shared" si="8"/>
        <v>0</v>
      </c>
      <c r="Y57" s="2">
        <f t="shared" si="9"/>
        <v>0</v>
      </c>
      <c r="Z57" s="2">
        <f t="shared" si="10"/>
        <v>0</v>
      </c>
      <c r="AA57" s="2">
        <f t="shared" si="11"/>
        <v>0</v>
      </c>
      <c r="AB57" s="2">
        <f t="shared" si="12"/>
        <v>0</v>
      </c>
      <c r="AC57" s="2">
        <f t="shared" si="13"/>
        <v>0</v>
      </c>
      <c r="AD57" s="2">
        <f t="shared" si="14"/>
        <v>0</v>
      </c>
      <c r="AE57" s="2">
        <f t="shared" si="15"/>
        <v>0</v>
      </c>
    </row>
    <row r="58" spans="1:31">
      <c r="A58" s="1" t="s">
        <v>6</v>
      </c>
      <c r="B58">
        <v>264</v>
      </c>
      <c r="C58" s="5">
        <v>7.2006971454600004</v>
      </c>
      <c r="D58" s="5">
        <v>0.67280582712899994</v>
      </c>
      <c r="E58" s="11">
        <v>0</v>
      </c>
      <c r="F58" s="15">
        <v>0</v>
      </c>
      <c r="G58" s="15">
        <v>0</v>
      </c>
      <c r="H58" s="15">
        <v>0</v>
      </c>
      <c r="I58" s="15">
        <v>0</v>
      </c>
      <c r="J58" s="11">
        <v>0</v>
      </c>
      <c r="K58" s="15">
        <v>0</v>
      </c>
      <c r="L58" s="15">
        <v>0</v>
      </c>
      <c r="M58" s="15">
        <v>0</v>
      </c>
      <c r="N58" s="16">
        <v>0</v>
      </c>
      <c r="O58" s="2">
        <f t="shared" si="1"/>
        <v>0</v>
      </c>
      <c r="P58" s="2">
        <f t="shared" si="2"/>
        <v>0</v>
      </c>
      <c r="Q58" s="2">
        <f t="shared" si="3"/>
        <v>0</v>
      </c>
      <c r="S58" s="2">
        <f t="shared" si="16"/>
        <v>0</v>
      </c>
      <c r="T58" s="2">
        <f t="shared" si="4"/>
        <v>0</v>
      </c>
      <c r="U58" s="2">
        <f t="shared" si="5"/>
        <v>0</v>
      </c>
      <c r="V58" s="2">
        <f t="shared" si="6"/>
        <v>0</v>
      </c>
      <c r="W58" s="2">
        <f t="shared" si="7"/>
        <v>0</v>
      </c>
      <c r="X58" s="2">
        <f t="shared" si="8"/>
        <v>0</v>
      </c>
      <c r="Y58" s="2">
        <f t="shared" si="9"/>
        <v>0</v>
      </c>
      <c r="Z58" s="2">
        <f t="shared" si="10"/>
        <v>0</v>
      </c>
      <c r="AA58" s="2">
        <f t="shared" si="11"/>
        <v>0</v>
      </c>
      <c r="AB58" s="2">
        <f t="shared" si="12"/>
        <v>0</v>
      </c>
      <c r="AC58" s="2">
        <f t="shared" si="13"/>
        <v>0</v>
      </c>
      <c r="AD58" s="2">
        <f t="shared" si="14"/>
        <v>0</v>
      </c>
      <c r="AE58" s="2">
        <f t="shared" si="15"/>
        <v>0</v>
      </c>
    </row>
    <row r="59" spans="1:31">
      <c r="A59" s="1" t="s">
        <v>7</v>
      </c>
      <c r="B59">
        <v>149</v>
      </c>
      <c r="C59" s="5">
        <v>26.777473839500001</v>
      </c>
      <c r="D59" s="5">
        <v>1.5525480281899999</v>
      </c>
      <c r="E59" s="11">
        <v>0</v>
      </c>
      <c r="F59" s="15">
        <v>84.600920000000002</v>
      </c>
      <c r="G59" s="15">
        <v>23.2</v>
      </c>
      <c r="H59" s="15">
        <v>1.8</v>
      </c>
      <c r="I59" s="15">
        <v>0</v>
      </c>
      <c r="J59" s="11">
        <v>0</v>
      </c>
      <c r="K59" s="15">
        <v>0</v>
      </c>
      <c r="L59" s="15">
        <v>0</v>
      </c>
      <c r="M59" s="15">
        <v>0</v>
      </c>
      <c r="N59" s="16">
        <v>0</v>
      </c>
      <c r="O59" s="2">
        <f t="shared" si="1"/>
        <v>109.60092</v>
      </c>
      <c r="P59" s="2">
        <f t="shared" si="2"/>
        <v>0</v>
      </c>
      <c r="Q59" s="2">
        <f t="shared" si="3"/>
        <v>109.60092</v>
      </c>
      <c r="S59" s="2">
        <f t="shared" si="16"/>
        <v>0</v>
      </c>
      <c r="T59" s="2">
        <f t="shared" si="4"/>
        <v>22.653989220976325</v>
      </c>
      <c r="U59" s="2">
        <f t="shared" si="5"/>
        <v>6.2123739307640005</v>
      </c>
      <c r="V59" s="2">
        <f t="shared" si="6"/>
        <v>0.48199452911100005</v>
      </c>
      <c r="W59" s="2">
        <f t="shared" si="7"/>
        <v>0</v>
      </c>
      <c r="X59" s="2">
        <f t="shared" si="8"/>
        <v>0</v>
      </c>
      <c r="Y59" s="2">
        <f t="shared" si="9"/>
        <v>0</v>
      </c>
      <c r="Z59" s="2">
        <f t="shared" si="10"/>
        <v>0</v>
      </c>
      <c r="AA59" s="2">
        <f t="shared" si="11"/>
        <v>0</v>
      </c>
      <c r="AB59" s="2">
        <f t="shared" si="12"/>
        <v>0</v>
      </c>
      <c r="AC59" s="2">
        <f t="shared" si="13"/>
        <v>29.348357680851322</v>
      </c>
      <c r="AD59" s="2">
        <f t="shared" si="14"/>
        <v>0</v>
      </c>
      <c r="AE59" s="2">
        <f t="shared" si="15"/>
        <v>29.348357680851322</v>
      </c>
    </row>
    <row r="60" spans="1:31">
      <c r="A60" s="1" t="s">
        <v>7</v>
      </c>
      <c r="B60">
        <v>150</v>
      </c>
      <c r="C60" s="5">
        <v>8.2392780112900006</v>
      </c>
      <c r="D60" s="5">
        <v>0.87349911395299995</v>
      </c>
      <c r="E60" s="11">
        <v>0</v>
      </c>
      <c r="F60" s="15">
        <v>0</v>
      </c>
      <c r="G60" s="15">
        <v>533.29999999999995</v>
      </c>
      <c r="H60" s="15">
        <v>0</v>
      </c>
      <c r="I60" s="15">
        <v>0</v>
      </c>
      <c r="J60" s="11">
        <v>0</v>
      </c>
      <c r="K60" s="15">
        <v>0</v>
      </c>
      <c r="L60" s="15">
        <v>0</v>
      </c>
      <c r="M60" s="15">
        <v>0</v>
      </c>
      <c r="N60" s="16">
        <v>0</v>
      </c>
      <c r="O60" s="2">
        <f t="shared" si="1"/>
        <v>533.29999999999995</v>
      </c>
      <c r="P60" s="2">
        <f t="shared" si="2"/>
        <v>0</v>
      </c>
      <c r="Q60" s="2">
        <f t="shared" si="3"/>
        <v>533.29999999999995</v>
      </c>
      <c r="S60" s="2">
        <f t="shared" si="16"/>
        <v>0</v>
      </c>
      <c r="T60" s="2">
        <f t="shared" si="4"/>
        <v>0</v>
      </c>
      <c r="U60" s="2">
        <f t="shared" si="5"/>
        <v>43.940069634209564</v>
      </c>
      <c r="V60" s="2">
        <f t="shared" si="6"/>
        <v>0</v>
      </c>
      <c r="W60" s="2">
        <f t="shared" si="7"/>
        <v>0</v>
      </c>
      <c r="X60" s="2">
        <f t="shared" si="8"/>
        <v>0</v>
      </c>
      <c r="Y60" s="2">
        <f t="shared" si="9"/>
        <v>0</v>
      </c>
      <c r="Z60" s="2">
        <f t="shared" si="10"/>
        <v>0</v>
      </c>
      <c r="AA60" s="2">
        <f t="shared" si="11"/>
        <v>0</v>
      </c>
      <c r="AB60" s="2">
        <f t="shared" si="12"/>
        <v>0</v>
      </c>
      <c r="AC60" s="2">
        <f t="shared" si="13"/>
        <v>43.940069634209564</v>
      </c>
      <c r="AD60" s="2">
        <f t="shared" si="14"/>
        <v>0</v>
      </c>
      <c r="AE60" s="2">
        <f t="shared" si="15"/>
        <v>43.940069634209564</v>
      </c>
    </row>
    <row r="61" spans="1:31">
      <c r="A61" s="1" t="s">
        <v>7</v>
      </c>
      <c r="B61">
        <v>163</v>
      </c>
      <c r="C61" s="5">
        <v>85.012961056400002</v>
      </c>
      <c r="D61" s="5">
        <v>12.169319294099999</v>
      </c>
      <c r="E61" s="11">
        <v>0</v>
      </c>
      <c r="F61" s="15">
        <v>0</v>
      </c>
      <c r="G61" s="15">
        <v>3074.4497000000001</v>
      </c>
      <c r="H61" s="15">
        <v>753.19997000000001</v>
      </c>
      <c r="I61" s="15">
        <v>25.2</v>
      </c>
      <c r="J61" s="11">
        <v>0</v>
      </c>
      <c r="K61" s="15">
        <v>0</v>
      </c>
      <c r="L61" s="15">
        <v>0</v>
      </c>
      <c r="M61" s="15">
        <v>0</v>
      </c>
      <c r="N61" s="16">
        <v>0</v>
      </c>
      <c r="O61" s="2">
        <f t="shared" si="1"/>
        <v>3852.8496700000001</v>
      </c>
      <c r="P61" s="2">
        <f t="shared" si="2"/>
        <v>0</v>
      </c>
      <c r="Q61" s="2">
        <f t="shared" si="3"/>
        <v>3852.8496700000001</v>
      </c>
      <c r="S61" s="2">
        <f t="shared" si="16"/>
        <v>0</v>
      </c>
      <c r="T61" s="2">
        <f t="shared" si="4"/>
        <v>0</v>
      </c>
      <c r="U61" s="2">
        <f t="shared" si="5"/>
        <v>2613.6807261596068</v>
      </c>
      <c r="V61" s="2">
        <f t="shared" si="6"/>
        <v>640.31759717291652</v>
      </c>
      <c r="W61" s="2">
        <f t="shared" si="7"/>
        <v>21.4232661862128</v>
      </c>
      <c r="X61" s="2">
        <f t="shared" si="8"/>
        <v>0</v>
      </c>
      <c r="Y61" s="2">
        <f t="shared" si="9"/>
        <v>0</v>
      </c>
      <c r="Z61" s="2">
        <f t="shared" si="10"/>
        <v>0</v>
      </c>
      <c r="AA61" s="2">
        <f t="shared" si="11"/>
        <v>0</v>
      </c>
      <c r="AB61" s="2">
        <f t="shared" si="12"/>
        <v>0</v>
      </c>
      <c r="AC61" s="2">
        <f t="shared" si="13"/>
        <v>3275.4215895187358</v>
      </c>
      <c r="AD61" s="2">
        <f t="shared" si="14"/>
        <v>0</v>
      </c>
      <c r="AE61" s="2">
        <f t="shared" si="15"/>
        <v>3275.4215895187358</v>
      </c>
    </row>
    <row r="62" spans="1:31">
      <c r="A62" s="1" t="s">
        <v>7</v>
      </c>
      <c r="B62">
        <v>164</v>
      </c>
      <c r="C62" s="5">
        <v>99.999769446100004</v>
      </c>
      <c r="D62" s="5">
        <v>5.0355410066699999</v>
      </c>
      <c r="E62" s="11">
        <v>0</v>
      </c>
      <c r="F62" s="15">
        <v>61.464020000000005</v>
      </c>
      <c r="G62" s="15">
        <v>275.60001400000004</v>
      </c>
      <c r="H62" s="15">
        <v>399.6</v>
      </c>
      <c r="I62" s="15">
        <v>0</v>
      </c>
      <c r="J62" s="11">
        <v>0</v>
      </c>
      <c r="K62" s="15">
        <v>0</v>
      </c>
      <c r="L62" s="15">
        <v>0</v>
      </c>
      <c r="M62" s="15">
        <v>0</v>
      </c>
      <c r="N62" s="16">
        <v>0</v>
      </c>
      <c r="O62" s="2">
        <f t="shared" si="1"/>
        <v>736.66403400000013</v>
      </c>
      <c r="P62" s="2">
        <f t="shared" si="2"/>
        <v>0</v>
      </c>
      <c r="Q62" s="2">
        <f t="shared" si="3"/>
        <v>736.66403400000013</v>
      </c>
      <c r="S62" s="2">
        <f t="shared" si="16"/>
        <v>0</v>
      </c>
      <c r="T62" s="2">
        <f t="shared" si="4"/>
        <v>61.463878292304798</v>
      </c>
      <c r="U62" s="2">
        <f t="shared" si="5"/>
        <v>275.59937859341937</v>
      </c>
      <c r="V62" s="2">
        <f t="shared" si="6"/>
        <v>399.59907870661561</v>
      </c>
      <c r="W62" s="2">
        <f t="shared" si="7"/>
        <v>0</v>
      </c>
      <c r="X62" s="2">
        <f t="shared" si="8"/>
        <v>0</v>
      </c>
      <c r="Y62" s="2">
        <f t="shared" si="9"/>
        <v>0</v>
      </c>
      <c r="Z62" s="2">
        <f t="shared" si="10"/>
        <v>0</v>
      </c>
      <c r="AA62" s="2">
        <f t="shared" si="11"/>
        <v>0</v>
      </c>
      <c r="AB62" s="2">
        <f t="shared" si="12"/>
        <v>0</v>
      </c>
      <c r="AC62" s="2">
        <f t="shared" si="13"/>
        <v>736.66233559233979</v>
      </c>
      <c r="AD62" s="2">
        <f t="shared" si="14"/>
        <v>0</v>
      </c>
      <c r="AE62" s="2">
        <f t="shared" si="15"/>
        <v>736.66233559233979</v>
      </c>
    </row>
    <row r="63" spans="1:31">
      <c r="A63" s="1" t="s">
        <v>7</v>
      </c>
      <c r="B63">
        <v>165</v>
      </c>
      <c r="C63" s="5">
        <v>95.765254940199995</v>
      </c>
      <c r="D63" s="5">
        <v>9.6153106802899995</v>
      </c>
      <c r="E63" s="11">
        <v>0</v>
      </c>
      <c r="F63" s="15">
        <v>2494.0807199999999</v>
      </c>
      <c r="G63" s="15">
        <v>622.79999999999995</v>
      </c>
      <c r="H63" s="15">
        <v>18.2</v>
      </c>
      <c r="I63" s="15">
        <v>0</v>
      </c>
      <c r="J63" s="11">
        <v>0</v>
      </c>
      <c r="K63" s="15">
        <v>0</v>
      </c>
      <c r="L63" s="15">
        <v>0</v>
      </c>
      <c r="M63" s="15">
        <v>0</v>
      </c>
      <c r="N63" s="16">
        <v>0</v>
      </c>
      <c r="O63" s="2">
        <f t="shared" si="1"/>
        <v>3135.0807199999999</v>
      </c>
      <c r="P63" s="2">
        <f t="shared" si="2"/>
        <v>0</v>
      </c>
      <c r="Q63" s="2">
        <f t="shared" si="3"/>
        <v>3135.0807199999999</v>
      </c>
      <c r="S63" s="2">
        <f t="shared" si="16"/>
        <v>0</v>
      </c>
      <c r="T63" s="2">
        <f t="shared" si="4"/>
        <v>2388.4627599223754</v>
      </c>
      <c r="U63" s="2">
        <f t="shared" si="5"/>
        <v>596.42600776756558</v>
      </c>
      <c r="V63" s="2">
        <f t="shared" si="6"/>
        <v>17.429276399116397</v>
      </c>
      <c r="W63" s="2">
        <f t="shared" si="7"/>
        <v>0</v>
      </c>
      <c r="X63" s="2">
        <f t="shared" si="8"/>
        <v>0</v>
      </c>
      <c r="Y63" s="2">
        <f t="shared" si="9"/>
        <v>0</v>
      </c>
      <c r="Z63" s="2">
        <f t="shared" si="10"/>
        <v>0</v>
      </c>
      <c r="AA63" s="2">
        <f t="shared" si="11"/>
        <v>0</v>
      </c>
      <c r="AB63" s="2">
        <f t="shared" si="12"/>
        <v>0</v>
      </c>
      <c r="AC63" s="2">
        <f t="shared" si="13"/>
        <v>3002.3180440890574</v>
      </c>
      <c r="AD63" s="2">
        <f t="shared" si="14"/>
        <v>0</v>
      </c>
      <c r="AE63" s="2">
        <f t="shared" si="15"/>
        <v>3002.3180440890574</v>
      </c>
    </row>
    <row r="64" spans="1:31">
      <c r="A64" s="1" t="s">
        <v>7</v>
      </c>
      <c r="B64">
        <v>166</v>
      </c>
      <c r="C64" s="5">
        <v>99.999999734100001</v>
      </c>
      <c r="D64" s="5">
        <v>9.29272673993</v>
      </c>
      <c r="E64" s="11">
        <v>0</v>
      </c>
      <c r="F64" s="15">
        <v>5256.9551300000003</v>
      </c>
      <c r="G64" s="15">
        <v>613.10005000000001</v>
      </c>
      <c r="H64" s="15">
        <v>139.40004500000001</v>
      </c>
      <c r="I64" s="15">
        <v>0</v>
      </c>
      <c r="J64" s="11">
        <v>0</v>
      </c>
      <c r="K64" s="15">
        <v>0</v>
      </c>
      <c r="L64" s="15">
        <v>0</v>
      </c>
      <c r="M64" s="15">
        <v>0</v>
      </c>
      <c r="N64" s="16">
        <v>0</v>
      </c>
      <c r="O64" s="2">
        <f t="shared" si="1"/>
        <v>6009.4552250000006</v>
      </c>
      <c r="P64" s="2">
        <f t="shared" si="2"/>
        <v>0</v>
      </c>
      <c r="Q64" s="2">
        <f t="shared" si="3"/>
        <v>6009.4552250000006</v>
      </c>
      <c r="S64" s="2">
        <f t="shared" si="16"/>
        <v>0</v>
      </c>
      <c r="T64" s="2">
        <f t="shared" si="4"/>
        <v>5256.9551160217561</v>
      </c>
      <c r="U64" s="2">
        <f t="shared" si="5"/>
        <v>613.10004836976691</v>
      </c>
      <c r="V64" s="2">
        <f t="shared" si="6"/>
        <v>139.40004462933527</v>
      </c>
      <c r="W64" s="2">
        <f t="shared" si="7"/>
        <v>0</v>
      </c>
      <c r="X64" s="2">
        <f t="shared" si="8"/>
        <v>0</v>
      </c>
      <c r="Y64" s="2">
        <f t="shared" si="9"/>
        <v>0</v>
      </c>
      <c r="Z64" s="2">
        <f t="shared" si="10"/>
        <v>0</v>
      </c>
      <c r="AA64" s="2">
        <f t="shared" si="11"/>
        <v>0</v>
      </c>
      <c r="AB64" s="2">
        <f t="shared" si="12"/>
        <v>0</v>
      </c>
      <c r="AC64" s="2">
        <f t="shared" si="13"/>
        <v>6009.455209020859</v>
      </c>
      <c r="AD64" s="2">
        <f t="shared" si="14"/>
        <v>0</v>
      </c>
      <c r="AE64" s="2">
        <f t="shared" si="15"/>
        <v>6009.455209020859</v>
      </c>
    </row>
    <row r="65" spans="1:31">
      <c r="A65" s="1" t="s">
        <v>7</v>
      </c>
      <c r="B65">
        <v>167</v>
      </c>
      <c r="C65" s="5">
        <v>99.986909366399999</v>
      </c>
      <c r="D65" s="5">
        <v>6.1901457467899998</v>
      </c>
      <c r="E65" s="11">
        <v>0</v>
      </c>
      <c r="F65" s="15">
        <v>791.2</v>
      </c>
      <c r="G65" s="15">
        <v>10</v>
      </c>
      <c r="H65" s="15">
        <v>0</v>
      </c>
      <c r="I65" s="15">
        <v>0</v>
      </c>
      <c r="J65" s="11">
        <v>0</v>
      </c>
      <c r="K65" s="15">
        <v>0</v>
      </c>
      <c r="L65" s="15">
        <v>0</v>
      </c>
      <c r="M65" s="15">
        <v>0</v>
      </c>
      <c r="N65" s="16">
        <v>0</v>
      </c>
      <c r="O65" s="2">
        <f t="shared" si="1"/>
        <v>801.2</v>
      </c>
      <c r="P65" s="2">
        <f t="shared" si="2"/>
        <v>0</v>
      </c>
      <c r="Q65" s="2">
        <f t="shared" si="3"/>
        <v>801.2</v>
      </c>
      <c r="S65" s="2">
        <f t="shared" si="16"/>
        <v>0</v>
      </c>
      <c r="T65" s="2">
        <f t="shared" si="4"/>
        <v>791.09642690695682</v>
      </c>
      <c r="U65" s="2">
        <f t="shared" si="5"/>
        <v>9.998690936640001</v>
      </c>
      <c r="V65" s="2">
        <f t="shared" si="6"/>
        <v>0</v>
      </c>
      <c r="W65" s="2">
        <f t="shared" si="7"/>
        <v>0</v>
      </c>
      <c r="X65" s="2">
        <f t="shared" si="8"/>
        <v>0</v>
      </c>
      <c r="Y65" s="2">
        <f t="shared" si="9"/>
        <v>0</v>
      </c>
      <c r="Z65" s="2">
        <f t="shared" si="10"/>
        <v>0</v>
      </c>
      <c r="AA65" s="2">
        <f t="shared" si="11"/>
        <v>0</v>
      </c>
      <c r="AB65" s="2">
        <f t="shared" si="12"/>
        <v>0</v>
      </c>
      <c r="AC65" s="2">
        <f t="shared" si="13"/>
        <v>801.09511784359677</v>
      </c>
      <c r="AD65" s="2">
        <f t="shared" si="14"/>
        <v>0</v>
      </c>
      <c r="AE65" s="2">
        <f t="shared" si="15"/>
        <v>801.09511784359677</v>
      </c>
    </row>
    <row r="66" spans="1:31">
      <c r="A66" s="1" t="s">
        <v>7</v>
      </c>
      <c r="B66">
        <v>168</v>
      </c>
      <c r="C66" s="5">
        <v>92.094776086500005</v>
      </c>
      <c r="D66" s="5">
        <v>5.3903687328499998</v>
      </c>
      <c r="E66" s="11">
        <v>0</v>
      </c>
      <c r="F66" s="15">
        <v>0</v>
      </c>
      <c r="G66" s="15">
        <v>0</v>
      </c>
      <c r="H66" s="15">
        <v>0</v>
      </c>
      <c r="I66" s="15">
        <v>0</v>
      </c>
      <c r="J66" s="11">
        <v>0</v>
      </c>
      <c r="K66" s="15">
        <v>0</v>
      </c>
      <c r="L66" s="15">
        <v>0</v>
      </c>
      <c r="M66" s="15">
        <v>0</v>
      </c>
      <c r="N66" s="16">
        <v>0</v>
      </c>
      <c r="O66" s="2">
        <f t="shared" si="1"/>
        <v>0</v>
      </c>
      <c r="P66" s="2">
        <f t="shared" si="2"/>
        <v>0</v>
      </c>
      <c r="Q66" s="2">
        <f t="shared" si="3"/>
        <v>0</v>
      </c>
      <c r="S66" s="2">
        <f t="shared" si="16"/>
        <v>0</v>
      </c>
      <c r="T66" s="2">
        <f t="shared" si="4"/>
        <v>0</v>
      </c>
      <c r="U66" s="2">
        <f t="shared" si="5"/>
        <v>0</v>
      </c>
      <c r="V66" s="2">
        <f t="shared" si="6"/>
        <v>0</v>
      </c>
      <c r="W66" s="2">
        <f t="shared" si="7"/>
        <v>0</v>
      </c>
      <c r="X66" s="2">
        <f t="shared" si="8"/>
        <v>0</v>
      </c>
      <c r="Y66" s="2">
        <f t="shared" si="9"/>
        <v>0</v>
      </c>
      <c r="Z66" s="2">
        <f t="shared" si="10"/>
        <v>0</v>
      </c>
      <c r="AA66" s="2">
        <f t="shared" si="11"/>
        <v>0</v>
      </c>
      <c r="AB66" s="2">
        <f t="shared" si="12"/>
        <v>0</v>
      </c>
      <c r="AC66" s="2">
        <f t="shared" si="13"/>
        <v>0</v>
      </c>
      <c r="AD66" s="2">
        <f t="shared" si="14"/>
        <v>0</v>
      </c>
      <c r="AE66" s="2">
        <f t="shared" si="15"/>
        <v>0</v>
      </c>
    </row>
    <row r="67" spans="1:31">
      <c r="A67" s="1" t="s">
        <v>7</v>
      </c>
      <c r="B67">
        <v>169</v>
      </c>
      <c r="C67" s="5">
        <v>99.999146366299996</v>
      </c>
      <c r="D67" s="5">
        <v>7.93613379533</v>
      </c>
      <c r="E67" s="11">
        <v>0</v>
      </c>
      <c r="F67" s="15">
        <v>0</v>
      </c>
      <c r="G67" s="15">
        <v>0</v>
      </c>
      <c r="H67" s="15">
        <v>0</v>
      </c>
      <c r="I67" s="15">
        <v>0</v>
      </c>
      <c r="J67" s="11">
        <v>0</v>
      </c>
      <c r="K67" s="15">
        <v>0</v>
      </c>
      <c r="L67" s="15">
        <v>0</v>
      </c>
      <c r="M67" s="15">
        <v>0</v>
      </c>
      <c r="N67" s="16">
        <v>0</v>
      </c>
      <c r="O67" s="2">
        <f t="shared" ref="O67:O130" si="17">SUM(E67:I67)</f>
        <v>0</v>
      </c>
      <c r="P67" s="2">
        <f t="shared" ref="P67:P130" si="18">SUM(J67:N67)</f>
        <v>0</v>
      </c>
      <c r="Q67" s="2">
        <f t="shared" ref="Q67:Q130" si="19">SUM(O67:P67)</f>
        <v>0</v>
      </c>
      <c r="S67" s="2">
        <f t="shared" si="16"/>
        <v>0</v>
      </c>
      <c r="T67" s="2">
        <f t="shared" ref="T67:T130" si="20">F67*$C67/100</f>
        <v>0</v>
      </c>
      <c r="U67" s="2">
        <f t="shared" ref="U67:U130" si="21">G67*$C67/100</f>
        <v>0</v>
      </c>
      <c r="V67" s="2">
        <f t="shared" ref="V67:V130" si="22">H67*$C67/100</f>
        <v>0</v>
      </c>
      <c r="W67" s="2">
        <f t="shared" ref="W67:W130" si="23">I67*$C67/100</f>
        <v>0</v>
      </c>
      <c r="X67" s="2">
        <f t="shared" ref="X67:X130" si="24">J67*$C67/100</f>
        <v>0</v>
      </c>
      <c r="Y67" s="2">
        <f t="shared" ref="Y67:Y130" si="25">K67*$C67/100</f>
        <v>0</v>
      </c>
      <c r="Z67" s="2">
        <f t="shared" ref="Z67:Z130" si="26">L67*$C67/100</f>
        <v>0</v>
      </c>
      <c r="AA67" s="2">
        <f t="shared" ref="AA67:AA130" si="27">M67*$C67/100</f>
        <v>0</v>
      </c>
      <c r="AB67" s="2">
        <f t="shared" ref="AB67:AB130" si="28">N67*$C67/100</f>
        <v>0</v>
      </c>
      <c r="AC67" s="2">
        <f t="shared" ref="AC67:AC130" si="29">O67*$C67/100</f>
        <v>0</v>
      </c>
      <c r="AD67" s="2">
        <f t="shared" ref="AD67:AD130" si="30">P67*$C67/100</f>
        <v>0</v>
      </c>
      <c r="AE67" s="2">
        <f t="shared" ref="AE67:AE130" si="31">Q67*$C67/100</f>
        <v>0</v>
      </c>
    </row>
    <row r="68" spans="1:31">
      <c r="A68" s="1" t="s">
        <v>7</v>
      </c>
      <c r="B68">
        <v>170</v>
      </c>
      <c r="C68" s="5">
        <v>83.274136497499995</v>
      </c>
      <c r="D68" s="5">
        <v>4.8095934832099996</v>
      </c>
      <c r="E68" s="11">
        <v>0</v>
      </c>
      <c r="F68" s="15">
        <v>0</v>
      </c>
      <c r="G68" s="15">
        <v>0</v>
      </c>
      <c r="H68" s="15">
        <v>0</v>
      </c>
      <c r="I68" s="15">
        <v>0</v>
      </c>
      <c r="J68" s="11">
        <v>0</v>
      </c>
      <c r="K68" s="15">
        <v>0</v>
      </c>
      <c r="L68" s="15">
        <v>0</v>
      </c>
      <c r="M68" s="15">
        <v>0</v>
      </c>
      <c r="N68" s="16">
        <v>0</v>
      </c>
      <c r="O68" s="2">
        <f t="shared" si="17"/>
        <v>0</v>
      </c>
      <c r="P68" s="2">
        <f t="shared" si="18"/>
        <v>0</v>
      </c>
      <c r="Q68" s="2">
        <f t="shared" si="19"/>
        <v>0</v>
      </c>
      <c r="S68" s="2">
        <f t="shared" ref="S68:S131" si="32">E68*$C68/100</f>
        <v>0</v>
      </c>
      <c r="T68" s="2">
        <f t="shared" si="20"/>
        <v>0</v>
      </c>
      <c r="U68" s="2">
        <f t="shared" si="21"/>
        <v>0</v>
      </c>
      <c r="V68" s="2">
        <f t="shared" si="22"/>
        <v>0</v>
      </c>
      <c r="W68" s="2">
        <f t="shared" si="23"/>
        <v>0</v>
      </c>
      <c r="X68" s="2">
        <f t="shared" si="24"/>
        <v>0</v>
      </c>
      <c r="Y68" s="2">
        <f t="shared" si="25"/>
        <v>0</v>
      </c>
      <c r="Z68" s="2">
        <f t="shared" si="26"/>
        <v>0</v>
      </c>
      <c r="AA68" s="2">
        <f t="shared" si="27"/>
        <v>0</v>
      </c>
      <c r="AB68" s="2">
        <f t="shared" si="28"/>
        <v>0</v>
      </c>
      <c r="AC68" s="2">
        <f t="shared" si="29"/>
        <v>0</v>
      </c>
      <c r="AD68" s="2">
        <f t="shared" si="30"/>
        <v>0</v>
      </c>
      <c r="AE68" s="2">
        <f t="shared" si="31"/>
        <v>0</v>
      </c>
    </row>
    <row r="69" spans="1:31">
      <c r="A69" s="1" t="s">
        <v>7</v>
      </c>
      <c r="B69">
        <v>171</v>
      </c>
      <c r="C69" s="5">
        <v>97.137055816399993</v>
      </c>
      <c r="D69" s="5">
        <v>12.821228864</v>
      </c>
      <c r="E69" s="11">
        <v>0</v>
      </c>
      <c r="F69" s="15">
        <v>0</v>
      </c>
      <c r="G69" s="15">
        <v>0</v>
      </c>
      <c r="H69" s="15">
        <v>0</v>
      </c>
      <c r="I69" s="15">
        <v>0</v>
      </c>
      <c r="J69" s="11">
        <v>0</v>
      </c>
      <c r="K69" s="15">
        <v>0</v>
      </c>
      <c r="L69" s="15">
        <v>0</v>
      </c>
      <c r="M69" s="15">
        <v>0</v>
      </c>
      <c r="N69" s="16">
        <v>0</v>
      </c>
      <c r="O69" s="2">
        <f t="shared" si="17"/>
        <v>0</v>
      </c>
      <c r="P69" s="2">
        <f t="shared" si="18"/>
        <v>0</v>
      </c>
      <c r="Q69" s="2">
        <f t="shared" si="19"/>
        <v>0</v>
      </c>
      <c r="S69" s="2">
        <f t="shared" si="32"/>
        <v>0</v>
      </c>
      <c r="T69" s="2">
        <f t="shared" si="20"/>
        <v>0</v>
      </c>
      <c r="U69" s="2">
        <f t="shared" si="21"/>
        <v>0</v>
      </c>
      <c r="V69" s="2">
        <f t="shared" si="22"/>
        <v>0</v>
      </c>
      <c r="W69" s="2">
        <f t="shared" si="23"/>
        <v>0</v>
      </c>
      <c r="X69" s="2">
        <f t="shared" si="24"/>
        <v>0</v>
      </c>
      <c r="Y69" s="2">
        <f t="shared" si="25"/>
        <v>0</v>
      </c>
      <c r="Z69" s="2">
        <f t="shared" si="26"/>
        <v>0</v>
      </c>
      <c r="AA69" s="2">
        <f t="shared" si="27"/>
        <v>0</v>
      </c>
      <c r="AB69" s="2">
        <f t="shared" si="28"/>
        <v>0</v>
      </c>
      <c r="AC69" s="2">
        <f t="shared" si="29"/>
        <v>0</v>
      </c>
      <c r="AD69" s="2">
        <f t="shared" si="30"/>
        <v>0</v>
      </c>
      <c r="AE69" s="2">
        <f t="shared" si="31"/>
        <v>0</v>
      </c>
    </row>
    <row r="70" spans="1:31">
      <c r="A70" s="1" t="s">
        <v>7</v>
      </c>
      <c r="B70">
        <v>172</v>
      </c>
      <c r="C70" s="5">
        <v>99.999670147499998</v>
      </c>
      <c r="D70" s="5">
        <v>13.2206350054</v>
      </c>
      <c r="E70" s="11">
        <v>114</v>
      </c>
      <c r="F70" s="15">
        <v>0</v>
      </c>
      <c r="G70" s="15">
        <v>0</v>
      </c>
      <c r="H70" s="15">
        <v>0</v>
      </c>
      <c r="I70" s="15">
        <v>0</v>
      </c>
      <c r="J70" s="11">
        <v>0</v>
      </c>
      <c r="K70" s="15">
        <v>0</v>
      </c>
      <c r="L70" s="15">
        <v>0</v>
      </c>
      <c r="M70" s="15">
        <v>0</v>
      </c>
      <c r="N70" s="16">
        <v>0</v>
      </c>
      <c r="O70" s="2">
        <f t="shared" si="17"/>
        <v>114</v>
      </c>
      <c r="P70" s="2">
        <f t="shared" si="18"/>
        <v>0</v>
      </c>
      <c r="Q70" s="2">
        <f t="shared" si="19"/>
        <v>114</v>
      </c>
      <c r="S70" s="2">
        <f t="shared" si="32"/>
        <v>113.99962396814999</v>
      </c>
      <c r="T70" s="2">
        <f t="shared" si="20"/>
        <v>0</v>
      </c>
      <c r="U70" s="2">
        <f t="shared" si="21"/>
        <v>0</v>
      </c>
      <c r="V70" s="2">
        <f t="shared" si="22"/>
        <v>0</v>
      </c>
      <c r="W70" s="2">
        <f t="shared" si="23"/>
        <v>0</v>
      </c>
      <c r="X70" s="2">
        <f t="shared" si="24"/>
        <v>0</v>
      </c>
      <c r="Y70" s="2">
        <f t="shared" si="25"/>
        <v>0</v>
      </c>
      <c r="Z70" s="2">
        <f t="shared" si="26"/>
        <v>0</v>
      </c>
      <c r="AA70" s="2">
        <f t="shared" si="27"/>
        <v>0</v>
      </c>
      <c r="AB70" s="2">
        <f t="shared" si="28"/>
        <v>0</v>
      </c>
      <c r="AC70" s="2">
        <f t="shared" si="29"/>
        <v>113.99962396814999</v>
      </c>
      <c r="AD70" s="2">
        <f t="shared" si="30"/>
        <v>0</v>
      </c>
      <c r="AE70" s="2">
        <f t="shared" si="31"/>
        <v>113.99962396814999</v>
      </c>
    </row>
    <row r="71" spans="1:31">
      <c r="A71" s="1" t="s">
        <v>7</v>
      </c>
      <c r="B71">
        <v>173</v>
      </c>
      <c r="C71" s="5">
        <v>100</v>
      </c>
      <c r="D71" s="5">
        <v>0.59259297540800004</v>
      </c>
      <c r="E71" s="11">
        <v>0</v>
      </c>
      <c r="F71" s="15">
        <v>0</v>
      </c>
      <c r="G71" s="15">
        <v>0</v>
      </c>
      <c r="H71" s="15">
        <v>0</v>
      </c>
      <c r="I71" s="15">
        <v>0</v>
      </c>
      <c r="J71" s="11">
        <v>0</v>
      </c>
      <c r="K71" s="15">
        <v>0</v>
      </c>
      <c r="L71" s="15">
        <v>0</v>
      </c>
      <c r="M71" s="15">
        <v>0</v>
      </c>
      <c r="N71" s="16">
        <v>0</v>
      </c>
      <c r="O71" s="2">
        <f t="shared" si="17"/>
        <v>0</v>
      </c>
      <c r="P71" s="2">
        <f t="shared" si="18"/>
        <v>0</v>
      </c>
      <c r="Q71" s="2">
        <f t="shared" si="19"/>
        <v>0</v>
      </c>
      <c r="S71" s="2">
        <f t="shared" si="32"/>
        <v>0</v>
      </c>
      <c r="T71" s="2">
        <f t="shared" si="20"/>
        <v>0</v>
      </c>
      <c r="U71" s="2">
        <f t="shared" si="21"/>
        <v>0</v>
      </c>
      <c r="V71" s="2">
        <f t="shared" si="22"/>
        <v>0</v>
      </c>
      <c r="W71" s="2">
        <f t="shared" si="23"/>
        <v>0</v>
      </c>
      <c r="X71" s="2">
        <f t="shared" si="24"/>
        <v>0</v>
      </c>
      <c r="Y71" s="2">
        <f t="shared" si="25"/>
        <v>0</v>
      </c>
      <c r="Z71" s="2">
        <f t="shared" si="26"/>
        <v>0</v>
      </c>
      <c r="AA71" s="2">
        <f t="shared" si="27"/>
        <v>0</v>
      </c>
      <c r="AB71" s="2">
        <f t="shared" si="28"/>
        <v>0</v>
      </c>
      <c r="AC71" s="2">
        <f t="shared" si="29"/>
        <v>0</v>
      </c>
      <c r="AD71" s="2">
        <f t="shared" si="30"/>
        <v>0</v>
      </c>
      <c r="AE71" s="2">
        <f t="shared" si="31"/>
        <v>0</v>
      </c>
    </row>
    <row r="72" spans="1:31">
      <c r="A72" s="1" t="s">
        <v>7</v>
      </c>
      <c r="B72">
        <v>174</v>
      </c>
      <c r="C72" s="5">
        <v>99.999896010200004</v>
      </c>
      <c r="D72" s="5">
        <v>5.1400490335200004</v>
      </c>
      <c r="E72" s="11">
        <v>5168.62554</v>
      </c>
      <c r="F72" s="15">
        <v>0</v>
      </c>
      <c r="G72" s="15">
        <v>0</v>
      </c>
      <c r="H72" s="15">
        <v>0</v>
      </c>
      <c r="I72" s="15">
        <v>0</v>
      </c>
      <c r="J72" s="11">
        <v>0</v>
      </c>
      <c r="K72" s="15">
        <v>0</v>
      </c>
      <c r="L72" s="15">
        <v>0</v>
      </c>
      <c r="M72" s="15">
        <v>0</v>
      </c>
      <c r="N72" s="16">
        <v>0</v>
      </c>
      <c r="O72" s="2">
        <f t="shared" si="17"/>
        <v>5168.62554</v>
      </c>
      <c r="P72" s="2">
        <f t="shared" si="18"/>
        <v>0</v>
      </c>
      <c r="Q72" s="2">
        <f t="shared" si="19"/>
        <v>5168.62554</v>
      </c>
      <c r="S72" s="2">
        <f t="shared" si="32"/>
        <v>5168.620165156638</v>
      </c>
      <c r="T72" s="2">
        <f t="shared" si="20"/>
        <v>0</v>
      </c>
      <c r="U72" s="2">
        <f t="shared" si="21"/>
        <v>0</v>
      </c>
      <c r="V72" s="2">
        <f t="shared" si="22"/>
        <v>0</v>
      </c>
      <c r="W72" s="2">
        <f t="shared" si="23"/>
        <v>0</v>
      </c>
      <c r="X72" s="2">
        <f t="shared" si="24"/>
        <v>0</v>
      </c>
      <c r="Y72" s="2">
        <f t="shared" si="25"/>
        <v>0</v>
      </c>
      <c r="Z72" s="2">
        <f t="shared" si="26"/>
        <v>0</v>
      </c>
      <c r="AA72" s="2">
        <f t="shared" si="27"/>
        <v>0</v>
      </c>
      <c r="AB72" s="2">
        <f t="shared" si="28"/>
        <v>0</v>
      </c>
      <c r="AC72" s="2">
        <f t="shared" si="29"/>
        <v>5168.620165156638</v>
      </c>
      <c r="AD72" s="2">
        <f t="shared" si="30"/>
        <v>0</v>
      </c>
      <c r="AE72" s="2">
        <f t="shared" si="31"/>
        <v>5168.620165156638</v>
      </c>
    </row>
    <row r="73" spans="1:31">
      <c r="A73" s="1" t="s">
        <v>7</v>
      </c>
      <c r="B73">
        <v>175</v>
      </c>
      <c r="C73" s="5">
        <v>99.987850268700001</v>
      </c>
      <c r="D73" s="5">
        <v>2.1243382498000001</v>
      </c>
      <c r="E73" s="11">
        <v>0</v>
      </c>
      <c r="F73" s="15">
        <v>0</v>
      </c>
      <c r="G73" s="15">
        <v>0</v>
      </c>
      <c r="H73" s="15">
        <v>0</v>
      </c>
      <c r="I73" s="15">
        <v>0</v>
      </c>
      <c r="J73" s="11">
        <v>0</v>
      </c>
      <c r="K73" s="15">
        <v>0</v>
      </c>
      <c r="L73" s="15">
        <v>0</v>
      </c>
      <c r="M73" s="15">
        <v>0</v>
      </c>
      <c r="N73" s="16">
        <v>0</v>
      </c>
      <c r="O73" s="2">
        <f t="shared" si="17"/>
        <v>0</v>
      </c>
      <c r="P73" s="2">
        <f t="shared" si="18"/>
        <v>0</v>
      </c>
      <c r="Q73" s="2">
        <f t="shared" si="19"/>
        <v>0</v>
      </c>
      <c r="S73" s="2">
        <f t="shared" si="32"/>
        <v>0</v>
      </c>
      <c r="T73" s="2">
        <f t="shared" si="20"/>
        <v>0</v>
      </c>
      <c r="U73" s="2">
        <f t="shared" si="21"/>
        <v>0</v>
      </c>
      <c r="V73" s="2">
        <f t="shared" si="22"/>
        <v>0</v>
      </c>
      <c r="W73" s="2">
        <f t="shared" si="23"/>
        <v>0</v>
      </c>
      <c r="X73" s="2">
        <f t="shared" si="24"/>
        <v>0</v>
      </c>
      <c r="Y73" s="2">
        <f t="shared" si="25"/>
        <v>0</v>
      </c>
      <c r="Z73" s="2">
        <f t="shared" si="26"/>
        <v>0</v>
      </c>
      <c r="AA73" s="2">
        <f t="shared" si="27"/>
        <v>0</v>
      </c>
      <c r="AB73" s="2">
        <f t="shared" si="28"/>
        <v>0</v>
      </c>
      <c r="AC73" s="2">
        <f t="shared" si="29"/>
        <v>0</v>
      </c>
      <c r="AD73" s="2">
        <f t="shared" si="30"/>
        <v>0</v>
      </c>
      <c r="AE73" s="2">
        <f t="shared" si="31"/>
        <v>0</v>
      </c>
    </row>
    <row r="74" spans="1:31">
      <c r="A74" s="1" t="s">
        <v>7</v>
      </c>
      <c r="B74">
        <v>256</v>
      </c>
      <c r="C74" s="5">
        <v>20.700104552799999</v>
      </c>
      <c r="D74" s="5">
        <v>1.3110505182300001</v>
      </c>
      <c r="E74" s="11">
        <v>0</v>
      </c>
      <c r="F74" s="15">
        <v>0</v>
      </c>
      <c r="G74" s="15">
        <v>0</v>
      </c>
      <c r="H74" s="15">
        <v>0</v>
      </c>
      <c r="I74" s="15">
        <v>0</v>
      </c>
      <c r="J74" s="11">
        <v>0</v>
      </c>
      <c r="K74" s="15">
        <v>0</v>
      </c>
      <c r="L74" s="15">
        <v>0</v>
      </c>
      <c r="M74" s="15">
        <v>0</v>
      </c>
      <c r="N74" s="16">
        <v>0</v>
      </c>
      <c r="O74" s="2">
        <f t="shared" si="17"/>
        <v>0</v>
      </c>
      <c r="P74" s="2">
        <f t="shared" si="18"/>
        <v>0</v>
      </c>
      <c r="Q74" s="2">
        <f t="shared" si="19"/>
        <v>0</v>
      </c>
      <c r="S74" s="2">
        <f t="shared" si="32"/>
        <v>0</v>
      </c>
      <c r="T74" s="2">
        <f t="shared" si="20"/>
        <v>0</v>
      </c>
      <c r="U74" s="2">
        <f t="shared" si="21"/>
        <v>0</v>
      </c>
      <c r="V74" s="2">
        <f t="shared" si="22"/>
        <v>0</v>
      </c>
      <c r="W74" s="2">
        <f t="shared" si="23"/>
        <v>0</v>
      </c>
      <c r="X74" s="2">
        <f t="shared" si="24"/>
        <v>0</v>
      </c>
      <c r="Y74" s="2">
        <f t="shared" si="25"/>
        <v>0</v>
      </c>
      <c r="Z74" s="2">
        <f t="shared" si="26"/>
        <v>0</v>
      </c>
      <c r="AA74" s="2">
        <f t="shared" si="27"/>
        <v>0</v>
      </c>
      <c r="AB74" s="2">
        <f t="shared" si="28"/>
        <v>0</v>
      </c>
      <c r="AC74" s="2">
        <f t="shared" si="29"/>
        <v>0</v>
      </c>
      <c r="AD74" s="2">
        <f t="shared" si="30"/>
        <v>0</v>
      </c>
      <c r="AE74" s="2">
        <f t="shared" si="31"/>
        <v>0</v>
      </c>
    </row>
    <row r="75" spans="1:31">
      <c r="A75" s="1" t="s">
        <v>8</v>
      </c>
      <c r="B75">
        <v>309</v>
      </c>
      <c r="C75" s="5">
        <v>99.999596210199996</v>
      </c>
      <c r="D75" s="5">
        <v>29.3812388192</v>
      </c>
      <c r="E75" s="11">
        <v>0</v>
      </c>
      <c r="F75" s="15">
        <v>0</v>
      </c>
      <c r="G75" s="15">
        <v>0</v>
      </c>
      <c r="H75" s="15">
        <v>0</v>
      </c>
      <c r="I75" s="15">
        <v>0</v>
      </c>
      <c r="J75" s="11">
        <v>0</v>
      </c>
      <c r="K75" s="15">
        <v>867.02729999999997</v>
      </c>
      <c r="L75" s="15">
        <v>0</v>
      </c>
      <c r="M75" s="15">
        <v>0</v>
      </c>
      <c r="N75" s="16">
        <v>0</v>
      </c>
      <c r="O75" s="2">
        <f t="shared" si="17"/>
        <v>0</v>
      </c>
      <c r="P75" s="2">
        <f t="shared" si="18"/>
        <v>867.02729999999997</v>
      </c>
      <c r="Q75" s="2">
        <f t="shared" si="19"/>
        <v>867.02729999999997</v>
      </c>
      <c r="S75" s="2">
        <f t="shared" si="32"/>
        <v>0</v>
      </c>
      <c r="T75" s="2">
        <f t="shared" si="20"/>
        <v>0</v>
      </c>
      <c r="U75" s="2">
        <f t="shared" si="21"/>
        <v>0</v>
      </c>
      <c r="V75" s="2">
        <f t="shared" si="22"/>
        <v>0</v>
      </c>
      <c r="W75" s="2">
        <f t="shared" si="23"/>
        <v>0</v>
      </c>
      <c r="X75" s="2">
        <f t="shared" si="24"/>
        <v>0</v>
      </c>
      <c r="Y75" s="2">
        <f t="shared" si="25"/>
        <v>867.02379903219935</v>
      </c>
      <c r="Z75" s="2">
        <f t="shared" si="26"/>
        <v>0</v>
      </c>
      <c r="AA75" s="2">
        <f t="shared" si="27"/>
        <v>0</v>
      </c>
      <c r="AB75" s="2">
        <f t="shared" si="28"/>
        <v>0</v>
      </c>
      <c r="AC75" s="2">
        <f t="shared" si="29"/>
        <v>0</v>
      </c>
      <c r="AD75" s="2">
        <f t="shared" si="30"/>
        <v>867.02379903219935</v>
      </c>
      <c r="AE75" s="2">
        <f t="shared" si="31"/>
        <v>867.02379903219935</v>
      </c>
    </row>
    <row r="76" spans="1:31">
      <c r="A76" s="1" t="s">
        <v>8</v>
      </c>
      <c r="B76">
        <v>310</v>
      </c>
      <c r="C76" s="5">
        <v>99.975659895700005</v>
      </c>
      <c r="D76" s="5">
        <v>3.8170045587199999</v>
      </c>
      <c r="E76" s="11">
        <v>0</v>
      </c>
      <c r="F76" s="15">
        <v>0</v>
      </c>
      <c r="G76" s="15">
        <v>0</v>
      </c>
      <c r="H76" s="15">
        <v>0</v>
      </c>
      <c r="I76" s="15">
        <v>0</v>
      </c>
      <c r="J76" s="11">
        <v>0</v>
      </c>
      <c r="K76" s="15">
        <v>2717.9229999999998</v>
      </c>
      <c r="L76" s="15">
        <v>0.6</v>
      </c>
      <c r="M76" s="15">
        <v>0</v>
      </c>
      <c r="N76" s="16">
        <v>0</v>
      </c>
      <c r="O76" s="2">
        <f t="shared" si="17"/>
        <v>0</v>
      </c>
      <c r="P76" s="2">
        <f t="shared" si="18"/>
        <v>2718.5229999999997</v>
      </c>
      <c r="Q76" s="2">
        <f t="shared" si="19"/>
        <v>2718.5229999999997</v>
      </c>
      <c r="S76" s="2">
        <f t="shared" si="32"/>
        <v>0</v>
      </c>
      <c r="T76" s="2">
        <f t="shared" si="20"/>
        <v>0</v>
      </c>
      <c r="U76" s="2">
        <f t="shared" si="21"/>
        <v>0</v>
      </c>
      <c r="V76" s="2">
        <f t="shared" si="22"/>
        <v>0</v>
      </c>
      <c r="W76" s="2">
        <f t="shared" si="23"/>
        <v>0</v>
      </c>
      <c r="X76" s="2">
        <f t="shared" si="24"/>
        <v>0</v>
      </c>
      <c r="Y76" s="2">
        <f t="shared" si="25"/>
        <v>2717.2614547070061</v>
      </c>
      <c r="Z76" s="2">
        <f t="shared" si="26"/>
        <v>0.59985395937420005</v>
      </c>
      <c r="AA76" s="2">
        <f t="shared" si="27"/>
        <v>0</v>
      </c>
      <c r="AB76" s="2">
        <f t="shared" si="28"/>
        <v>0</v>
      </c>
      <c r="AC76" s="2">
        <f t="shared" si="29"/>
        <v>0</v>
      </c>
      <c r="AD76" s="2">
        <f t="shared" si="30"/>
        <v>2717.8613086663804</v>
      </c>
      <c r="AE76" s="2">
        <f t="shared" si="31"/>
        <v>2717.8613086663804</v>
      </c>
    </row>
    <row r="77" spans="1:31">
      <c r="A77" s="1" t="s">
        <v>8</v>
      </c>
      <c r="B77">
        <v>311</v>
      </c>
      <c r="C77" s="5">
        <v>100</v>
      </c>
      <c r="D77" s="5">
        <v>18.305823016800002</v>
      </c>
      <c r="E77" s="11">
        <v>0</v>
      </c>
      <c r="F77" s="15">
        <v>0</v>
      </c>
      <c r="G77" s="15">
        <v>0</v>
      </c>
      <c r="H77" s="15">
        <v>0</v>
      </c>
      <c r="I77" s="15">
        <v>0</v>
      </c>
      <c r="J77" s="11">
        <v>0</v>
      </c>
      <c r="K77" s="15">
        <v>691.5136</v>
      </c>
      <c r="L77" s="15">
        <v>0</v>
      </c>
      <c r="M77" s="15">
        <v>0</v>
      </c>
      <c r="N77" s="16">
        <v>0</v>
      </c>
      <c r="O77" s="2">
        <f t="shared" si="17"/>
        <v>0</v>
      </c>
      <c r="P77" s="2">
        <f t="shared" si="18"/>
        <v>691.5136</v>
      </c>
      <c r="Q77" s="2">
        <f t="shared" si="19"/>
        <v>691.5136</v>
      </c>
      <c r="S77" s="2">
        <f t="shared" si="32"/>
        <v>0</v>
      </c>
      <c r="T77" s="2">
        <f t="shared" si="20"/>
        <v>0</v>
      </c>
      <c r="U77" s="2">
        <f t="shared" si="21"/>
        <v>0</v>
      </c>
      <c r="V77" s="2">
        <f t="shared" si="22"/>
        <v>0</v>
      </c>
      <c r="W77" s="2">
        <f t="shared" si="23"/>
        <v>0</v>
      </c>
      <c r="X77" s="2">
        <f t="shared" si="24"/>
        <v>0</v>
      </c>
      <c r="Y77" s="2">
        <f t="shared" si="25"/>
        <v>691.5136</v>
      </c>
      <c r="Z77" s="2">
        <f t="shared" si="26"/>
        <v>0</v>
      </c>
      <c r="AA77" s="2">
        <f t="shared" si="27"/>
        <v>0</v>
      </c>
      <c r="AB77" s="2">
        <f t="shared" si="28"/>
        <v>0</v>
      </c>
      <c r="AC77" s="2">
        <f t="shared" si="29"/>
        <v>0</v>
      </c>
      <c r="AD77" s="2">
        <f t="shared" si="30"/>
        <v>691.5136</v>
      </c>
      <c r="AE77" s="2">
        <f t="shared" si="31"/>
        <v>691.5136</v>
      </c>
    </row>
    <row r="78" spans="1:31">
      <c r="A78" s="1" t="s">
        <v>8</v>
      </c>
      <c r="B78">
        <v>312</v>
      </c>
      <c r="C78" s="5">
        <v>100</v>
      </c>
      <c r="D78" s="5">
        <v>19.9161167024</v>
      </c>
      <c r="E78" s="11">
        <v>0</v>
      </c>
      <c r="F78" s="15">
        <v>0</v>
      </c>
      <c r="G78" s="15">
        <v>0</v>
      </c>
      <c r="H78" s="15">
        <v>0</v>
      </c>
      <c r="I78" s="15">
        <v>0</v>
      </c>
      <c r="J78" s="11">
        <v>0</v>
      </c>
      <c r="K78" s="15">
        <v>0</v>
      </c>
      <c r="L78" s="15">
        <v>0</v>
      </c>
      <c r="M78" s="15">
        <v>0</v>
      </c>
      <c r="N78" s="16">
        <v>0</v>
      </c>
      <c r="O78" s="2">
        <f t="shared" si="17"/>
        <v>0</v>
      </c>
      <c r="P78" s="2">
        <f t="shared" si="18"/>
        <v>0</v>
      </c>
      <c r="Q78" s="2">
        <f t="shared" si="19"/>
        <v>0</v>
      </c>
      <c r="S78" s="2">
        <f t="shared" si="32"/>
        <v>0</v>
      </c>
      <c r="T78" s="2">
        <f t="shared" si="20"/>
        <v>0</v>
      </c>
      <c r="U78" s="2">
        <f t="shared" si="21"/>
        <v>0</v>
      </c>
      <c r="V78" s="2">
        <f t="shared" si="22"/>
        <v>0</v>
      </c>
      <c r="W78" s="2">
        <f t="shared" si="23"/>
        <v>0</v>
      </c>
      <c r="X78" s="2">
        <f t="shared" si="24"/>
        <v>0</v>
      </c>
      <c r="Y78" s="2">
        <f t="shared" si="25"/>
        <v>0</v>
      </c>
      <c r="Z78" s="2">
        <f t="shared" si="26"/>
        <v>0</v>
      </c>
      <c r="AA78" s="2">
        <f t="shared" si="27"/>
        <v>0</v>
      </c>
      <c r="AB78" s="2">
        <f t="shared" si="28"/>
        <v>0</v>
      </c>
      <c r="AC78" s="2">
        <f t="shared" si="29"/>
        <v>0</v>
      </c>
      <c r="AD78" s="2">
        <f t="shared" si="30"/>
        <v>0</v>
      </c>
      <c r="AE78" s="2">
        <f t="shared" si="31"/>
        <v>0</v>
      </c>
    </row>
    <row r="79" spans="1:31">
      <c r="A79" s="1" t="s">
        <v>8</v>
      </c>
      <c r="B79">
        <v>313</v>
      </c>
      <c r="C79" s="5">
        <v>100</v>
      </c>
      <c r="D79" s="5">
        <v>14.4406728501</v>
      </c>
      <c r="E79" s="11">
        <v>0</v>
      </c>
      <c r="F79" s="15">
        <v>0</v>
      </c>
      <c r="G79" s="15">
        <v>0</v>
      </c>
      <c r="H79" s="15">
        <v>0</v>
      </c>
      <c r="I79" s="15">
        <v>0</v>
      </c>
      <c r="J79" s="11">
        <v>0</v>
      </c>
      <c r="K79" s="15">
        <v>3101.4360000000001</v>
      </c>
      <c r="L79" s="15">
        <v>0</v>
      </c>
      <c r="M79" s="15">
        <v>0</v>
      </c>
      <c r="N79" s="16">
        <v>0</v>
      </c>
      <c r="O79" s="2">
        <f t="shared" si="17"/>
        <v>0</v>
      </c>
      <c r="P79" s="2">
        <f t="shared" si="18"/>
        <v>3101.4360000000001</v>
      </c>
      <c r="Q79" s="2">
        <f t="shared" si="19"/>
        <v>3101.4360000000001</v>
      </c>
      <c r="S79" s="2">
        <f t="shared" si="32"/>
        <v>0</v>
      </c>
      <c r="T79" s="2">
        <f t="shared" si="20"/>
        <v>0</v>
      </c>
      <c r="U79" s="2">
        <f t="shared" si="21"/>
        <v>0</v>
      </c>
      <c r="V79" s="2">
        <f t="shared" si="22"/>
        <v>0</v>
      </c>
      <c r="W79" s="2">
        <f t="shared" si="23"/>
        <v>0</v>
      </c>
      <c r="X79" s="2">
        <f t="shared" si="24"/>
        <v>0</v>
      </c>
      <c r="Y79" s="2">
        <f t="shared" si="25"/>
        <v>3101.4360000000001</v>
      </c>
      <c r="Z79" s="2">
        <f t="shared" si="26"/>
        <v>0</v>
      </c>
      <c r="AA79" s="2">
        <f t="shared" si="27"/>
        <v>0</v>
      </c>
      <c r="AB79" s="2">
        <f t="shared" si="28"/>
        <v>0</v>
      </c>
      <c r="AC79" s="2">
        <f t="shared" si="29"/>
        <v>0</v>
      </c>
      <c r="AD79" s="2">
        <f t="shared" si="30"/>
        <v>3101.4360000000001</v>
      </c>
      <c r="AE79" s="2">
        <f t="shared" si="31"/>
        <v>3101.4360000000001</v>
      </c>
    </row>
    <row r="80" spans="1:31">
      <c r="A80" s="1" t="s">
        <v>9</v>
      </c>
      <c r="B80">
        <v>144</v>
      </c>
      <c r="C80" s="5">
        <v>40.332677145799998</v>
      </c>
      <c r="D80" s="5">
        <v>7.4662018677799997</v>
      </c>
      <c r="E80" s="11">
        <v>100.8</v>
      </c>
      <c r="F80" s="15">
        <v>6.2</v>
      </c>
      <c r="G80" s="15">
        <v>0</v>
      </c>
      <c r="H80" s="15">
        <v>0</v>
      </c>
      <c r="I80" s="15">
        <v>0</v>
      </c>
      <c r="J80" s="11">
        <v>0</v>
      </c>
      <c r="K80" s="15">
        <v>0</v>
      </c>
      <c r="L80" s="15">
        <v>0</v>
      </c>
      <c r="M80" s="15">
        <v>0</v>
      </c>
      <c r="N80" s="16">
        <v>0</v>
      </c>
      <c r="O80" s="2">
        <f t="shared" si="17"/>
        <v>107</v>
      </c>
      <c r="P80" s="2">
        <f t="shared" si="18"/>
        <v>0</v>
      </c>
      <c r="Q80" s="2">
        <f t="shared" si="19"/>
        <v>107</v>
      </c>
      <c r="S80" s="2">
        <f t="shared" si="32"/>
        <v>40.655338562966399</v>
      </c>
      <c r="T80" s="2">
        <f t="shared" si="20"/>
        <v>2.5006259830395998</v>
      </c>
      <c r="U80" s="2">
        <f t="shared" si="21"/>
        <v>0</v>
      </c>
      <c r="V80" s="2">
        <f t="shared" si="22"/>
        <v>0</v>
      </c>
      <c r="W80" s="2">
        <f t="shared" si="23"/>
        <v>0</v>
      </c>
      <c r="X80" s="2">
        <f t="shared" si="24"/>
        <v>0</v>
      </c>
      <c r="Y80" s="2">
        <f t="shared" si="25"/>
        <v>0</v>
      </c>
      <c r="Z80" s="2">
        <f t="shared" si="26"/>
        <v>0</v>
      </c>
      <c r="AA80" s="2">
        <f t="shared" si="27"/>
        <v>0</v>
      </c>
      <c r="AB80" s="2">
        <f t="shared" si="28"/>
        <v>0</v>
      </c>
      <c r="AC80" s="2">
        <f t="shared" si="29"/>
        <v>43.155964546005997</v>
      </c>
      <c r="AD80" s="2">
        <f t="shared" si="30"/>
        <v>0</v>
      </c>
      <c r="AE80" s="2">
        <f t="shared" si="31"/>
        <v>43.155964546005997</v>
      </c>
    </row>
    <row r="81" spans="1:31">
      <c r="A81" s="1" t="s">
        <v>9</v>
      </c>
      <c r="B81">
        <v>184</v>
      </c>
      <c r="C81" s="5">
        <v>99.998051419500001</v>
      </c>
      <c r="D81" s="5">
        <v>7.4713249686400003</v>
      </c>
      <c r="E81" s="11">
        <v>0</v>
      </c>
      <c r="F81" s="15">
        <v>0</v>
      </c>
      <c r="G81" s="15">
        <v>0</v>
      </c>
      <c r="H81" s="15">
        <v>0</v>
      </c>
      <c r="I81" s="15">
        <v>0</v>
      </c>
      <c r="J81" s="11">
        <v>0</v>
      </c>
      <c r="K81" s="15">
        <v>0</v>
      </c>
      <c r="L81" s="15">
        <v>0</v>
      </c>
      <c r="M81" s="15">
        <v>0</v>
      </c>
      <c r="N81" s="16">
        <v>0</v>
      </c>
      <c r="O81" s="2">
        <f t="shared" si="17"/>
        <v>0</v>
      </c>
      <c r="P81" s="2">
        <f t="shared" si="18"/>
        <v>0</v>
      </c>
      <c r="Q81" s="2">
        <f t="shared" si="19"/>
        <v>0</v>
      </c>
      <c r="S81" s="2">
        <f t="shared" si="32"/>
        <v>0</v>
      </c>
      <c r="T81" s="2">
        <f t="shared" si="20"/>
        <v>0</v>
      </c>
      <c r="U81" s="2">
        <f t="shared" si="21"/>
        <v>0</v>
      </c>
      <c r="V81" s="2">
        <f t="shared" si="22"/>
        <v>0</v>
      </c>
      <c r="W81" s="2">
        <f t="shared" si="23"/>
        <v>0</v>
      </c>
      <c r="X81" s="2">
        <f t="shared" si="24"/>
        <v>0</v>
      </c>
      <c r="Y81" s="2">
        <f t="shared" si="25"/>
        <v>0</v>
      </c>
      <c r="Z81" s="2">
        <f t="shared" si="26"/>
        <v>0</v>
      </c>
      <c r="AA81" s="2">
        <f t="shared" si="27"/>
        <v>0</v>
      </c>
      <c r="AB81" s="2">
        <f t="shared" si="28"/>
        <v>0</v>
      </c>
      <c r="AC81" s="2">
        <f t="shared" si="29"/>
        <v>0</v>
      </c>
      <c r="AD81" s="2">
        <f t="shared" si="30"/>
        <v>0</v>
      </c>
      <c r="AE81" s="2">
        <f t="shared" si="31"/>
        <v>0</v>
      </c>
    </row>
    <row r="82" spans="1:31">
      <c r="A82" s="1" t="s">
        <v>9</v>
      </c>
      <c r="B82">
        <v>185</v>
      </c>
      <c r="C82" s="5">
        <v>99.999630424000003</v>
      </c>
      <c r="D82" s="5">
        <v>13.8779566699</v>
      </c>
      <c r="E82" s="11">
        <v>0</v>
      </c>
      <c r="F82" s="15">
        <v>0</v>
      </c>
      <c r="G82" s="15">
        <v>0</v>
      </c>
      <c r="H82" s="15">
        <v>0</v>
      </c>
      <c r="I82" s="15">
        <v>0</v>
      </c>
      <c r="J82" s="11">
        <v>0</v>
      </c>
      <c r="K82" s="15">
        <v>0</v>
      </c>
      <c r="L82" s="15">
        <v>0</v>
      </c>
      <c r="M82" s="15">
        <v>0</v>
      </c>
      <c r="N82" s="16">
        <v>0</v>
      </c>
      <c r="O82" s="2">
        <f t="shared" si="17"/>
        <v>0</v>
      </c>
      <c r="P82" s="2">
        <f t="shared" si="18"/>
        <v>0</v>
      </c>
      <c r="Q82" s="2">
        <f t="shared" si="19"/>
        <v>0</v>
      </c>
      <c r="S82" s="2">
        <f t="shared" si="32"/>
        <v>0</v>
      </c>
      <c r="T82" s="2">
        <f t="shared" si="20"/>
        <v>0</v>
      </c>
      <c r="U82" s="2">
        <f t="shared" si="21"/>
        <v>0</v>
      </c>
      <c r="V82" s="2">
        <f t="shared" si="22"/>
        <v>0</v>
      </c>
      <c r="W82" s="2">
        <f t="shared" si="23"/>
        <v>0</v>
      </c>
      <c r="X82" s="2">
        <f t="shared" si="24"/>
        <v>0</v>
      </c>
      <c r="Y82" s="2">
        <f t="shared" si="25"/>
        <v>0</v>
      </c>
      <c r="Z82" s="2">
        <f t="shared" si="26"/>
        <v>0</v>
      </c>
      <c r="AA82" s="2">
        <f t="shared" si="27"/>
        <v>0</v>
      </c>
      <c r="AB82" s="2">
        <f t="shared" si="28"/>
        <v>0</v>
      </c>
      <c r="AC82" s="2">
        <f t="shared" si="29"/>
        <v>0</v>
      </c>
      <c r="AD82" s="2">
        <f t="shared" si="30"/>
        <v>0</v>
      </c>
      <c r="AE82" s="2">
        <f t="shared" si="31"/>
        <v>0</v>
      </c>
    </row>
    <row r="83" spans="1:31">
      <c r="A83" s="1" t="s">
        <v>9</v>
      </c>
      <c r="B83">
        <v>186</v>
      </c>
      <c r="C83" s="5">
        <v>99.998113374400006</v>
      </c>
      <c r="D83" s="5">
        <v>6.7681041651299996</v>
      </c>
      <c r="E83" s="11">
        <v>0</v>
      </c>
      <c r="F83" s="15">
        <v>0</v>
      </c>
      <c r="G83" s="15">
        <v>0</v>
      </c>
      <c r="H83" s="15">
        <v>0</v>
      </c>
      <c r="I83" s="15">
        <v>0</v>
      </c>
      <c r="J83" s="11">
        <v>0</v>
      </c>
      <c r="K83" s="15">
        <v>0</v>
      </c>
      <c r="L83" s="15">
        <v>0</v>
      </c>
      <c r="M83" s="15">
        <v>0</v>
      </c>
      <c r="N83" s="16">
        <v>0</v>
      </c>
      <c r="O83" s="2">
        <f t="shared" si="17"/>
        <v>0</v>
      </c>
      <c r="P83" s="2">
        <f t="shared" si="18"/>
        <v>0</v>
      </c>
      <c r="Q83" s="2">
        <f t="shared" si="19"/>
        <v>0</v>
      </c>
      <c r="S83" s="2">
        <f t="shared" si="32"/>
        <v>0</v>
      </c>
      <c r="T83" s="2">
        <f t="shared" si="20"/>
        <v>0</v>
      </c>
      <c r="U83" s="2">
        <f t="shared" si="21"/>
        <v>0</v>
      </c>
      <c r="V83" s="2">
        <f t="shared" si="22"/>
        <v>0</v>
      </c>
      <c r="W83" s="2">
        <f t="shared" si="23"/>
        <v>0</v>
      </c>
      <c r="X83" s="2">
        <f t="shared" si="24"/>
        <v>0</v>
      </c>
      <c r="Y83" s="2">
        <f t="shared" si="25"/>
        <v>0</v>
      </c>
      <c r="Z83" s="2">
        <f t="shared" si="26"/>
        <v>0</v>
      </c>
      <c r="AA83" s="2">
        <f t="shared" si="27"/>
        <v>0</v>
      </c>
      <c r="AB83" s="2">
        <f t="shared" si="28"/>
        <v>0</v>
      </c>
      <c r="AC83" s="2">
        <f t="shared" si="29"/>
        <v>0</v>
      </c>
      <c r="AD83" s="2">
        <f t="shared" si="30"/>
        <v>0</v>
      </c>
      <c r="AE83" s="2">
        <f t="shared" si="31"/>
        <v>0</v>
      </c>
    </row>
    <row r="84" spans="1:31">
      <c r="A84" s="1" t="s">
        <v>9</v>
      </c>
      <c r="B84">
        <v>187</v>
      </c>
      <c r="C84" s="5">
        <v>15.7774495913</v>
      </c>
      <c r="D84" s="5">
        <v>1.89846662006</v>
      </c>
      <c r="E84" s="11">
        <v>0</v>
      </c>
      <c r="F84" s="15">
        <v>0</v>
      </c>
      <c r="G84" s="15">
        <v>0</v>
      </c>
      <c r="H84" s="15">
        <v>0</v>
      </c>
      <c r="I84" s="15">
        <v>0</v>
      </c>
      <c r="J84" s="11">
        <v>0</v>
      </c>
      <c r="K84" s="15">
        <v>0</v>
      </c>
      <c r="L84" s="15">
        <v>0</v>
      </c>
      <c r="M84" s="15">
        <v>0</v>
      </c>
      <c r="N84" s="16">
        <v>0</v>
      </c>
      <c r="O84" s="2">
        <f t="shared" si="17"/>
        <v>0</v>
      </c>
      <c r="P84" s="2">
        <f t="shared" si="18"/>
        <v>0</v>
      </c>
      <c r="Q84" s="2">
        <f t="shared" si="19"/>
        <v>0</v>
      </c>
      <c r="S84" s="2">
        <f t="shared" si="32"/>
        <v>0</v>
      </c>
      <c r="T84" s="2">
        <f t="shared" si="20"/>
        <v>0</v>
      </c>
      <c r="U84" s="2">
        <f t="shared" si="21"/>
        <v>0</v>
      </c>
      <c r="V84" s="2">
        <f t="shared" si="22"/>
        <v>0</v>
      </c>
      <c r="W84" s="2">
        <f t="shared" si="23"/>
        <v>0</v>
      </c>
      <c r="X84" s="2">
        <f t="shared" si="24"/>
        <v>0</v>
      </c>
      <c r="Y84" s="2">
        <f t="shared" si="25"/>
        <v>0</v>
      </c>
      <c r="Z84" s="2">
        <f t="shared" si="26"/>
        <v>0</v>
      </c>
      <c r="AA84" s="2">
        <f t="shared" si="27"/>
        <v>0</v>
      </c>
      <c r="AB84" s="2">
        <f t="shared" si="28"/>
        <v>0</v>
      </c>
      <c r="AC84" s="2">
        <f t="shared" si="29"/>
        <v>0</v>
      </c>
      <c r="AD84" s="2">
        <f t="shared" si="30"/>
        <v>0</v>
      </c>
      <c r="AE84" s="2">
        <f t="shared" si="31"/>
        <v>0</v>
      </c>
    </row>
    <row r="85" spans="1:31">
      <c r="A85" s="1" t="s">
        <v>9</v>
      </c>
      <c r="B85">
        <v>189</v>
      </c>
      <c r="C85" s="5">
        <v>100</v>
      </c>
      <c r="D85" s="5">
        <v>1.53501572128</v>
      </c>
      <c r="E85" s="11">
        <v>0</v>
      </c>
      <c r="F85" s="15">
        <v>0</v>
      </c>
      <c r="G85" s="15">
        <v>0</v>
      </c>
      <c r="H85" s="15">
        <v>0</v>
      </c>
      <c r="I85" s="15">
        <v>0</v>
      </c>
      <c r="J85" s="11">
        <v>0</v>
      </c>
      <c r="K85" s="15">
        <v>0</v>
      </c>
      <c r="L85" s="15">
        <v>0</v>
      </c>
      <c r="M85" s="15">
        <v>0</v>
      </c>
      <c r="N85" s="16">
        <v>0</v>
      </c>
      <c r="O85" s="2">
        <f t="shared" si="17"/>
        <v>0</v>
      </c>
      <c r="P85" s="2">
        <f t="shared" si="18"/>
        <v>0</v>
      </c>
      <c r="Q85" s="2">
        <f t="shared" si="19"/>
        <v>0</v>
      </c>
      <c r="S85" s="2">
        <f t="shared" si="32"/>
        <v>0</v>
      </c>
      <c r="T85" s="2">
        <f t="shared" si="20"/>
        <v>0</v>
      </c>
      <c r="U85" s="2">
        <f t="shared" si="21"/>
        <v>0</v>
      </c>
      <c r="V85" s="2">
        <f t="shared" si="22"/>
        <v>0</v>
      </c>
      <c r="W85" s="2">
        <f t="shared" si="23"/>
        <v>0</v>
      </c>
      <c r="X85" s="2">
        <f t="shared" si="24"/>
        <v>0</v>
      </c>
      <c r="Y85" s="2">
        <f t="shared" si="25"/>
        <v>0</v>
      </c>
      <c r="Z85" s="2">
        <f t="shared" si="26"/>
        <v>0</v>
      </c>
      <c r="AA85" s="2">
        <f t="shared" si="27"/>
        <v>0</v>
      </c>
      <c r="AB85" s="2">
        <f t="shared" si="28"/>
        <v>0</v>
      </c>
      <c r="AC85" s="2">
        <f t="shared" si="29"/>
        <v>0</v>
      </c>
      <c r="AD85" s="2">
        <f t="shared" si="30"/>
        <v>0</v>
      </c>
      <c r="AE85" s="2">
        <f t="shared" si="31"/>
        <v>0</v>
      </c>
    </row>
    <row r="86" spans="1:31">
      <c r="A86" s="1" t="s">
        <v>9</v>
      </c>
      <c r="B86">
        <v>190</v>
      </c>
      <c r="C86" s="5">
        <v>75.923054358599998</v>
      </c>
      <c r="D86" s="5">
        <v>3.49750045519</v>
      </c>
      <c r="E86" s="11">
        <v>0</v>
      </c>
      <c r="F86" s="15">
        <v>0</v>
      </c>
      <c r="G86" s="15">
        <v>0</v>
      </c>
      <c r="H86" s="15">
        <v>0</v>
      </c>
      <c r="I86" s="15">
        <v>0</v>
      </c>
      <c r="J86" s="11">
        <v>0</v>
      </c>
      <c r="K86" s="15">
        <v>0</v>
      </c>
      <c r="L86" s="15">
        <v>0</v>
      </c>
      <c r="M86" s="15">
        <v>0</v>
      </c>
      <c r="N86" s="16">
        <v>0</v>
      </c>
      <c r="O86" s="2">
        <f t="shared" si="17"/>
        <v>0</v>
      </c>
      <c r="P86" s="2">
        <f t="shared" si="18"/>
        <v>0</v>
      </c>
      <c r="Q86" s="2">
        <f t="shared" si="19"/>
        <v>0</v>
      </c>
      <c r="S86" s="2">
        <f t="shared" si="32"/>
        <v>0</v>
      </c>
      <c r="T86" s="2">
        <f t="shared" si="20"/>
        <v>0</v>
      </c>
      <c r="U86" s="2">
        <f t="shared" si="21"/>
        <v>0</v>
      </c>
      <c r="V86" s="2">
        <f t="shared" si="22"/>
        <v>0</v>
      </c>
      <c r="W86" s="2">
        <f t="shared" si="23"/>
        <v>0</v>
      </c>
      <c r="X86" s="2">
        <f t="shared" si="24"/>
        <v>0</v>
      </c>
      <c r="Y86" s="2">
        <f t="shared" si="25"/>
        <v>0</v>
      </c>
      <c r="Z86" s="2">
        <f t="shared" si="26"/>
        <v>0</v>
      </c>
      <c r="AA86" s="2">
        <f t="shared" si="27"/>
        <v>0</v>
      </c>
      <c r="AB86" s="2">
        <f t="shared" si="28"/>
        <v>0</v>
      </c>
      <c r="AC86" s="2">
        <f t="shared" si="29"/>
        <v>0</v>
      </c>
      <c r="AD86" s="2">
        <f t="shared" si="30"/>
        <v>0</v>
      </c>
      <c r="AE86" s="2">
        <f t="shared" si="31"/>
        <v>0</v>
      </c>
    </row>
    <row r="87" spans="1:31">
      <c r="A87" s="1" t="s">
        <v>9</v>
      </c>
      <c r="B87">
        <v>199</v>
      </c>
      <c r="C87" s="5">
        <v>13.2092868897</v>
      </c>
      <c r="D87" s="5">
        <v>0.90392437889599997</v>
      </c>
      <c r="E87" s="11">
        <v>0</v>
      </c>
      <c r="F87" s="15">
        <v>30.308299999999999</v>
      </c>
      <c r="G87" s="15">
        <v>0</v>
      </c>
      <c r="H87" s="15">
        <v>0</v>
      </c>
      <c r="I87" s="15">
        <v>0</v>
      </c>
      <c r="J87" s="11">
        <v>0</v>
      </c>
      <c r="K87" s="15">
        <v>0</v>
      </c>
      <c r="L87" s="15">
        <v>0</v>
      </c>
      <c r="M87" s="15">
        <v>0</v>
      </c>
      <c r="N87" s="16">
        <v>0</v>
      </c>
      <c r="O87" s="2">
        <f t="shared" si="17"/>
        <v>30.308299999999999</v>
      </c>
      <c r="P87" s="2">
        <f t="shared" si="18"/>
        <v>0</v>
      </c>
      <c r="Q87" s="2">
        <f t="shared" si="19"/>
        <v>30.308299999999999</v>
      </c>
      <c r="S87" s="2">
        <f t="shared" si="32"/>
        <v>0</v>
      </c>
      <c r="T87" s="2">
        <f t="shared" si="20"/>
        <v>4.0035102983909452</v>
      </c>
      <c r="U87" s="2">
        <f t="shared" si="21"/>
        <v>0</v>
      </c>
      <c r="V87" s="2">
        <f t="shared" si="22"/>
        <v>0</v>
      </c>
      <c r="W87" s="2">
        <f t="shared" si="23"/>
        <v>0</v>
      </c>
      <c r="X87" s="2">
        <f t="shared" si="24"/>
        <v>0</v>
      </c>
      <c r="Y87" s="2">
        <f t="shared" si="25"/>
        <v>0</v>
      </c>
      <c r="Z87" s="2">
        <f t="shared" si="26"/>
        <v>0</v>
      </c>
      <c r="AA87" s="2">
        <f t="shared" si="27"/>
        <v>0</v>
      </c>
      <c r="AB87" s="2">
        <f t="shared" si="28"/>
        <v>0</v>
      </c>
      <c r="AC87" s="2">
        <f t="shared" si="29"/>
        <v>4.0035102983909452</v>
      </c>
      <c r="AD87" s="2">
        <f t="shared" si="30"/>
        <v>0</v>
      </c>
      <c r="AE87" s="2">
        <f t="shared" si="31"/>
        <v>4.0035102983909452</v>
      </c>
    </row>
    <row r="88" spans="1:31">
      <c r="A88" s="1" t="s">
        <v>9</v>
      </c>
      <c r="B88">
        <v>200</v>
      </c>
      <c r="C88" s="5">
        <v>99.998602130600005</v>
      </c>
      <c r="D88" s="5">
        <v>6.2753482304599997</v>
      </c>
      <c r="E88" s="11">
        <v>0</v>
      </c>
      <c r="F88" s="15">
        <v>370.3</v>
      </c>
      <c r="G88" s="15">
        <v>0</v>
      </c>
      <c r="H88" s="15">
        <v>0</v>
      </c>
      <c r="I88" s="15">
        <v>0</v>
      </c>
      <c r="J88" s="11">
        <v>0</v>
      </c>
      <c r="K88" s="15">
        <v>0</v>
      </c>
      <c r="L88" s="15">
        <v>0</v>
      </c>
      <c r="M88" s="15">
        <v>0</v>
      </c>
      <c r="N88" s="16">
        <v>0</v>
      </c>
      <c r="O88" s="2">
        <f t="shared" si="17"/>
        <v>370.3</v>
      </c>
      <c r="P88" s="2">
        <f t="shared" si="18"/>
        <v>0</v>
      </c>
      <c r="Q88" s="2">
        <f t="shared" si="19"/>
        <v>370.3</v>
      </c>
      <c r="S88" s="2">
        <f t="shared" si="32"/>
        <v>0</v>
      </c>
      <c r="T88" s="2">
        <f t="shared" si="20"/>
        <v>370.2948236896118</v>
      </c>
      <c r="U88" s="2">
        <f t="shared" si="21"/>
        <v>0</v>
      </c>
      <c r="V88" s="2">
        <f t="shared" si="22"/>
        <v>0</v>
      </c>
      <c r="W88" s="2">
        <f t="shared" si="23"/>
        <v>0</v>
      </c>
      <c r="X88" s="2">
        <f t="shared" si="24"/>
        <v>0</v>
      </c>
      <c r="Y88" s="2">
        <f t="shared" si="25"/>
        <v>0</v>
      </c>
      <c r="Z88" s="2">
        <f t="shared" si="26"/>
        <v>0</v>
      </c>
      <c r="AA88" s="2">
        <f t="shared" si="27"/>
        <v>0</v>
      </c>
      <c r="AB88" s="2">
        <f t="shared" si="28"/>
        <v>0</v>
      </c>
      <c r="AC88" s="2">
        <f t="shared" si="29"/>
        <v>370.2948236896118</v>
      </c>
      <c r="AD88" s="2">
        <f t="shared" si="30"/>
        <v>0</v>
      </c>
      <c r="AE88" s="2">
        <f t="shared" si="31"/>
        <v>370.2948236896118</v>
      </c>
    </row>
    <row r="89" spans="1:31">
      <c r="A89" s="1" t="s">
        <v>9</v>
      </c>
      <c r="B89">
        <v>201</v>
      </c>
      <c r="C89" s="5">
        <v>100</v>
      </c>
      <c r="D89" s="5">
        <v>2.2315324683000002</v>
      </c>
      <c r="E89" s="11">
        <v>0</v>
      </c>
      <c r="F89" s="15">
        <v>1122.2999479999999</v>
      </c>
      <c r="G89" s="15">
        <v>0</v>
      </c>
      <c r="H89" s="15">
        <v>0</v>
      </c>
      <c r="I89" s="15">
        <v>0</v>
      </c>
      <c r="J89" s="11">
        <v>0</v>
      </c>
      <c r="K89" s="15">
        <v>0</v>
      </c>
      <c r="L89" s="15">
        <v>0</v>
      </c>
      <c r="M89" s="15">
        <v>0</v>
      </c>
      <c r="N89" s="16">
        <v>0</v>
      </c>
      <c r="O89" s="2">
        <f t="shared" si="17"/>
        <v>1122.2999479999999</v>
      </c>
      <c r="P89" s="2">
        <f t="shared" si="18"/>
        <v>0</v>
      </c>
      <c r="Q89" s="2">
        <f t="shared" si="19"/>
        <v>1122.2999479999999</v>
      </c>
      <c r="S89" s="2">
        <f t="shared" si="32"/>
        <v>0</v>
      </c>
      <c r="T89" s="2">
        <f t="shared" si="20"/>
        <v>1122.2999479999999</v>
      </c>
      <c r="U89" s="2">
        <f t="shared" si="21"/>
        <v>0</v>
      </c>
      <c r="V89" s="2">
        <f t="shared" si="22"/>
        <v>0</v>
      </c>
      <c r="W89" s="2">
        <f t="shared" si="23"/>
        <v>0</v>
      </c>
      <c r="X89" s="2">
        <f t="shared" si="24"/>
        <v>0</v>
      </c>
      <c r="Y89" s="2">
        <f t="shared" si="25"/>
        <v>0</v>
      </c>
      <c r="Z89" s="2">
        <f t="shared" si="26"/>
        <v>0</v>
      </c>
      <c r="AA89" s="2">
        <f t="shared" si="27"/>
        <v>0</v>
      </c>
      <c r="AB89" s="2">
        <f t="shared" si="28"/>
        <v>0</v>
      </c>
      <c r="AC89" s="2">
        <f t="shared" si="29"/>
        <v>1122.2999479999999</v>
      </c>
      <c r="AD89" s="2">
        <f t="shared" si="30"/>
        <v>0</v>
      </c>
      <c r="AE89" s="2">
        <f t="shared" si="31"/>
        <v>1122.2999479999999</v>
      </c>
    </row>
    <row r="90" spans="1:31">
      <c r="A90" s="1" t="s">
        <v>9</v>
      </c>
      <c r="B90">
        <v>202</v>
      </c>
      <c r="C90" s="5">
        <v>99.999985849699996</v>
      </c>
      <c r="D90" s="5">
        <v>9.3378355190600004</v>
      </c>
      <c r="E90" s="11">
        <v>4.6324860000000001</v>
      </c>
      <c r="F90" s="15">
        <v>0</v>
      </c>
      <c r="G90" s="15">
        <v>0</v>
      </c>
      <c r="H90" s="15">
        <v>0</v>
      </c>
      <c r="I90" s="15">
        <v>0</v>
      </c>
      <c r="J90" s="11">
        <v>0</v>
      </c>
      <c r="K90" s="15">
        <v>0</v>
      </c>
      <c r="L90" s="15">
        <v>0</v>
      </c>
      <c r="M90" s="15">
        <v>0</v>
      </c>
      <c r="N90" s="16">
        <v>0</v>
      </c>
      <c r="O90" s="2">
        <f t="shared" si="17"/>
        <v>4.6324860000000001</v>
      </c>
      <c r="P90" s="2">
        <f t="shared" si="18"/>
        <v>0</v>
      </c>
      <c r="Q90" s="2">
        <f t="shared" si="19"/>
        <v>4.6324860000000001</v>
      </c>
      <c r="S90" s="2">
        <f t="shared" si="32"/>
        <v>4.6324853444893339</v>
      </c>
      <c r="T90" s="2">
        <f t="shared" si="20"/>
        <v>0</v>
      </c>
      <c r="U90" s="2">
        <f t="shared" si="21"/>
        <v>0</v>
      </c>
      <c r="V90" s="2">
        <f t="shared" si="22"/>
        <v>0</v>
      </c>
      <c r="W90" s="2">
        <f t="shared" si="23"/>
        <v>0</v>
      </c>
      <c r="X90" s="2">
        <f t="shared" si="24"/>
        <v>0</v>
      </c>
      <c r="Y90" s="2">
        <f t="shared" si="25"/>
        <v>0</v>
      </c>
      <c r="Z90" s="2">
        <f t="shared" si="26"/>
        <v>0</v>
      </c>
      <c r="AA90" s="2">
        <f t="shared" si="27"/>
        <v>0</v>
      </c>
      <c r="AB90" s="2">
        <f t="shared" si="28"/>
        <v>0</v>
      </c>
      <c r="AC90" s="2">
        <f t="shared" si="29"/>
        <v>4.6324853444893339</v>
      </c>
      <c r="AD90" s="2">
        <f t="shared" si="30"/>
        <v>0</v>
      </c>
      <c r="AE90" s="2">
        <f t="shared" si="31"/>
        <v>4.6324853444893339</v>
      </c>
    </row>
    <row r="91" spans="1:31">
      <c r="A91" s="1" t="s">
        <v>9</v>
      </c>
      <c r="B91">
        <v>203</v>
      </c>
      <c r="C91" s="5">
        <v>99.997265921600004</v>
      </c>
      <c r="D91" s="5">
        <v>4.83368985167</v>
      </c>
      <c r="E91" s="11">
        <v>0</v>
      </c>
      <c r="F91" s="15">
        <v>177.8</v>
      </c>
      <c r="G91" s="15">
        <v>0</v>
      </c>
      <c r="H91" s="15">
        <v>0</v>
      </c>
      <c r="I91" s="15">
        <v>0</v>
      </c>
      <c r="J91" s="11">
        <v>0</v>
      </c>
      <c r="K91" s="15">
        <v>0</v>
      </c>
      <c r="L91" s="15">
        <v>0</v>
      </c>
      <c r="M91" s="15">
        <v>0</v>
      </c>
      <c r="N91" s="16">
        <v>0</v>
      </c>
      <c r="O91" s="2">
        <f t="shared" si="17"/>
        <v>177.8</v>
      </c>
      <c r="P91" s="2">
        <f t="shared" si="18"/>
        <v>0</v>
      </c>
      <c r="Q91" s="2">
        <f t="shared" si="19"/>
        <v>177.8</v>
      </c>
      <c r="S91" s="2">
        <f t="shared" si="32"/>
        <v>0</v>
      </c>
      <c r="T91" s="2">
        <f t="shared" si="20"/>
        <v>177.79513880860483</v>
      </c>
      <c r="U91" s="2">
        <f t="shared" si="21"/>
        <v>0</v>
      </c>
      <c r="V91" s="2">
        <f t="shared" si="22"/>
        <v>0</v>
      </c>
      <c r="W91" s="2">
        <f t="shared" si="23"/>
        <v>0</v>
      </c>
      <c r="X91" s="2">
        <f t="shared" si="24"/>
        <v>0</v>
      </c>
      <c r="Y91" s="2">
        <f t="shared" si="25"/>
        <v>0</v>
      </c>
      <c r="Z91" s="2">
        <f t="shared" si="26"/>
        <v>0</v>
      </c>
      <c r="AA91" s="2">
        <f t="shared" si="27"/>
        <v>0</v>
      </c>
      <c r="AB91" s="2">
        <f t="shared" si="28"/>
        <v>0</v>
      </c>
      <c r="AC91" s="2">
        <f t="shared" si="29"/>
        <v>177.79513880860483</v>
      </c>
      <c r="AD91" s="2">
        <f t="shared" si="30"/>
        <v>0</v>
      </c>
      <c r="AE91" s="2">
        <f t="shared" si="31"/>
        <v>177.79513880860483</v>
      </c>
    </row>
    <row r="92" spans="1:31">
      <c r="A92" s="1" t="s">
        <v>9</v>
      </c>
      <c r="B92">
        <v>204</v>
      </c>
      <c r="C92" s="5">
        <v>100</v>
      </c>
      <c r="D92" s="5">
        <v>2.3507092066799999</v>
      </c>
      <c r="E92" s="11">
        <v>0</v>
      </c>
      <c r="F92" s="15">
        <v>0</v>
      </c>
      <c r="G92" s="15">
        <v>0</v>
      </c>
      <c r="H92" s="15">
        <v>0</v>
      </c>
      <c r="I92" s="15">
        <v>0</v>
      </c>
      <c r="J92" s="11">
        <v>0</v>
      </c>
      <c r="K92" s="15">
        <v>0</v>
      </c>
      <c r="L92" s="15">
        <v>0</v>
      </c>
      <c r="M92" s="15">
        <v>0</v>
      </c>
      <c r="N92" s="16">
        <v>0</v>
      </c>
      <c r="O92" s="2">
        <f t="shared" si="17"/>
        <v>0</v>
      </c>
      <c r="P92" s="2">
        <f t="shared" si="18"/>
        <v>0</v>
      </c>
      <c r="Q92" s="2">
        <f t="shared" si="19"/>
        <v>0</v>
      </c>
      <c r="S92" s="2">
        <f t="shared" si="32"/>
        <v>0</v>
      </c>
      <c r="T92" s="2">
        <f t="shared" si="20"/>
        <v>0</v>
      </c>
      <c r="U92" s="2">
        <f t="shared" si="21"/>
        <v>0</v>
      </c>
      <c r="V92" s="2">
        <f t="shared" si="22"/>
        <v>0</v>
      </c>
      <c r="W92" s="2">
        <f t="shared" si="23"/>
        <v>0</v>
      </c>
      <c r="X92" s="2">
        <f t="shared" si="24"/>
        <v>0</v>
      </c>
      <c r="Y92" s="2">
        <f t="shared" si="25"/>
        <v>0</v>
      </c>
      <c r="Z92" s="2">
        <f t="shared" si="26"/>
        <v>0</v>
      </c>
      <c r="AA92" s="2">
        <f t="shared" si="27"/>
        <v>0</v>
      </c>
      <c r="AB92" s="2">
        <f t="shared" si="28"/>
        <v>0</v>
      </c>
      <c r="AC92" s="2">
        <f t="shared" si="29"/>
        <v>0</v>
      </c>
      <c r="AD92" s="2">
        <f t="shared" si="30"/>
        <v>0</v>
      </c>
      <c r="AE92" s="2">
        <f t="shared" si="31"/>
        <v>0</v>
      </c>
    </row>
    <row r="93" spans="1:31">
      <c r="A93" s="1" t="s">
        <v>9</v>
      </c>
      <c r="B93">
        <v>205</v>
      </c>
      <c r="C93" s="5">
        <v>99.995792607699997</v>
      </c>
      <c r="D93" s="5">
        <v>14.2187981519</v>
      </c>
      <c r="E93" s="11">
        <v>6666.6294540000008</v>
      </c>
      <c r="F93" s="15">
        <v>0</v>
      </c>
      <c r="G93" s="15">
        <v>0</v>
      </c>
      <c r="H93" s="15">
        <v>0</v>
      </c>
      <c r="I93" s="15">
        <v>0</v>
      </c>
      <c r="J93" s="11">
        <v>0</v>
      </c>
      <c r="K93" s="15">
        <v>0</v>
      </c>
      <c r="L93" s="15">
        <v>0</v>
      </c>
      <c r="M93" s="15">
        <v>0</v>
      </c>
      <c r="N93" s="16">
        <v>0</v>
      </c>
      <c r="O93" s="2">
        <f t="shared" si="17"/>
        <v>6666.6294540000008</v>
      </c>
      <c r="P93" s="2">
        <f t="shared" si="18"/>
        <v>0</v>
      </c>
      <c r="Q93" s="2">
        <f t="shared" si="19"/>
        <v>6666.6294540000008</v>
      </c>
      <c r="S93" s="2">
        <f t="shared" si="32"/>
        <v>6666.3489627456838</v>
      </c>
      <c r="T93" s="2">
        <f t="shared" si="20"/>
        <v>0</v>
      </c>
      <c r="U93" s="2">
        <f t="shared" si="21"/>
        <v>0</v>
      </c>
      <c r="V93" s="2">
        <f t="shared" si="22"/>
        <v>0</v>
      </c>
      <c r="W93" s="2">
        <f t="shared" si="23"/>
        <v>0</v>
      </c>
      <c r="X93" s="2">
        <f t="shared" si="24"/>
        <v>0</v>
      </c>
      <c r="Y93" s="2">
        <f t="shared" si="25"/>
        <v>0</v>
      </c>
      <c r="Z93" s="2">
        <f t="shared" si="26"/>
        <v>0</v>
      </c>
      <c r="AA93" s="2">
        <f t="shared" si="27"/>
        <v>0</v>
      </c>
      <c r="AB93" s="2">
        <f t="shared" si="28"/>
        <v>0</v>
      </c>
      <c r="AC93" s="2">
        <f t="shared" si="29"/>
        <v>6666.3489627456838</v>
      </c>
      <c r="AD93" s="2">
        <f t="shared" si="30"/>
        <v>0</v>
      </c>
      <c r="AE93" s="2">
        <f t="shared" si="31"/>
        <v>6666.3489627456838</v>
      </c>
    </row>
    <row r="94" spans="1:31">
      <c r="A94" s="1" t="s">
        <v>9</v>
      </c>
      <c r="B94">
        <v>207</v>
      </c>
      <c r="C94" s="5">
        <v>28.834008765899998</v>
      </c>
      <c r="D94" s="5">
        <v>1.35709356178</v>
      </c>
      <c r="E94" s="11">
        <v>37.799999999999997</v>
      </c>
      <c r="F94" s="15">
        <v>12.6</v>
      </c>
      <c r="G94" s="15">
        <v>0</v>
      </c>
      <c r="H94" s="15">
        <v>0</v>
      </c>
      <c r="I94" s="15">
        <v>0</v>
      </c>
      <c r="J94" s="11">
        <v>0</v>
      </c>
      <c r="K94" s="15">
        <v>0</v>
      </c>
      <c r="L94" s="15">
        <v>0</v>
      </c>
      <c r="M94" s="15">
        <v>0</v>
      </c>
      <c r="N94" s="16">
        <v>0</v>
      </c>
      <c r="O94" s="2">
        <f t="shared" si="17"/>
        <v>50.4</v>
      </c>
      <c r="P94" s="2">
        <f t="shared" si="18"/>
        <v>0</v>
      </c>
      <c r="Q94" s="2">
        <f t="shared" si="19"/>
        <v>50.4</v>
      </c>
      <c r="S94" s="2">
        <f t="shared" si="32"/>
        <v>10.899255313510197</v>
      </c>
      <c r="T94" s="2">
        <f t="shared" si="20"/>
        <v>3.6330851045033996</v>
      </c>
      <c r="U94" s="2">
        <f t="shared" si="21"/>
        <v>0</v>
      </c>
      <c r="V94" s="2">
        <f t="shared" si="22"/>
        <v>0</v>
      </c>
      <c r="W94" s="2">
        <f t="shared" si="23"/>
        <v>0</v>
      </c>
      <c r="X94" s="2">
        <f t="shared" si="24"/>
        <v>0</v>
      </c>
      <c r="Y94" s="2">
        <f t="shared" si="25"/>
        <v>0</v>
      </c>
      <c r="Z94" s="2">
        <f t="shared" si="26"/>
        <v>0</v>
      </c>
      <c r="AA94" s="2">
        <f t="shared" si="27"/>
        <v>0</v>
      </c>
      <c r="AB94" s="2">
        <f t="shared" si="28"/>
        <v>0</v>
      </c>
      <c r="AC94" s="2">
        <f t="shared" si="29"/>
        <v>14.532340418013598</v>
      </c>
      <c r="AD94" s="2">
        <f t="shared" si="30"/>
        <v>0</v>
      </c>
      <c r="AE94" s="2">
        <f t="shared" si="31"/>
        <v>14.532340418013598</v>
      </c>
    </row>
    <row r="95" spans="1:31">
      <c r="A95" s="1" t="s">
        <v>9</v>
      </c>
      <c r="B95">
        <v>208</v>
      </c>
      <c r="C95" s="5">
        <v>100</v>
      </c>
      <c r="D95" s="5">
        <v>3.3952001547999999</v>
      </c>
      <c r="E95" s="11">
        <v>46.700890000000001</v>
      </c>
      <c r="F95" s="15">
        <v>351.9</v>
      </c>
      <c r="G95" s="15">
        <v>0</v>
      </c>
      <c r="H95" s="15">
        <v>0</v>
      </c>
      <c r="I95" s="15">
        <v>0</v>
      </c>
      <c r="J95" s="11">
        <v>0</v>
      </c>
      <c r="K95" s="15">
        <v>0</v>
      </c>
      <c r="L95" s="15">
        <v>0</v>
      </c>
      <c r="M95" s="15">
        <v>0</v>
      </c>
      <c r="N95" s="16">
        <v>0</v>
      </c>
      <c r="O95" s="2">
        <f t="shared" si="17"/>
        <v>398.60088999999999</v>
      </c>
      <c r="P95" s="2">
        <f t="shared" si="18"/>
        <v>0</v>
      </c>
      <c r="Q95" s="2">
        <f t="shared" si="19"/>
        <v>398.60088999999999</v>
      </c>
      <c r="S95" s="2">
        <f t="shared" si="32"/>
        <v>46.700890000000001</v>
      </c>
      <c r="T95" s="2">
        <f t="shared" si="20"/>
        <v>351.9</v>
      </c>
      <c r="U95" s="2">
        <f t="shared" si="21"/>
        <v>0</v>
      </c>
      <c r="V95" s="2">
        <f t="shared" si="22"/>
        <v>0</v>
      </c>
      <c r="W95" s="2">
        <f t="shared" si="23"/>
        <v>0</v>
      </c>
      <c r="X95" s="2">
        <f t="shared" si="24"/>
        <v>0</v>
      </c>
      <c r="Y95" s="2">
        <f t="shared" si="25"/>
        <v>0</v>
      </c>
      <c r="Z95" s="2">
        <f t="shared" si="26"/>
        <v>0</v>
      </c>
      <c r="AA95" s="2">
        <f t="shared" si="27"/>
        <v>0</v>
      </c>
      <c r="AB95" s="2">
        <f t="shared" si="28"/>
        <v>0</v>
      </c>
      <c r="AC95" s="2">
        <f t="shared" si="29"/>
        <v>398.60088999999999</v>
      </c>
      <c r="AD95" s="2">
        <f t="shared" si="30"/>
        <v>0</v>
      </c>
      <c r="AE95" s="2">
        <f t="shared" si="31"/>
        <v>398.60088999999999</v>
      </c>
    </row>
    <row r="96" spans="1:31">
      <c r="A96" s="1" t="s">
        <v>9</v>
      </c>
      <c r="B96">
        <v>209</v>
      </c>
      <c r="C96" s="5">
        <v>72.903930847799998</v>
      </c>
      <c r="D96" s="5">
        <v>3.9044304794600002</v>
      </c>
      <c r="E96" s="11">
        <v>3470.5210299999999</v>
      </c>
      <c r="F96" s="15">
        <v>19</v>
      </c>
      <c r="G96" s="15">
        <v>0</v>
      </c>
      <c r="H96" s="15">
        <v>0</v>
      </c>
      <c r="I96" s="15">
        <v>0</v>
      </c>
      <c r="J96" s="11">
        <v>0</v>
      </c>
      <c r="K96" s="15">
        <v>0</v>
      </c>
      <c r="L96" s="15">
        <v>0</v>
      </c>
      <c r="M96" s="15">
        <v>0</v>
      </c>
      <c r="N96" s="16">
        <v>0</v>
      </c>
      <c r="O96" s="2">
        <f t="shared" si="17"/>
        <v>3489.5210299999999</v>
      </c>
      <c r="P96" s="2">
        <f t="shared" si="18"/>
        <v>0</v>
      </c>
      <c r="Q96" s="2">
        <f t="shared" si="19"/>
        <v>3489.5210299999999</v>
      </c>
      <c r="S96" s="2">
        <f t="shared" si="32"/>
        <v>2530.1462517695563</v>
      </c>
      <c r="T96" s="2">
        <f t="shared" si="20"/>
        <v>13.851746861081999</v>
      </c>
      <c r="U96" s="2">
        <f t="shared" si="21"/>
        <v>0</v>
      </c>
      <c r="V96" s="2">
        <f t="shared" si="22"/>
        <v>0</v>
      </c>
      <c r="W96" s="2">
        <f t="shared" si="23"/>
        <v>0</v>
      </c>
      <c r="X96" s="2">
        <f t="shared" si="24"/>
        <v>0</v>
      </c>
      <c r="Y96" s="2">
        <f t="shared" si="25"/>
        <v>0</v>
      </c>
      <c r="Z96" s="2">
        <f t="shared" si="26"/>
        <v>0</v>
      </c>
      <c r="AA96" s="2">
        <f t="shared" si="27"/>
        <v>0</v>
      </c>
      <c r="AB96" s="2">
        <f t="shared" si="28"/>
        <v>0</v>
      </c>
      <c r="AC96" s="2">
        <f t="shared" si="29"/>
        <v>2543.997998630638</v>
      </c>
      <c r="AD96" s="2">
        <f t="shared" si="30"/>
        <v>0</v>
      </c>
      <c r="AE96" s="2">
        <f t="shared" si="31"/>
        <v>2543.997998630638</v>
      </c>
    </row>
    <row r="97" spans="1:31">
      <c r="A97" s="1" t="s">
        <v>9</v>
      </c>
      <c r="B97">
        <v>210</v>
      </c>
      <c r="C97" s="5">
        <v>99.996485286999999</v>
      </c>
      <c r="D97" s="5">
        <v>8.6752376225300001</v>
      </c>
      <c r="E97" s="11">
        <v>2357.2327999999998</v>
      </c>
      <c r="F97" s="15">
        <v>10</v>
      </c>
      <c r="G97" s="15">
        <v>0</v>
      </c>
      <c r="H97" s="15">
        <v>0</v>
      </c>
      <c r="I97" s="15">
        <v>0</v>
      </c>
      <c r="J97" s="11">
        <v>0</v>
      </c>
      <c r="K97" s="15">
        <v>0</v>
      </c>
      <c r="L97" s="15">
        <v>0</v>
      </c>
      <c r="M97" s="15">
        <v>0</v>
      </c>
      <c r="N97" s="16">
        <v>0</v>
      </c>
      <c r="O97" s="2">
        <f t="shared" si="17"/>
        <v>2367.2327999999998</v>
      </c>
      <c r="P97" s="2">
        <f t="shared" si="18"/>
        <v>0</v>
      </c>
      <c r="Q97" s="2">
        <f t="shared" si="19"/>
        <v>2367.2327999999998</v>
      </c>
      <c r="S97" s="2">
        <f t="shared" si="32"/>
        <v>2357.149950032338</v>
      </c>
      <c r="T97" s="2">
        <f t="shared" si="20"/>
        <v>9.9996485286999999</v>
      </c>
      <c r="U97" s="2">
        <f t="shared" si="21"/>
        <v>0</v>
      </c>
      <c r="V97" s="2">
        <f t="shared" si="22"/>
        <v>0</v>
      </c>
      <c r="W97" s="2">
        <f t="shared" si="23"/>
        <v>0</v>
      </c>
      <c r="X97" s="2">
        <f t="shared" si="24"/>
        <v>0</v>
      </c>
      <c r="Y97" s="2">
        <f t="shared" si="25"/>
        <v>0</v>
      </c>
      <c r="Z97" s="2">
        <f t="shared" si="26"/>
        <v>0</v>
      </c>
      <c r="AA97" s="2">
        <f t="shared" si="27"/>
        <v>0</v>
      </c>
      <c r="AB97" s="2">
        <f t="shared" si="28"/>
        <v>0</v>
      </c>
      <c r="AC97" s="2">
        <f t="shared" si="29"/>
        <v>2367.1495985610377</v>
      </c>
      <c r="AD97" s="2">
        <f t="shared" si="30"/>
        <v>0</v>
      </c>
      <c r="AE97" s="2">
        <f t="shared" si="31"/>
        <v>2367.1495985610377</v>
      </c>
    </row>
    <row r="98" spans="1:31">
      <c r="A98" s="1" t="s">
        <v>10</v>
      </c>
      <c r="B98">
        <v>342</v>
      </c>
      <c r="C98" s="5">
        <v>99.998275091799997</v>
      </c>
      <c r="D98" s="5">
        <v>42.496149191199997</v>
      </c>
      <c r="E98" s="11">
        <v>0</v>
      </c>
      <c r="F98" s="15">
        <v>0</v>
      </c>
      <c r="G98" s="15">
        <v>0</v>
      </c>
      <c r="H98" s="15">
        <v>0</v>
      </c>
      <c r="I98" s="15">
        <v>0</v>
      </c>
      <c r="J98" s="11">
        <v>0</v>
      </c>
      <c r="K98" s="15">
        <v>0</v>
      </c>
      <c r="L98" s="15">
        <v>49.65945</v>
      </c>
      <c r="M98" s="15">
        <v>2641.9998999999998</v>
      </c>
      <c r="N98" s="16">
        <v>0</v>
      </c>
      <c r="O98" s="2">
        <f t="shared" si="17"/>
        <v>0</v>
      </c>
      <c r="P98" s="2">
        <f t="shared" si="18"/>
        <v>2691.6593499999999</v>
      </c>
      <c r="Q98" s="2">
        <f t="shared" si="19"/>
        <v>2691.6593499999999</v>
      </c>
      <c r="S98" s="2">
        <f t="shared" si="32"/>
        <v>0</v>
      </c>
      <c r="T98" s="2">
        <f t="shared" si="20"/>
        <v>0</v>
      </c>
      <c r="U98" s="2">
        <f t="shared" si="21"/>
        <v>0</v>
      </c>
      <c r="V98" s="2">
        <f t="shared" si="22"/>
        <v>0</v>
      </c>
      <c r="W98" s="2">
        <f t="shared" si="23"/>
        <v>0</v>
      </c>
      <c r="X98" s="2">
        <f t="shared" si="24"/>
        <v>0</v>
      </c>
      <c r="Y98" s="2">
        <f t="shared" si="25"/>
        <v>0</v>
      </c>
      <c r="Z98" s="2">
        <f t="shared" si="26"/>
        <v>49.65859342007488</v>
      </c>
      <c r="AA98" s="2">
        <f t="shared" si="27"/>
        <v>2641.9543279270806</v>
      </c>
      <c r="AB98" s="2">
        <f t="shared" si="28"/>
        <v>0</v>
      </c>
      <c r="AC98" s="2">
        <f t="shared" si="29"/>
        <v>0</v>
      </c>
      <c r="AD98" s="2">
        <f t="shared" si="30"/>
        <v>2691.6129213471554</v>
      </c>
      <c r="AE98" s="2">
        <f t="shared" si="31"/>
        <v>2691.6129213471554</v>
      </c>
    </row>
    <row r="99" spans="1:31">
      <c r="A99" s="1" t="s">
        <v>11</v>
      </c>
      <c r="B99">
        <v>314</v>
      </c>
      <c r="C99" s="5">
        <v>100</v>
      </c>
      <c r="D99" s="5">
        <v>2.87824835769</v>
      </c>
      <c r="E99" s="11">
        <v>661.89994999999999</v>
      </c>
      <c r="F99" s="15">
        <v>123.00004</v>
      </c>
      <c r="G99" s="15">
        <v>2</v>
      </c>
      <c r="H99" s="15">
        <v>0</v>
      </c>
      <c r="I99" s="15">
        <v>0</v>
      </c>
      <c r="J99" s="11">
        <v>0</v>
      </c>
      <c r="K99" s="15">
        <v>0</v>
      </c>
      <c r="L99" s="15">
        <v>0</v>
      </c>
      <c r="M99" s="15">
        <v>3060.384955</v>
      </c>
      <c r="N99" s="16">
        <v>0</v>
      </c>
      <c r="O99" s="2">
        <f t="shared" si="17"/>
        <v>786.89999</v>
      </c>
      <c r="P99" s="2">
        <f t="shared" si="18"/>
        <v>3060.384955</v>
      </c>
      <c r="Q99" s="2">
        <f t="shared" si="19"/>
        <v>3847.2849449999999</v>
      </c>
      <c r="S99" s="2">
        <f t="shared" si="32"/>
        <v>661.89994999999999</v>
      </c>
      <c r="T99" s="2">
        <f t="shared" si="20"/>
        <v>123.00003999999998</v>
      </c>
      <c r="U99" s="2">
        <f t="shared" si="21"/>
        <v>2</v>
      </c>
      <c r="V99" s="2">
        <f t="shared" si="22"/>
        <v>0</v>
      </c>
      <c r="W99" s="2">
        <f t="shared" si="23"/>
        <v>0</v>
      </c>
      <c r="X99" s="2">
        <f t="shared" si="24"/>
        <v>0</v>
      </c>
      <c r="Y99" s="2">
        <f t="shared" si="25"/>
        <v>0</v>
      </c>
      <c r="Z99" s="2">
        <f t="shared" si="26"/>
        <v>0</v>
      </c>
      <c r="AA99" s="2">
        <f t="shared" si="27"/>
        <v>3060.384955</v>
      </c>
      <c r="AB99" s="2">
        <f t="shared" si="28"/>
        <v>0</v>
      </c>
      <c r="AC99" s="2">
        <f t="shared" si="29"/>
        <v>786.89999</v>
      </c>
      <c r="AD99" s="2">
        <f t="shared" si="30"/>
        <v>3060.384955</v>
      </c>
      <c r="AE99" s="2">
        <f t="shared" si="31"/>
        <v>3847.2849449999999</v>
      </c>
    </row>
    <row r="100" spans="1:31">
      <c r="A100" s="1" t="s">
        <v>11</v>
      </c>
      <c r="B100">
        <v>315</v>
      </c>
      <c r="C100" s="5">
        <v>100</v>
      </c>
      <c r="D100" s="5">
        <v>5.7498480576400004</v>
      </c>
      <c r="E100" s="11">
        <v>0</v>
      </c>
      <c r="F100" s="15">
        <v>9.8000000000000007</v>
      </c>
      <c r="G100" s="15">
        <v>0</v>
      </c>
      <c r="H100" s="15">
        <v>0</v>
      </c>
      <c r="I100" s="15">
        <v>0</v>
      </c>
      <c r="J100" s="11">
        <v>0</v>
      </c>
      <c r="K100" s="15">
        <v>0</v>
      </c>
      <c r="L100" s="15">
        <v>0</v>
      </c>
      <c r="M100" s="15">
        <v>1273.5999899999999</v>
      </c>
      <c r="N100" s="16">
        <v>0</v>
      </c>
      <c r="O100" s="2">
        <f t="shared" si="17"/>
        <v>9.8000000000000007</v>
      </c>
      <c r="P100" s="2">
        <f t="shared" si="18"/>
        <v>1273.5999899999999</v>
      </c>
      <c r="Q100" s="2">
        <f t="shared" si="19"/>
        <v>1283.3999899999999</v>
      </c>
      <c r="S100" s="2">
        <f t="shared" si="32"/>
        <v>0</v>
      </c>
      <c r="T100" s="2">
        <f t="shared" si="20"/>
        <v>9.8000000000000007</v>
      </c>
      <c r="U100" s="2">
        <f t="shared" si="21"/>
        <v>0</v>
      </c>
      <c r="V100" s="2">
        <f t="shared" si="22"/>
        <v>0</v>
      </c>
      <c r="W100" s="2">
        <f t="shared" si="23"/>
        <v>0</v>
      </c>
      <c r="X100" s="2">
        <f t="shared" si="24"/>
        <v>0</v>
      </c>
      <c r="Y100" s="2">
        <f t="shared" si="25"/>
        <v>0</v>
      </c>
      <c r="Z100" s="2">
        <f t="shared" si="26"/>
        <v>0</v>
      </c>
      <c r="AA100" s="2">
        <f t="shared" si="27"/>
        <v>1273.5999899999999</v>
      </c>
      <c r="AB100" s="2">
        <f t="shared" si="28"/>
        <v>0</v>
      </c>
      <c r="AC100" s="2">
        <f t="shared" si="29"/>
        <v>9.8000000000000007</v>
      </c>
      <c r="AD100" s="2">
        <f t="shared" si="30"/>
        <v>1273.5999899999999</v>
      </c>
      <c r="AE100" s="2">
        <f t="shared" si="31"/>
        <v>1283.3999899999999</v>
      </c>
    </row>
    <row r="101" spans="1:31">
      <c r="A101" s="1" t="s">
        <v>11</v>
      </c>
      <c r="B101">
        <v>316</v>
      </c>
      <c r="C101" s="5">
        <v>100</v>
      </c>
      <c r="D101" s="5">
        <v>8.9751977636499998</v>
      </c>
      <c r="E101" s="11">
        <v>1026.0999400000001</v>
      </c>
      <c r="F101" s="15">
        <v>23.4</v>
      </c>
      <c r="G101" s="15">
        <v>0</v>
      </c>
      <c r="H101" s="15">
        <v>0</v>
      </c>
      <c r="I101" s="15">
        <v>0</v>
      </c>
      <c r="J101" s="11">
        <v>0</v>
      </c>
      <c r="K101" s="15">
        <v>0</v>
      </c>
      <c r="L101" s="15">
        <v>0</v>
      </c>
      <c r="M101" s="15">
        <v>0</v>
      </c>
      <c r="N101" s="16">
        <v>0</v>
      </c>
      <c r="O101" s="2">
        <f t="shared" si="17"/>
        <v>1049.4999400000002</v>
      </c>
      <c r="P101" s="2">
        <f t="shared" si="18"/>
        <v>0</v>
      </c>
      <c r="Q101" s="2">
        <f t="shared" si="19"/>
        <v>1049.4999400000002</v>
      </c>
      <c r="S101" s="2">
        <f t="shared" si="32"/>
        <v>1026.0999400000001</v>
      </c>
      <c r="T101" s="2">
        <f t="shared" si="20"/>
        <v>23.4</v>
      </c>
      <c r="U101" s="2">
        <f t="shared" si="21"/>
        <v>0</v>
      </c>
      <c r="V101" s="2">
        <f t="shared" si="22"/>
        <v>0</v>
      </c>
      <c r="W101" s="2">
        <f t="shared" si="23"/>
        <v>0</v>
      </c>
      <c r="X101" s="2">
        <f t="shared" si="24"/>
        <v>0</v>
      </c>
      <c r="Y101" s="2">
        <f t="shared" si="25"/>
        <v>0</v>
      </c>
      <c r="Z101" s="2">
        <f t="shared" si="26"/>
        <v>0</v>
      </c>
      <c r="AA101" s="2">
        <f t="shared" si="27"/>
        <v>0</v>
      </c>
      <c r="AB101" s="2">
        <f t="shared" si="28"/>
        <v>0</v>
      </c>
      <c r="AC101" s="2">
        <f t="shared" si="29"/>
        <v>1049.4999400000002</v>
      </c>
      <c r="AD101" s="2">
        <f t="shared" si="30"/>
        <v>0</v>
      </c>
      <c r="AE101" s="2">
        <f t="shared" si="31"/>
        <v>1049.4999400000002</v>
      </c>
    </row>
    <row r="102" spans="1:31">
      <c r="A102" s="1" t="s">
        <v>11</v>
      </c>
      <c r="B102">
        <v>317</v>
      </c>
      <c r="C102" s="5">
        <v>7.42430942864</v>
      </c>
      <c r="D102" s="5">
        <v>1.7682982378100001</v>
      </c>
      <c r="E102" s="11">
        <v>0</v>
      </c>
      <c r="F102" s="15">
        <v>0</v>
      </c>
      <c r="G102" s="15">
        <v>0</v>
      </c>
      <c r="H102" s="15">
        <v>0</v>
      </c>
      <c r="I102" s="15">
        <v>0</v>
      </c>
      <c r="J102" s="11">
        <v>0</v>
      </c>
      <c r="K102" s="15">
        <v>0</v>
      </c>
      <c r="L102" s="15">
        <v>0</v>
      </c>
      <c r="M102" s="15">
        <v>0</v>
      </c>
      <c r="N102" s="16">
        <v>0</v>
      </c>
      <c r="O102" s="2">
        <f t="shared" si="17"/>
        <v>0</v>
      </c>
      <c r="P102" s="2">
        <f t="shared" si="18"/>
        <v>0</v>
      </c>
      <c r="Q102" s="2">
        <f t="shared" si="19"/>
        <v>0</v>
      </c>
      <c r="S102" s="2">
        <f t="shared" si="32"/>
        <v>0</v>
      </c>
      <c r="T102" s="2">
        <f t="shared" si="20"/>
        <v>0</v>
      </c>
      <c r="U102" s="2">
        <f t="shared" si="21"/>
        <v>0</v>
      </c>
      <c r="V102" s="2">
        <f t="shared" si="22"/>
        <v>0</v>
      </c>
      <c r="W102" s="2">
        <f t="shared" si="23"/>
        <v>0</v>
      </c>
      <c r="X102" s="2">
        <f t="shared" si="24"/>
        <v>0</v>
      </c>
      <c r="Y102" s="2">
        <f t="shared" si="25"/>
        <v>0</v>
      </c>
      <c r="Z102" s="2">
        <f t="shared" si="26"/>
        <v>0</v>
      </c>
      <c r="AA102" s="2">
        <f t="shared" si="27"/>
        <v>0</v>
      </c>
      <c r="AB102" s="2">
        <f t="shared" si="28"/>
        <v>0</v>
      </c>
      <c r="AC102" s="2">
        <f t="shared" si="29"/>
        <v>0</v>
      </c>
      <c r="AD102" s="2">
        <f t="shared" si="30"/>
        <v>0</v>
      </c>
      <c r="AE102" s="2">
        <f t="shared" si="31"/>
        <v>0</v>
      </c>
    </row>
    <row r="103" spans="1:31">
      <c r="A103" s="1" t="s">
        <v>11</v>
      </c>
      <c r="B103">
        <v>318</v>
      </c>
      <c r="C103" s="5">
        <v>100</v>
      </c>
      <c r="D103" s="5">
        <v>7.58379397624</v>
      </c>
      <c r="E103" s="11">
        <v>0</v>
      </c>
      <c r="F103" s="15">
        <v>0.2</v>
      </c>
      <c r="G103" s="15">
        <v>0</v>
      </c>
      <c r="H103" s="15">
        <v>0</v>
      </c>
      <c r="I103" s="15">
        <v>0</v>
      </c>
      <c r="J103" s="11">
        <v>0</v>
      </c>
      <c r="K103" s="15">
        <v>0</v>
      </c>
      <c r="L103" s="15">
        <v>0</v>
      </c>
      <c r="M103" s="15">
        <v>661.79993999999988</v>
      </c>
      <c r="N103" s="16">
        <v>0</v>
      </c>
      <c r="O103" s="2">
        <f t="shared" si="17"/>
        <v>0.2</v>
      </c>
      <c r="P103" s="2">
        <f t="shared" si="18"/>
        <v>661.79993999999988</v>
      </c>
      <c r="Q103" s="2">
        <f t="shared" si="19"/>
        <v>661.99993999999992</v>
      </c>
      <c r="S103" s="2">
        <f t="shared" si="32"/>
        <v>0</v>
      </c>
      <c r="T103" s="2">
        <f t="shared" si="20"/>
        <v>0.2</v>
      </c>
      <c r="U103" s="2">
        <f t="shared" si="21"/>
        <v>0</v>
      </c>
      <c r="V103" s="2">
        <f t="shared" si="22"/>
        <v>0</v>
      </c>
      <c r="W103" s="2">
        <f t="shared" si="23"/>
        <v>0</v>
      </c>
      <c r="X103" s="2">
        <f t="shared" si="24"/>
        <v>0</v>
      </c>
      <c r="Y103" s="2">
        <f t="shared" si="25"/>
        <v>0</v>
      </c>
      <c r="Z103" s="2">
        <f t="shared" si="26"/>
        <v>0</v>
      </c>
      <c r="AA103" s="2">
        <f t="shared" si="27"/>
        <v>661.79993999999988</v>
      </c>
      <c r="AB103" s="2">
        <f t="shared" si="28"/>
        <v>0</v>
      </c>
      <c r="AC103" s="2">
        <f t="shared" si="29"/>
        <v>0.2</v>
      </c>
      <c r="AD103" s="2">
        <f t="shared" si="30"/>
        <v>661.79993999999988</v>
      </c>
      <c r="AE103" s="2">
        <f t="shared" si="31"/>
        <v>661.99993999999992</v>
      </c>
    </row>
    <row r="104" spans="1:31">
      <c r="A104" s="1" t="s">
        <v>11</v>
      </c>
      <c r="B104">
        <v>319</v>
      </c>
      <c r="C104" s="5">
        <v>100</v>
      </c>
      <c r="D104" s="5">
        <v>2.3046920228199999</v>
      </c>
      <c r="E104" s="11">
        <v>0</v>
      </c>
      <c r="F104" s="15">
        <v>0</v>
      </c>
      <c r="G104" s="15">
        <v>0</v>
      </c>
      <c r="H104" s="15">
        <v>0</v>
      </c>
      <c r="I104" s="15">
        <v>0</v>
      </c>
      <c r="J104" s="11">
        <v>0</v>
      </c>
      <c r="K104" s="15">
        <v>0</v>
      </c>
      <c r="L104" s="15">
        <v>0</v>
      </c>
      <c r="M104" s="15">
        <v>0</v>
      </c>
      <c r="N104" s="16">
        <v>0</v>
      </c>
      <c r="O104" s="2">
        <f t="shared" si="17"/>
        <v>0</v>
      </c>
      <c r="P104" s="2">
        <f t="shared" si="18"/>
        <v>0</v>
      </c>
      <c r="Q104" s="2">
        <f t="shared" si="19"/>
        <v>0</v>
      </c>
      <c r="S104" s="2">
        <f t="shared" si="32"/>
        <v>0</v>
      </c>
      <c r="T104" s="2">
        <f t="shared" si="20"/>
        <v>0</v>
      </c>
      <c r="U104" s="2">
        <f t="shared" si="21"/>
        <v>0</v>
      </c>
      <c r="V104" s="2">
        <f t="shared" si="22"/>
        <v>0</v>
      </c>
      <c r="W104" s="2">
        <f t="shared" si="23"/>
        <v>0</v>
      </c>
      <c r="X104" s="2">
        <f t="shared" si="24"/>
        <v>0</v>
      </c>
      <c r="Y104" s="2">
        <f t="shared" si="25"/>
        <v>0</v>
      </c>
      <c r="Z104" s="2">
        <f t="shared" si="26"/>
        <v>0</v>
      </c>
      <c r="AA104" s="2">
        <f t="shared" si="27"/>
        <v>0</v>
      </c>
      <c r="AB104" s="2">
        <f t="shared" si="28"/>
        <v>0</v>
      </c>
      <c r="AC104" s="2">
        <f t="shared" si="29"/>
        <v>0</v>
      </c>
      <c r="AD104" s="2">
        <f t="shared" si="30"/>
        <v>0</v>
      </c>
      <c r="AE104" s="2">
        <f t="shared" si="31"/>
        <v>0</v>
      </c>
    </row>
    <row r="105" spans="1:31">
      <c r="A105" s="1" t="s">
        <v>11</v>
      </c>
      <c r="B105">
        <v>327</v>
      </c>
      <c r="C105" s="5">
        <v>99.9903504989</v>
      </c>
      <c r="D105" s="5">
        <v>10.822117284200001</v>
      </c>
      <c r="E105" s="11">
        <v>0</v>
      </c>
      <c r="F105" s="15">
        <v>0</v>
      </c>
      <c r="G105" s="15">
        <v>0</v>
      </c>
      <c r="H105" s="15">
        <v>0</v>
      </c>
      <c r="I105" s="15">
        <v>0</v>
      </c>
      <c r="J105" s="11">
        <v>0</v>
      </c>
      <c r="K105" s="15">
        <v>0</v>
      </c>
      <c r="L105" s="15">
        <v>0</v>
      </c>
      <c r="M105" s="15">
        <v>0</v>
      </c>
      <c r="N105" s="16">
        <v>0</v>
      </c>
      <c r="O105" s="2">
        <f t="shared" si="17"/>
        <v>0</v>
      </c>
      <c r="P105" s="2">
        <f t="shared" si="18"/>
        <v>0</v>
      </c>
      <c r="Q105" s="2">
        <f t="shared" si="19"/>
        <v>0</v>
      </c>
      <c r="S105" s="2">
        <f t="shared" si="32"/>
        <v>0</v>
      </c>
      <c r="T105" s="2">
        <f t="shared" si="20"/>
        <v>0</v>
      </c>
      <c r="U105" s="2">
        <f t="shared" si="21"/>
        <v>0</v>
      </c>
      <c r="V105" s="2">
        <f t="shared" si="22"/>
        <v>0</v>
      </c>
      <c r="W105" s="2">
        <f t="shared" si="23"/>
        <v>0</v>
      </c>
      <c r="X105" s="2">
        <f t="shared" si="24"/>
        <v>0</v>
      </c>
      <c r="Y105" s="2">
        <f t="shared" si="25"/>
        <v>0</v>
      </c>
      <c r="Z105" s="2">
        <f t="shared" si="26"/>
        <v>0</v>
      </c>
      <c r="AA105" s="2">
        <f t="shared" si="27"/>
        <v>0</v>
      </c>
      <c r="AB105" s="2">
        <f t="shared" si="28"/>
        <v>0</v>
      </c>
      <c r="AC105" s="2">
        <f t="shared" si="29"/>
        <v>0</v>
      </c>
      <c r="AD105" s="2">
        <f t="shared" si="30"/>
        <v>0</v>
      </c>
      <c r="AE105" s="2">
        <f t="shared" si="31"/>
        <v>0</v>
      </c>
    </row>
    <row r="106" spans="1:31">
      <c r="A106" s="1" t="s">
        <v>11</v>
      </c>
      <c r="B106">
        <v>328</v>
      </c>
      <c r="C106" s="5">
        <v>99.998943930400003</v>
      </c>
      <c r="D106" s="5">
        <v>4.4155660982600002</v>
      </c>
      <c r="E106" s="11">
        <v>0</v>
      </c>
      <c r="F106" s="15">
        <v>0</v>
      </c>
      <c r="G106" s="15">
        <v>0</v>
      </c>
      <c r="H106" s="15">
        <v>0</v>
      </c>
      <c r="I106" s="15">
        <v>0</v>
      </c>
      <c r="J106" s="11">
        <v>0</v>
      </c>
      <c r="K106" s="15">
        <v>0</v>
      </c>
      <c r="L106" s="15">
        <v>0</v>
      </c>
      <c r="M106" s="15">
        <v>0</v>
      </c>
      <c r="N106" s="16">
        <v>0</v>
      </c>
      <c r="O106" s="2">
        <f t="shared" si="17"/>
        <v>0</v>
      </c>
      <c r="P106" s="2">
        <f t="shared" si="18"/>
        <v>0</v>
      </c>
      <c r="Q106" s="2">
        <f t="shared" si="19"/>
        <v>0</v>
      </c>
      <c r="S106" s="2">
        <f t="shared" si="32"/>
        <v>0</v>
      </c>
      <c r="T106" s="2">
        <f t="shared" si="20"/>
        <v>0</v>
      </c>
      <c r="U106" s="2">
        <f t="shared" si="21"/>
        <v>0</v>
      </c>
      <c r="V106" s="2">
        <f t="shared" si="22"/>
        <v>0</v>
      </c>
      <c r="W106" s="2">
        <f t="shared" si="23"/>
        <v>0</v>
      </c>
      <c r="X106" s="2">
        <f t="shared" si="24"/>
        <v>0</v>
      </c>
      <c r="Y106" s="2">
        <f t="shared" si="25"/>
        <v>0</v>
      </c>
      <c r="Z106" s="2">
        <f t="shared" si="26"/>
        <v>0</v>
      </c>
      <c r="AA106" s="2">
        <f t="shared" si="27"/>
        <v>0</v>
      </c>
      <c r="AB106" s="2">
        <f t="shared" si="28"/>
        <v>0</v>
      </c>
      <c r="AC106" s="2">
        <f t="shared" si="29"/>
        <v>0</v>
      </c>
      <c r="AD106" s="2">
        <f t="shared" si="30"/>
        <v>0</v>
      </c>
      <c r="AE106" s="2">
        <f t="shared" si="31"/>
        <v>0</v>
      </c>
    </row>
    <row r="107" spans="1:31">
      <c r="A107" s="1" t="s">
        <v>11</v>
      </c>
      <c r="B107">
        <v>329</v>
      </c>
      <c r="C107" s="5">
        <v>99.999875680599999</v>
      </c>
      <c r="D107" s="5">
        <v>12.263357944799999</v>
      </c>
      <c r="E107" s="11">
        <v>0</v>
      </c>
      <c r="F107" s="15">
        <v>0</v>
      </c>
      <c r="G107" s="15">
        <v>0</v>
      </c>
      <c r="H107" s="15">
        <v>0</v>
      </c>
      <c r="I107" s="15">
        <v>0</v>
      </c>
      <c r="J107" s="11">
        <v>0</v>
      </c>
      <c r="K107" s="15">
        <v>0</v>
      </c>
      <c r="L107" s="15">
        <v>0</v>
      </c>
      <c r="M107" s="15">
        <v>0</v>
      </c>
      <c r="N107" s="16">
        <v>0</v>
      </c>
      <c r="O107" s="2">
        <f t="shared" si="17"/>
        <v>0</v>
      </c>
      <c r="P107" s="2">
        <f t="shared" si="18"/>
        <v>0</v>
      </c>
      <c r="Q107" s="2">
        <f t="shared" si="19"/>
        <v>0</v>
      </c>
      <c r="S107" s="2">
        <f t="shared" si="32"/>
        <v>0</v>
      </c>
      <c r="T107" s="2">
        <f t="shared" si="20"/>
        <v>0</v>
      </c>
      <c r="U107" s="2">
        <f t="shared" si="21"/>
        <v>0</v>
      </c>
      <c r="V107" s="2">
        <f t="shared" si="22"/>
        <v>0</v>
      </c>
      <c r="W107" s="2">
        <f t="shared" si="23"/>
        <v>0</v>
      </c>
      <c r="X107" s="2">
        <f t="shared" si="24"/>
        <v>0</v>
      </c>
      <c r="Y107" s="2">
        <f t="shared" si="25"/>
        <v>0</v>
      </c>
      <c r="Z107" s="2">
        <f t="shared" si="26"/>
        <v>0</v>
      </c>
      <c r="AA107" s="2">
        <f t="shared" si="27"/>
        <v>0</v>
      </c>
      <c r="AB107" s="2">
        <f t="shared" si="28"/>
        <v>0</v>
      </c>
      <c r="AC107" s="2">
        <f t="shared" si="29"/>
        <v>0</v>
      </c>
      <c r="AD107" s="2">
        <f t="shared" si="30"/>
        <v>0</v>
      </c>
      <c r="AE107" s="2">
        <f t="shared" si="31"/>
        <v>0</v>
      </c>
    </row>
    <row r="108" spans="1:31">
      <c r="A108" s="1" t="s">
        <v>11</v>
      </c>
      <c r="B108">
        <v>330</v>
      </c>
      <c r="C108" s="5">
        <v>100</v>
      </c>
      <c r="D108" s="5">
        <v>5.4857602457299999</v>
      </c>
      <c r="E108" s="11">
        <v>0</v>
      </c>
      <c r="F108" s="15">
        <v>0</v>
      </c>
      <c r="G108" s="15">
        <v>0</v>
      </c>
      <c r="H108" s="15">
        <v>0</v>
      </c>
      <c r="I108" s="15">
        <v>0</v>
      </c>
      <c r="J108" s="11">
        <v>0</v>
      </c>
      <c r="K108" s="15">
        <v>0</v>
      </c>
      <c r="L108" s="15">
        <v>55.057040000000001</v>
      </c>
      <c r="M108" s="15">
        <v>5638.5995899999998</v>
      </c>
      <c r="N108" s="16">
        <v>0</v>
      </c>
      <c r="O108" s="2">
        <f t="shared" si="17"/>
        <v>0</v>
      </c>
      <c r="P108" s="2">
        <f t="shared" si="18"/>
        <v>5693.6566299999995</v>
      </c>
      <c r="Q108" s="2">
        <f t="shared" si="19"/>
        <v>5693.6566299999995</v>
      </c>
      <c r="S108" s="2">
        <f t="shared" si="32"/>
        <v>0</v>
      </c>
      <c r="T108" s="2">
        <f t="shared" si="20"/>
        <v>0</v>
      </c>
      <c r="U108" s="2">
        <f t="shared" si="21"/>
        <v>0</v>
      </c>
      <c r="V108" s="2">
        <f t="shared" si="22"/>
        <v>0</v>
      </c>
      <c r="W108" s="2">
        <f t="shared" si="23"/>
        <v>0</v>
      </c>
      <c r="X108" s="2">
        <f t="shared" si="24"/>
        <v>0</v>
      </c>
      <c r="Y108" s="2">
        <f t="shared" si="25"/>
        <v>0</v>
      </c>
      <c r="Z108" s="2">
        <f t="shared" si="26"/>
        <v>55.057040000000001</v>
      </c>
      <c r="AA108" s="2">
        <f t="shared" si="27"/>
        <v>5638.5995900000007</v>
      </c>
      <c r="AB108" s="2">
        <f t="shared" si="28"/>
        <v>0</v>
      </c>
      <c r="AC108" s="2">
        <f t="shared" si="29"/>
        <v>0</v>
      </c>
      <c r="AD108" s="2">
        <f t="shared" si="30"/>
        <v>5693.6566299999995</v>
      </c>
      <c r="AE108" s="2">
        <f t="shared" si="31"/>
        <v>5693.6566299999995</v>
      </c>
    </row>
    <row r="109" spans="1:31">
      <c r="A109" s="1" t="s">
        <v>11</v>
      </c>
      <c r="B109">
        <v>331</v>
      </c>
      <c r="C109" s="5">
        <v>100</v>
      </c>
      <c r="D109" s="5">
        <v>8.5081144580599997</v>
      </c>
      <c r="E109" s="11">
        <v>0</v>
      </c>
      <c r="F109" s="15">
        <v>0</v>
      </c>
      <c r="G109" s="15">
        <v>0</v>
      </c>
      <c r="H109" s="15">
        <v>0</v>
      </c>
      <c r="I109" s="15">
        <v>0</v>
      </c>
      <c r="J109" s="11">
        <v>0</v>
      </c>
      <c r="K109" s="15">
        <v>0</v>
      </c>
      <c r="L109" s="15">
        <v>0</v>
      </c>
      <c r="M109" s="15">
        <v>0</v>
      </c>
      <c r="N109" s="16">
        <v>0</v>
      </c>
      <c r="O109" s="2">
        <f t="shared" si="17"/>
        <v>0</v>
      </c>
      <c r="P109" s="2">
        <f t="shared" si="18"/>
        <v>0</v>
      </c>
      <c r="Q109" s="2">
        <f t="shared" si="19"/>
        <v>0</v>
      </c>
      <c r="S109" s="2">
        <f t="shared" si="32"/>
        <v>0</v>
      </c>
      <c r="T109" s="2">
        <f t="shared" si="20"/>
        <v>0</v>
      </c>
      <c r="U109" s="2">
        <f t="shared" si="21"/>
        <v>0</v>
      </c>
      <c r="V109" s="2">
        <f t="shared" si="22"/>
        <v>0</v>
      </c>
      <c r="W109" s="2">
        <f t="shared" si="23"/>
        <v>0</v>
      </c>
      <c r="X109" s="2">
        <f t="shared" si="24"/>
        <v>0</v>
      </c>
      <c r="Y109" s="2">
        <f t="shared" si="25"/>
        <v>0</v>
      </c>
      <c r="Z109" s="2">
        <f t="shared" si="26"/>
        <v>0</v>
      </c>
      <c r="AA109" s="2">
        <f t="shared" si="27"/>
        <v>0</v>
      </c>
      <c r="AB109" s="2">
        <f t="shared" si="28"/>
        <v>0</v>
      </c>
      <c r="AC109" s="2">
        <f t="shared" si="29"/>
        <v>0</v>
      </c>
      <c r="AD109" s="2">
        <f t="shared" si="30"/>
        <v>0</v>
      </c>
      <c r="AE109" s="2">
        <f t="shared" si="31"/>
        <v>0</v>
      </c>
    </row>
    <row r="110" spans="1:31">
      <c r="A110" s="1" t="s">
        <v>11</v>
      </c>
      <c r="B110">
        <v>332</v>
      </c>
      <c r="C110" s="5">
        <v>100</v>
      </c>
      <c r="D110" s="5">
        <v>6.3994229485899998</v>
      </c>
      <c r="E110" s="11">
        <v>0</v>
      </c>
      <c r="F110" s="15">
        <v>13.4</v>
      </c>
      <c r="G110" s="15">
        <v>0</v>
      </c>
      <c r="H110" s="15">
        <v>0</v>
      </c>
      <c r="I110" s="15">
        <v>0</v>
      </c>
      <c r="J110" s="11">
        <v>0</v>
      </c>
      <c r="K110" s="15">
        <v>0</v>
      </c>
      <c r="L110" s="15">
        <v>12.36717</v>
      </c>
      <c r="M110" s="15">
        <v>4140.9998599999999</v>
      </c>
      <c r="N110" s="16">
        <v>0</v>
      </c>
      <c r="O110" s="2">
        <f t="shared" si="17"/>
        <v>13.4</v>
      </c>
      <c r="P110" s="2">
        <f t="shared" si="18"/>
        <v>4153.3670300000003</v>
      </c>
      <c r="Q110" s="2">
        <f t="shared" si="19"/>
        <v>4166.76703</v>
      </c>
      <c r="S110" s="2">
        <f t="shared" si="32"/>
        <v>0</v>
      </c>
      <c r="T110" s="2">
        <f t="shared" si="20"/>
        <v>13.4</v>
      </c>
      <c r="U110" s="2">
        <f t="shared" si="21"/>
        <v>0</v>
      </c>
      <c r="V110" s="2">
        <f t="shared" si="22"/>
        <v>0</v>
      </c>
      <c r="W110" s="2">
        <f t="shared" si="23"/>
        <v>0</v>
      </c>
      <c r="X110" s="2">
        <f t="shared" si="24"/>
        <v>0</v>
      </c>
      <c r="Y110" s="2">
        <f t="shared" si="25"/>
        <v>0</v>
      </c>
      <c r="Z110" s="2">
        <f t="shared" si="26"/>
        <v>12.367169999999998</v>
      </c>
      <c r="AA110" s="2">
        <f t="shared" si="27"/>
        <v>4140.9998599999999</v>
      </c>
      <c r="AB110" s="2">
        <f t="shared" si="28"/>
        <v>0</v>
      </c>
      <c r="AC110" s="2">
        <f t="shared" si="29"/>
        <v>13.4</v>
      </c>
      <c r="AD110" s="2">
        <f t="shared" si="30"/>
        <v>4153.3670300000003</v>
      </c>
      <c r="AE110" s="2">
        <f t="shared" si="31"/>
        <v>4166.76703</v>
      </c>
    </row>
    <row r="111" spans="1:31">
      <c r="A111" s="1" t="s">
        <v>12</v>
      </c>
      <c r="B111">
        <v>253</v>
      </c>
      <c r="C111" s="5">
        <v>51.099270281400003</v>
      </c>
      <c r="D111" s="5">
        <v>18.7691274375</v>
      </c>
      <c r="E111" s="11">
        <v>580.9</v>
      </c>
      <c r="F111" s="15">
        <v>129.80000000000001</v>
      </c>
      <c r="G111" s="15">
        <v>41.7</v>
      </c>
      <c r="H111" s="15">
        <v>8.6999999999999993</v>
      </c>
      <c r="I111" s="15">
        <v>0</v>
      </c>
      <c r="J111" s="11">
        <v>0</v>
      </c>
      <c r="K111" s="15">
        <v>0</v>
      </c>
      <c r="L111" s="15">
        <v>0</v>
      </c>
      <c r="M111" s="15">
        <v>0</v>
      </c>
      <c r="N111" s="16">
        <v>0</v>
      </c>
      <c r="O111" s="2">
        <f t="shared" si="17"/>
        <v>761.10000000000014</v>
      </c>
      <c r="P111" s="2">
        <f t="shared" si="18"/>
        <v>0</v>
      </c>
      <c r="Q111" s="2">
        <f t="shared" si="19"/>
        <v>761.10000000000014</v>
      </c>
      <c r="S111" s="2">
        <f t="shared" si="32"/>
        <v>296.83566106465258</v>
      </c>
      <c r="T111" s="2">
        <f t="shared" si="20"/>
        <v>66.326852825257205</v>
      </c>
      <c r="U111" s="2">
        <f t="shared" si="21"/>
        <v>21.308395707343802</v>
      </c>
      <c r="V111" s="2">
        <f t="shared" si="22"/>
        <v>4.4456365144817998</v>
      </c>
      <c r="W111" s="2">
        <f t="shared" si="23"/>
        <v>0</v>
      </c>
      <c r="X111" s="2">
        <f t="shared" si="24"/>
        <v>0</v>
      </c>
      <c r="Y111" s="2">
        <f t="shared" si="25"/>
        <v>0</v>
      </c>
      <c r="Z111" s="2">
        <f t="shared" si="26"/>
        <v>0</v>
      </c>
      <c r="AA111" s="2">
        <f t="shared" si="27"/>
        <v>0</v>
      </c>
      <c r="AB111" s="2">
        <f t="shared" si="28"/>
        <v>0</v>
      </c>
      <c r="AC111" s="2">
        <f t="shared" si="29"/>
        <v>388.9165461117355</v>
      </c>
      <c r="AD111" s="2">
        <f t="shared" si="30"/>
        <v>0</v>
      </c>
      <c r="AE111" s="2">
        <f t="shared" si="31"/>
        <v>388.9165461117355</v>
      </c>
    </row>
    <row r="112" spans="1:31">
      <c r="A112" s="1" t="s">
        <v>12</v>
      </c>
      <c r="B112">
        <v>303</v>
      </c>
      <c r="C112" s="5">
        <v>1.49222386289</v>
      </c>
      <c r="D112" s="5">
        <v>0.27069320899499999</v>
      </c>
      <c r="E112" s="11">
        <v>0</v>
      </c>
      <c r="F112" s="15">
        <v>0</v>
      </c>
      <c r="G112" s="15">
        <v>0</v>
      </c>
      <c r="H112" s="15">
        <v>0</v>
      </c>
      <c r="I112" s="15">
        <v>0</v>
      </c>
      <c r="J112" s="11">
        <v>0</v>
      </c>
      <c r="K112" s="15">
        <v>0</v>
      </c>
      <c r="L112" s="15">
        <v>0</v>
      </c>
      <c r="M112" s="15">
        <v>0</v>
      </c>
      <c r="N112" s="16">
        <v>0</v>
      </c>
      <c r="O112" s="2">
        <f t="shared" si="17"/>
        <v>0</v>
      </c>
      <c r="P112" s="2">
        <f t="shared" si="18"/>
        <v>0</v>
      </c>
      <c r="Q112" s="2">
        <f t="shared" si="19"/>
        <v>0</v>
      </c>
      <c r="S112" s="2">
        <f t="shared" si="32"/>
        <v>0</v>
      </c>
      <c r="T112" s="2">
        <f t="shared" si="20"/>
        <v>0</v>
      </c>
      <c r="U112" s="2">
        <f t="shared" si="21"/>
        <v>0</v>
      </c>
      <c r="V112" s="2">
        <f t="shared" si="22"/>
        <v>0</v>
      </c>
      <c r="W112" s="2">
        <f t="shared" si="23"/>
        <v>0</v>
      </c>
      <c r="X112" s="2">
        <f t="shared" si="24"/>
        <v>0</v>
      </c>
      <c r="Y112" s="2">
        <f t="shared" si="25"/>
        <v>0</v>
      </c>
      <c r="Z112" s="2">
        <f t="shared" si="26"/>
        <v>0</v>
      </c>
      <c r="AA112" s="2">
        <f t="shared" si="27"/>
        <v>0</v>
      </c>
      <c r="AB112" s="2">
        <f t="shared" si="28"/>
        <v>0</v>
      </c>
      <c r="AC112" s="2">
        <f t="shared" si="29"/>
        <v>0</v>
      </c>
      <c r="AD112" s="2">
        <f t="shared" si="30"/>
        <v>0</v>
      </c>
      <c r="AE112" s="2">
        <f t="shared" si="31"/>
        <v>0</v>
      </c>
    </row>
    <row r="113" spans="1:31">
      <c r="A113" s="1" t="s">
        <v>12</v>
      </c>
      <c r="B113">
        <v>317</v>
      </c>
      <c r="C113" s="5">
        <v>83.320753633699994</v>
      </c>
      <c r="D113" s="5">
        <v>66.806956580900007</v>
      </c>
      <c r="E113" s="11">
        <v>0</v>
      </c>
      <c r="F113" s="15">
        <v>0</v>
      </c>
      <c r="G113" s="15">
        <v>0</v>
      </c>
      <c r="H113" s="15">
        <v>0</v>
      </c>
      <c r="I113" s="15">
        <v>0</v>
      </c>
      <c r="J113" s="11">
        <v>0</v>
      </c>
      <c r="K113" s="15">
        <v>0</v>
      </c>
      <c r="L113" s="15">
        <v>0</v>
      </c>
      <c r="M113" s="15">
        <v>0</v>
      </c>
      <c r="N113" s="16">
        <v>0</v>
      </c>
      <c r="O113" s="2">
        <f t="shared" si="17"/>
        <v>0</v>
      </c>
      <c r="P113" s="2">
        <f t="shared" si="18"/>
        <v>0</v>
      </c>
      <c r="Q113" s="2">
        <f t="shared" si="19"/>
        <v>0</v>
      </c>
      <c r="S113" s="2">
        <f t="shared" si="32"/>
        <v>0</v>
      </c>
      <c r="T113" s="2">
        <f t="shared" si="20"/>
        <v>0</v>
      </c>
      <c r="U113" s="2">
        <f t="shared" si="21"/>
        <v>0</v>
      </c>
      <c r="V113" s="2">
        <f t="shared" si="22"/>
        <v>0</v>
      </c>
      <c r="W113" s="2">
        <f t="shared" si="23"/>
        <v>0</v>
      </c>
      <c r="X113" s="2">
        <f t="shared" si="24"/>
        <v>0</v>
      </c>
      <c r="Y113" s="2">
        <f t="shared" si="25"/>
        <v>0</v>
      </c>
      <c r="Z113" s="2">
        <f t="shared" si="26"/>
        <v>0</v>
      </c>
      <c r="AA113" s="2">
        <f t="shared" si="27"/>
        <v>0</v>
      </c>
      <c r="AB113" s="2">
        <f t="shared" si="28"/>
        <v>0</v>
      </c>
      <c r="AC113" s="2">
        <f t="shared" si="29"/>
        <v>0</v>
      </c>
      <c r="AD113" s="2">
        <f t="shared" si="30"/>
        <v>0</v>
      </c>
      <c r="AE113" s="2">
        <f t="shared" si="31"/>
        <v>0</v>
      </c>
    </row>
    <row r="114" spans="1:31">
      <c r="A114" s="1" t="s">
        <v>13</v>
      </c>
      <c r="B114">
        <v>252</v>
      </c>
      <c r="C114" s="5">
        <v>35.937180970500002</v>
      </c>
      <c r="D114" s="5">
        <v>4.2043640974500001</v>
      </c>
      <c r="E114" s="11">
        <v>0</v>
      </c>
      <c r="F114" s="15">
        <v>80.3</v>
      </c>
      <c r="G114" s="15">
        <v>3.7</v>
      </c>
      <c r="H114" s="15">
        <v>0</v>
      </c>
      <c r="I114" s="15">
        <v>0</v>
      </c>
      <c r="J114" s="11">
        <v>0</v>
      </c>
      <c r="K114" s="15">
        <v>0</v>
      </c>
      <c r="L114" s="15">
        <v>0</v>
      </c>
      <c r="M114" s="15">
        <v>0</v>
      </c>
      <c r="N114" s="16">
        <v>0</v>
      </c>
      <c r="O114" s="2">
        <f t="shared" si="17"/>
        <v>84</v>
      </c>
      <c r="P114" s="2">
        <f t="shared" si="18"/>
        <v>0</v>
      </c>
      <c r="Q114" s="2">
        <f t="shared" si="19"/>
        <v>84</v>
      </c>
      <c r="S114" s="2">
        <f t="shared" si="32"/>
        <v>0</v>
      </c>
      <c r="T114" s="2">
        <f t="shared" si="20"/>
        <v>28.857556319311502</v>
      </c>
      <c r="U114" s="2">
        <f t="shared" si="21"/>
        <v>1.3296756959085001</v>
      </c>
      <c r="V114" s="2">
        <f t="shared" si="22"/>
        <v>0</v>
      </c>
      <c r="W114" s="2">
        <f t="shared" si="23"/>
        <v>0</v>
      </c>
      <c r="X114" s="2">
        <f t="shared" si="24"/>
        <v>0</v>
      </c>
      <c r="Y114" s="2">
        <f t="shared" si="25"/>
        <v>0</v>
      </c>
      <c r="Z114" s="2">
        <f t="shared" si="26"/>
        <v>0</v>
      </c>
      <c r="AA114" s="2">
        <f t="shared" si="27"/>
        <v>0</v>
      </c>
      <c r="AB114" s="2">
        <f t="shared" si="28"/>
        <v>0</v>
      </c>
      <c r="AC114" s="2">
        <f t="shared" si="29"/>
        <v>30.187232015220001</v>
      </c>
      <c r="AD114" s="2">
        <f t="shared" si="30"/>
        <v>0</v>
      </c>
      <c r="AE114" s="2">
        <f t="shared" si="31"/>
        <v>30.187232015220001</v>
      </c>
    </row>
    <row r="115" spans="1:31">
      <c r="A115" s="1" t="s">
        <v>13</v>
      </c>
      <c r="B115">
        <v>253</v>
      </c>
      <c r="C115" s="5">
        <v>29.5382836647</v>
      </c>
      <c r="D115" s="5">
        <v>1.62153434575</v>
      </c>
      <c r="E115" s="11">
        <v>580.9</v>
      </c>
      <c r="F115" s="15">
        <v>129.80000000000001</v>
      </c>
      <c r="G115" s="15">
        <v>41.7</v>
      </c>
      <c r="H115" s="15">
        <v>8.6999999999999993</v>
      </c>
      <c r="I115" s="15">
        <v>0</v>
      </c>
      <c r="J115" s="11">
        <v>0</v>
      </c>
      <c r="K115" s="15">
        <v>0</v>
      </c>
      <c r="L115" s="15">
        <v>0</v>
      </c>
      <c r="M115" s="15">
        <v>0</v>
      </c>
      <c r="N115" s="16">
        <v>0</v>
      </c>
      <c r="O115" s="2">
        <f t="shared" si="17"/>
        <v>761.10000000000014</v>
      </c>
      <c r="P115" s="2">
        <f t="shared" si="18"/>
        <v>0</v>
      </c>
      <c r="Q115" s="2">
        <f t="shared" si="19"/>
        <v>761.10000000000014</v>
      </c>
      <c r="S115" s="2">
        <f t="shared" si="32"/>
        <v>171.58788980824229</v>
      </c>
      <c r="T115" s="2">
        <f t="shared" si="20"/>
        <v>38.340692196780601</v>
      </c>
      <c r="U115" s="2">
        <f t="shared" si="21"/>
        <v>12.317464288179901</v>
      </c>
      <c r="V115" s="2">
        <f t="shared" si="22"/>
        <v>2.5698306788288998</v>
      </c>
      <c r="W115" s="2">
        <f t="shared" si="23"/>
        <v>0</v>
      </c>
      <c r="X115" s="2">
        <f t="shared" si="24"/>
        <v>0</v>
      </c>
      <c r="Y115" s="2">
        <f t="shared" si="25"/>
        <v>0</v>
      </c>
      <c r="Z115" s="2">
        <f t="shared" si="26"/>
        <v>0</v>
      </c>
      <c r="AA115" s="2">
        <f t="shared" si="27"/>
        <v>0</v>
      </c>
      <c r="AB115" s="2">
        <f t="shared" si="28"/>
        <v>0</v>
      </c>
      <c r="AC115" s="2">
        <f t="shared" si="29"/>
        <v>224.81587697203173</v>
      </c>
      <c r="AD115" s="2">
        <f t="shared" si="30"/>
        <v>0</v>
      </c>
      <c r="AE115" s="2">
        <f t="shared" si="31"/>
        <v>224.81587697203173</v>
      </c>
    </row>
    <row r="116" spans="1:31">
      <c r="A116" s="1" t="s">
        <v>13</v>
      </c>
      <c r="B116">
        <v>254</v>
      </c>
      <c r="C116" s="5">
        <v>99.994821438200006</v>
      </c>
      <c r="D116" s="5">
        <v>2.9927508020500002</v>
      </c>
      <c r="E116" s="11">
        <v>360.8</v>
      </c>
      <c r="F116" s="15">
        <v>130.69999999999999</v>
      </c>
      <c r="G116" s="15">
        <v>59.5</v>
      </c>
      <c r="H116" s="15">
        <v>6.1</v>
      </c>
      <c r="I116" s="15">
        <v>0.2</v>
      </c>
      <c r="J116" s="11">
        <v>0</v>
      </c>
      <c r="K116" s="15">
        <v>0</v>
      </c>
      <c r="L116" s="15">
        <v>0</v>
      </c>
      <c r="M116" s="15">
        <v>0</v>
      </c>
      <c r="N116" s="16">
        <v>0</v>
      </c>
      <c r="O116" s="2">
        <f t="shared" si="17"/>
        <v>557.30000000000007</v>
      </c>
      <c r="P116" s="2">
        <f t="shared" si="18"/>
        <v>0</v>
      </c>
      <c r="Q116" s="2">
        <f t="shared" si="19"/>
        <v>557.30000000000007</v>
      </c>
      <c r="S116" s="2">
        <f t="shared" si="32"/>
        <v>360.78131574902562</v>
      </c>
      <c r="T116" s="2">
        <f t="shared" si="20"/>
        <v>130.69323161972738</v>
      </c>
      <c r="U116" s="2">
        <f t="shared" si="21"/>
        <v>59.496918755729006</v>
      </c>
      <c r="V116" s="2">
        <f t="shared" si="22"/>
        <v>6.0996841077301998</v>
      </c>
      <c r="W116" s="2">
        <f t="shared" si="23"/>
        <v>0.19998964287640003</v>
      </c>
      <c r="X116" s="2">
        <f t="shared" si="24"/>
        <v>0</v>
      </c>
      <c r="Y116" s="2">
        <f t="shared" si="25"/>
        <v>0</v>
      </c>
      <c r="Z116" s="2">
        <f t="shared" si="26"/>
        <v>0</v>
      </c>
      <c r="AA116" s="2">
        <f t="shared" si="27"/>
        <v>0</v>
      </c>
      <c r="AB116" s="2">
        <f t="shared" si="28"/>
        <v>0</v>
      </c>
      <c r="AC116" s="2">
        <f t="shared" si="29"/>
        <v>557.27113987508869</v>
      </c>
      <c r="AD116" s="2">
        <f t="shared" si="30"/>
        <v>0</v>
      </c>
      <c r="AE116" s="2">
        <f t="shared" si="31"/>
        <v>557.27113987508869</v>
      </c>
    </row>
    <row r="117" spans="1:31">
      <c r="A117" s="1" t="s">
        <v>13</v>
      </c>
      <c r="B117">
        <v>255</v>
      </c>
      <c r="C117" s="5">
        <v>99.999545484699993</v>
      </c>
      <c r="D117" s="5">
        <v>10.6849736459</v>
      </c>
      <c r="E117" s="11">
        <v>151.9</v>
      </c>
      <c r="F117" s="15">
        <v>14.9</v>
      </c>
      <c r="G117" s="15">
        <v>0</v>
      </c>
      <c r="H117" s="15">
        <v>0</v>
      </c>
      <c r="I117" s="15">
        <v>0</v>
      </c>
      <c r="J117" s="11">
        <v>0</v>
      </c>
      <c r="K117" s="15">
        <v>0</v>
      </c>
      <c r="L117" s="15">
        <v>0</v>
      </c>
      <c r="M117" s="15">
        <v>0</v>
      </c>
      <c r="N117" s="16">
        <v>0</v>
      </c>
      <c r="O117" s="2">
        <f t="shared" si="17"/>
        <v>166.8</v>
      </c>
      <c r="P117" s="2">
        <f t="shared" si="18"/>
        <v>0</v>
      </c>
      <c r="Q117" s="2">
        <f t="shared" si="19"/>
        <v>166.8</v>
      </c>
      <c r="S117" s="2">
        <f t="shared" si="32"/>
        <v>151.89930959125931</v>
      </c>
      <c r="T117" s="2">
        <f t="shared" si="20"/>
        <v>14.8999322772203</v>
      </c>
      <c r="U117" s="2">
        <f t="shared" si="21"/>
        <v>0</v>
      </c>
      <c r="V117" s="2">
        <f t="shared" si="22"/>
        <v>0</v>
      </c>
      <c r="W117" s="2">
        <f t="shared" si="23"/>
        <v>0</v>
      </c>
      <c r="X117" s="2">
        <f t="shared" si="24"/>
        <v>0</v>
      </c>
      <c r="Y117" s="2">
        <f t="shared" si="25"/>
        <v>0</v>
      </c>
      <c r="Z117" s="2">
        <f t="shared" si="26"/>
        <v>0</v>
      </c>
      <c r="AA117" s="2">
        <f t="shared" si="27"/>
        <v>0</v>
      </c>
      <c r="AB117" s="2">
        <f t="shared" si="28"/>
        <v>0</v>
      </c>
      <c r="AC117" s="2">
        <f t="shared" si="29"/>
        <v>166.79924186847958</v>
      </c>
      <c r="AD117" s="2">
        <f t="shared" si="30"/>
        <v>0</v>
      </c>
      <c r="AE117" s="2">
        <f t="shared" si="31"/>
        <v>166.79924186847958</v>
      </c>
    </row>
    <row r="118" spans="1:31">
      <c r="A118" s="1" t="s">
        <v>13</v>
      </c>
      <c r="B118">
        <v>317</v>
      </c>
      <c r="C118" s="5">
        <v>9.2419598135599994</v>
      </c>
      <c r="D118" s="5">
        <v>1.1075008910299999</v>
      </c>
      <c r="E118" s="11">
        <v>0</v>
      </c>
      <c r="F118" s="15">
        <v>0</v>
      </c>
      <c r="G118" s="15">
        <v>0</v>
      </c>
      <c r="H118" s="15">
        <v>0</v>
      </c>
      <c r="I118" s="15">
        <v>0</v>
      </c>
      <c r="J118" s="11">
        <v>0</v>
      </c>
      <c r="K118" s="15">
        <v>0</v>
      </c>
      <c r="L118" s="15">
        <v>0</v>
      </c>
      <c r="M118" s="15">
        <v>0</v>
      </c>
      <c r="N118" s="16">
        <v>0</v>
      </c>
      <c r="O118" s="2">
        <f t="shared" si="17"/>
        <v>0</v>
      </c>
      <c r="P118" s="2">
        <f t="shared" si="18"/>
        <v>0</v>
      </c>
      <c r="Q118" s="2">
        <f t="shared" si="19"/>
        <v>0</v>
      </c>
      <c r="S118" s="2">
        <f t="shared" si="32"/>
        <v>0</v>
      </c>
      <c r="T118" s="2">
        <f t="shared" si="20"/>
        <v>0</v>
      </c>
      <c r="U118" s="2">
        <f t="shared" si="21"/>
        <v>0</v>
      </c>
      <c r="V118" s="2">
        <f t="shared" si="22"/>
        <v>0</v>
      </c>
      <c r="W118" s="2">
        <f t="shared" si="23"/>
        <v>0</v>
      </c>
      <c r="X118" s="2">
        <f t="shared" si="24"/>
        <v>0</v>
      </c>
      <c r="Y118" s="2">
        <f t="shared" si="25"/>
        <v>0</v>
      </c>
      <c r="Z118" s="2">
        <f t="shared" si="26"/>
        <v>0</v>
      </c>
      <c r="AA118" s="2">
        <f t="shared" si="27"/>
        <v>0</v>
      </c>
      <c r="AB118" s="2">
        <f t="shared" si="28"/>
        <v>0</v>
      </c>
      <c r="AC118" s="2">
        <f t="shared" si="29"/>
        <v>0</v>
      </c>
      <c r="AD118" s="2">
        <f t="shared" si="30"/>
        <v>0</v>
      </c>
      <c r="AE118" s="2">
        <f t="shared" si="31"/>
        <v>0</v>
      </c>
    </row>
    <row r="119" spans="1:31">
      <c r="A119" s="1" t="s">
        <v>13</v>
      </c>
      <c r="B119">
        <v>320</v>
      </c>
      <c r="C119" s="5">
        <v>99.997599068400007</v>
      </c>
      <c r="D119" s="5">
        <v>7.70708872275</v>
      </c>
      <c r="E119" s="11">
        <v>0</v>
      </c>
      <c r="F119" s="15">
        <v>36</v>
      </c>
      <c r="G119" s="15">
        <v>0</v>
      </c>
      <c r="H119" s="15">
        <v>0</v>
      </c>
      <c r="I119" s="15">
        <v>0</v>
      </c>
      <c r="J119" s="11">
        <v>0</v>
      </c>
      <c r="K119" s="15">
        <v>0</v>
      </c>
      <c r="L119" s="15">
        <v>0</v>
      </c>
      <c r="M119" s="15">
        <v>0</v>
      </c>
      <c r="N119" s="16">
        <v>0</v>
      </c>
      <c r="O119" s="2">
        <f t="shared" si="17"/>
        <v>36</v>
      </c>
      <c r="P119" s="2">
        <f t="shared" si="18"/>
        <v>0</v>
      </c>
      <c r="Q119" s="2">
        <f t="shared" si="19"/>
        <v>36</v>
      </c>
      <c r="S119" s="2">
        <f t="shared" si="32"/>
        <v>0</v>
      </c>
      <c r="T119" s="2">
        <f t="shared" si="20"/>
        <v>35.999135664623999</v>
      </c>
      <c r="U119" s="2">
        <f t="shared" si="21"/>
        <v>0</v>
      </c>
      <c r="V119" s="2">
        <f t="shared" si="22"/>
        <v>0</v>
      </c>
      <c r="W119" s="2">
        <f t="shared" si="23"/>
        <v>0</v>
      </c>
      <c r="X119" s="2">
        <f t="shared" si="24"/>
        <v>0</v>
      </c>
      <c r="Y119" s="2">
        <f t="shared" si="25"/>
        <v>0</v>
      </c>
      <c r="Z119" s="2">
        <f t="shared" si="26"/>
        <v>0</v>
      </c>
      <c r="AA119" s="2">
        <f t="shared" si="27"/>
        <v>0</v>
      </c>
      <c r="AB119" s="2">
        <f t="shared" si="28"/>
        <v>0</v>
      </c>
      <c r="AC119" s="2">
        <f t="shared" si="29"/>
        <v>35.999135664623999</v>
      </c>
      <c r="AD119" s="2">
        <f t="shared" si="30"/>
        <v>0</v>
      </c>
      <c r="AE119" s="2">
        <f t="shared" si="31"/>
        <v>35.999135664623999</v>
      </c>
    </row>
    <row r="120" spans="1:31">
      <c r="A120" s="1" t="s">
        <v>13</v>
      </c>
      <c r="B120">
        <v>321</v>
      </c>
      <c r="C120" s="5">
        <v>93.970702133299994</v>
      </c>
      <c r="D120" s="5">
        <v>13.9849593494</v>
      </c>
      <c r="E120" s="11">
        <v>0</v>
      </c>
      <c r="F120" s="15">
        <v>1.5</v>
      </c>
      <c r="G120" s="15">
        <v>0.1</v>
      </c>
      <c r="H120" s="15">
        <v>0</v>
      </c>
      <c r="I120" s="15">
        <v>0</v>
      </c>
      <c r="J120" s="11">
        <v>0</v>
      </c>
      <c r="K120" s="15">
        <v>0</v>
      </c>
      <c r="L120" s="15">
        <v>0</v>
      </c>
      <c r="M120" s="15">
        <v>0</v>
      </c>
      <c r="N120" s="16">
        <v>0</v>
      </c>
      <c r="O120" s="2">
        <f t="shared" si="17"/>
        <v>1.6</v>
      </c>
      <c r="P120" s="2">
        <f t="shared" si="18"/>
        <v>0</v>
      </c>
      <c r="Q120" s="2">
        <f t="shared" si="19"/>
        <v>1.6</v>
      </c>
      <c r="S120" s="2">
        <f t="shared" si="32"/>
        <v>0</v>
      </c>
      <c r="T120" s="2">
        <f t="shared" si="20"/>
        <v>1.4095605319994999</v>
      </c>
      <c r="U120" s="2">
        <f t="shared" si="21"/>
        <v>9.3970702133299999E-2</v>
      </c>
      <c r="V120" s="2">
        <f t="shared" si="22"/>
        <v>0</v>
      </c>
      <c r="W120" s="2">
        <f t="shared" si="23"/>
        <v>0</v>
      </c>
      <c r="X120" s="2">
        <f t="shared" si="24"/>
        <v>0</v>
      </c>
      <c r="Y120" s="2">
        <f t="shared" si="25"/>
        <v>0</v>
      </c>
      <c r="Z120" s="2">
        <f t="shared" si="26"/>
        <v>0</v>
      </c>
      <c r="AA120" s="2">
        <f t="shared" si="27"/>
        <v>0</v>
      </c>
      <c r="AB120" s="2">
        <f t="shared" si="28"/>
        <v>0</v>
      </c>
      <c r="AC120" s="2">
        <f t="shared" si="29"/>
        <v>1.5035312341328</v>
      </c>
      <c r="AD120" s="2">
        <f t="shared" si="30"/>
        <v>0</v>
      </c>
      <c r="AE120" s="2">
        <f t="shared" si="31"/>
        <v>1.5035312341328</v>
      </c>
    </row>
    <row r="121" spans="1:31">
      <c r="A121" s="1" t="s">
        <v>13</v>
      </c>
      <c r="B121">
        <v>322</v>
      </c>
      <c r="C121" s="5">
        <v>99.995792886299995</v>
      </c>
      <c r="D121" s="5">
        <v>18.0971809425</v>
      </c>
      <c r="E121" s="11">
        <v>612.75752</v>
      </c>
      <c r="F121" s="15">
        <v>846.1</v>
      </c>
      <c r="G121" s="15">
        <v>348.7</v>
      </c>
      <c r="H121" s="15">
        <v>61.4</v>
      </c>
      <c r="I121" s="15">
        <v>0.2</v>
      </c>
      <c r="J121" s="11">
        <v>0</v>
      </c>
      <c r="K121" s="15">
        <v>0</v>
      </c>
      <c r="L121" s="15">
        <v>0</v>
      </c>
      <c r="M121" s="15">
        <v>0</v>
      </c>
      <c r="N121" s="16">
        <v>0</v>
      </c>
      <c r="O121" s="2">
        <f t="shared" si="17"/>
        <v>1869.1575200000002</v>
      </c>
      <c r="P121" s="2">
        <f t="shared" si="18"/>
        <v>0</v>
      </c>
      <c r="Q121" s="2">
        <f t="shared" si="19"/>
        <v>1869.1575200000002</v>
      </c>
      <c r="S121" s="2">
        <f t="shared" si="32"/>
        <v>612.73174059442829</v>
      </c>
      <c r="T121" s="2">
        <f t="shared" si="20"/>
        <v>846.0644036109843</v>
      </c>
      <c r="U121" s="2">
        <f t="shared" si="21"/>
        <v>348.68532979452806</v>
      </c>
      <c r="V121" s="2">
        <f t="shared" si="22"/>
        <v>61.397416832188192</v>
      </c>
      <c r="W121" s="2">
        <f t="shared" si="23"/>
        <v>0.19999158577260001</v>
      </c>
      <c r="X121" s="2">
        <f t="shared" si="24"/>
        <v>0</v>
      </c>
      <c r="Y121" s="2">
        <f t="shared" si="25"/>
        <v>0</v>
      </c>
      <c r="Z121" s="2">
        <f t="shared" si="26"/>
        <v>0</v>
      </c>
      <c r="AA121" s="2">
        <f t="shared" si="27"/>
        <v>0</v>
      </c>
      <c r="AB121" s="2">
        <f t="shared" si="28"/>
        <v>0</v>
      </c>
      <c r="AC121" s="2">
        <f t="shared" si="29"/>
        <v>1869.0788824179015</v>
      </c>
      <c r="AD121" s="2">
        <f t="shared" si="30"/>
        <v>0</v>
      </c>
      <c r="AE121" s="2">
        <f t="shared" si="31"/>
        <v>1869.0788824179015</v>
      </c>
    </row>
    <row r="122" spans="1:31">
      <c r="A122" s="1" t="s">
        <v>13</v>
      </c>
      <c r="B122">
        <v>323</v>
      </c>
      <c r="C122" s="5">
        <v>99.998842831100006</v>
      </c>
      <c r="D122" s="5">
        <v>13.787812261699999</v>
      </c>
      <c r="E122" s="11">
        <v>238.66</v>
      </c>
      <c r="F122" s="15">
        <v>44.9</v>
      </c>
      <c r="G122" s="15">
        <v>2.8</v>
      </c>
      <c r="H122" s="15">
        <v>0</v>
      </c>
      <c r="I122" s="15">
        <v>0</v>
      </c>
      <c r="J122" s="11">
        <v>0</v>
      </c>
      <c r="K122" s="15">
        <v>0</v>
      </c>
      <c r="L122" s="15">
        <v>0</v>
      </c>
      <c r="M122" s="15">
        <v>0</v>
      </c>
      <c r="N122" s="16">
        <v>0</v>
      </c>
      <c r="O122" s="2">
        <f t="shared" si="17"/>
        <v>286.36</v>
      </c>
      <c r="P122" s="2">
        <f t="shared" si="18"/>
        <v>0</v>
      </c>
      <c r="Q122" s="2">
        <f t="shared" si="19"/>
        <v>286.36</v>
      </c>
      <c r="S122" s="2">
        <f t="shared" si="32"/>
        <v>238.65723830070328</v>
      </c>
      <c r="T122" s="2">
        <f t="shared" si="20"/>
        <v>44.899480431163902</v>
      </c>
      <c r="U122" s="2">
        <f t="shared" si="21"/>
        <v>2.7999675992708002</v>
      </c>
      <c r="V122" s="2">
        <f t="shared" si="22"/>
        <v>0</v>
      </c>
      <c r="W122" s="2">
        <f t="shared" si="23"/>
        <v>0</v>
      </c>
      <c r="X122" s="2">
        <f t="shared" si="24"/>
        <v>0</v>
      </c>
      <c r="Y122" s="2">
        <f t="shared" si="25"/>
        <v>0</v>
      </c>
      <c r="Z122" s="2">
        <f t="shared" si="26"/>
        <v>0</v>
      </c>
      <c r="AA122" s="2">
        <f t="shared" si="27"/>
        <v>0</v>
      </c>
      <c r="AB122" s="2">
        <f t="shared" si="28"/>
        <v>0</v>
      </c>
      <c r="AC122" s="2">
        <f t="shared" si="29"/>
        <v>286.35668633113801</v>
      </c>
      <c r="AD122" s="2">
        <f t="shared" si="30"/>
        <v>0</v>
      </c>
      <c r="AE122" s="2">
        <f t="shared" si="31"/>
        <v>286.35668633113801</v>
      </c>
    </row>
    <row r="123" spans="1:31">
      <c r="A123" s="1" t="s">
        <v>13</v>
      </c>
      <c r="B123">
        <v>324</v>
      </c>
      <c r="C123" s="5">
        <v>100</v>
      </c>
      <c r="D123" s="5">
        <v>4.3914855303199998</v>
      </c>
      <c r="E123" s="11">
        <v>0</v>
      </c>
      <c r="F123" s="15">
        <v>51.7</v>
      </c>
      <c r="G123" s="15">
        <v>4.5</v>
      </c>
      <c r="H123" s="15">
        <v>0</v>
      </c>
      <c r="I123" s="15">
        <v>0</v>
      </c>
      <c r="J123" s="11">
        <v>0</v>
      </c>
      <c r="K123" s="15">
        <v>0</v>
      </c>
      <c r="L123" s="15">
        <v>0</v>
      </c>
      <c r="M123" s="15">
        <v>0</v>
      </c>
      <c r="N123" s="16">
        <v>0</v>
      </c>
      <c r="O123" s="2">
        <f t="shared" si="17"/>
        <v>56.2</v>
      </c>
      <c r="P123" s="2">
        <f t="shared" si="18"/>
        <v>0</v>
      </c>
      <c r="Q123" s="2">
        <f t="shared" si="19"/>
        <v>56.2</v>
      </c>
      <c r="S123" s="2">
        <f t="shared" si="32"/>
        <v>0</v>
      </c>
      <c r="T123" s="2">
        <f t="shared" si="20"/>
        <v>51.7</v>
      </c>
      <c r="U123" s="2">
        <f t="shared" si="21"/>
        <v>4.5</v>
      </c>
      <c r="V123" s="2">
        <f t="shared" si="22"/>
        <v>0</v>
      </c>
      <c r="W123" s="2">
        <f t="shared" si="23"/>
        <v>0</v>
      </c>
      <c r="X123" s="2">
        <f t="shared" si="24"/>
        <v>0</v>
      </c>
      <c r="Y123" s="2">
        <f t="shared" si="25"/>
        <v>0</v>
      </c>
      <c r="Z123" s="2">
        <f t="shared" si="26"/>
        <v>0</v>
      </c>
      <c r="AA123" s="2">
        <f t="shared" si="27"/>
        <v>0</v>
      </c>
      <c r="AB123" s="2">
        <f t="shared" si="28"/>
        <v>0</v>
      </c>
      <c r="AC123" s="2">
        <f t="shared" si="29"/>
        <v>56.2</v>
      </c>
      <c r="AD123" s="2">
        <f t="shared" si="30"/>
        <v>0</v>
      </c>
      <c r="AE123" s="2">
        <f t="shared" si="31"/>
        <v>56.2</v>
      </c>
    </row>
    <row r="124" spans="1:31">
      <c r="A124" s="1" t="s">
        <v>13</v>
      </c>
      <c r="B124">
        <v>325</v>
      </c>
      <c r="C124" s="5">
        <v>99.999928177699999</v>
      </c>
      <c r="D124" s="5">
        <v>5.8193017468899999</v>
      </c>
      <c r="E124" s="11">
        <v>0</v>
      </c>
      <c r="F124" s="15">
        <v>22</v>
      </c>
      <c r="G124" s="15">
        <v>0</v>
      </c>
      <c r="H124" s="15">
        <v>0</v>
      </c>
      <c r="I124" s="15">
        <v>0</v>
      </c>
      <c r="J124" s="11">
        <v>0</v>
      </c>
      <c r="K124" s="15">
        <v>0</v>
      </c>
      <c r="L124" s="15">
        <v>0</v>
      </c>
      <c r="M124" s="15">
        <v>0</v>
      </c>
      <c r="N124" s="16">
        <v>0</v>
      </c>
      <c r="O124" s="2">
        <f t="shared" si="17"/>
        <v>22</v>
      </c>
      <c r="P124" s="2">
        <f t="shared" si="18"/>
        <v>0</v>
      </c>
      <c r="Q124" s="2">
        <f t="shared" si="19"/>
        <v>22</v>
      </c>
      <c r="S124" s="2">
        <f t="shared" si="32"/>
        <v>0</v>
      </c>
      <c r="T124" s="2">
        <f t="shared" si="20"/>
        <v>21.999984199094001</v>
      </c>
      <c r="U124" s="2">
        <f t="shared" si="21"/>
        <v>0</v>
      </c>
      <c r="V124" s="2">
        <f t="shared" si="22"/>
        <v>0</v>
      </c>
      <c r="W124" s="2">
        <f t="shared" si="23"/>
        <v>0</v>
      </c>
      <c r="X124" s="2">
        <f t="shared" si="24"/>
        <v>0</v>
      </c>
      <c r="Y124" s="2">
        <f t="shared" si="25"/>
        <v>0</v>
      </c>
      <c r="Z124" s="2">
        <f t="shared" si="26"/>
        <v>0</v>
      </c>
      <c r="AA124" s="2">
        <f t="shared" si="27"/>
        <v>0</v>
      </c>
      <c r="AB124" s="2">
        <f t="shared" si="28"/>
        <v>0</v>
      </c>
      <c r="AC124" s="2">
        <f t="shared" si="29"/>
        <v>21.999984199094001</v>
      </c>
      <c r="AD124" s="2">
        <f t="shared" si="30"/>
        <v>0</v>
      </c>
      <c r="AE124" s="2">
        <f t="shared" si="31"/>
        <v>21.999984199094001</v>
      </c>
    </row>
    <row r="125" spans="1:31">
      <c r="A125" s="1" t="s">
        <v>13</v>
      </c>
      <c r="B125">
        <v>326</v>
      </c>
      <c r="C125" s="5">
        <v>99.993460158000005</v>
      </c>
      <c r="D125" s="5">
        <v>13.5419227557</v>
      </c>
      <c r="E125" s="11">
        <v>0</v>
      </c>
      <c r="F125" s="15">
        <v>19.7</v>
      </c>
      <c r="G125" s="15">
        <v>0.4</v>
      </c>
      <c r="H125" s="15">
        <v>0</v>
      </c>
      <c r="I125" s="15">
        <v>0</v>
      </c>
      <c r="J125" s="11">
        <v>0</v>
      </c>
      <c r="K125" s="15">
        <v>0</v>
      </c>
      <c r="L125" s="15">
        <v>0</v>
      </c>
      <c r="M125" s="15">
        <v>0</v>
      </c>
      <c r="N125" s="16">
        <v>0</v>
      </c>
      <c r="O125" s="2">
        <f t="shared" si="17"/>
        <v>20.099999999999998</v>
      </c>
      <c r="P125" s="2">
        <f t="shared" si="18"/>
        <v>0</v>
      </c>
      <c r="Q125" s="2">
        <f t="shared" si="19"/>
        <v>20.099999999999998</v>
      </c>
      <c r="S125" s="2">
        <f t="shared" si="32"/>
        <v>0</v>
      </c>
      <c r="T125" s="2">
        <f t="shared" si="20"/>
        <v>19.698711651126001</v>
      </c>
      <c r="U125" s="2">
        <f t="shared" si="21"/>
        <v>0.39997384063200003</v>
      </c>
      <c r="V125" s="2">
        <f t="shared" si="22"/>
        <v>0</v>
      </c>
      <c r="W125" s="2">
        <f t="shared" si="23"/>
        <v>0</v>
      </c>
      <c r="X125" s="2">
        <f t="shared" si="24"/>
        <v>0</v>
      </c>
      <c r="Y125" s="2">
        <f t="shared" si="25"/>
        <v>0</v>
      </c>
      <c r="Z125" s="2">
        <f t="shared" si="26"/>
        <v>0</v>
      </c>
      <c r="AA125" s="2">
        <f t="shared" si="27"/>
        <v>0</v>
      </c>
      <c r="AB125" s="2">
        <f t="shared" si="28"/>
        <v>0</v>
      </c>
      <c r="AC125" s="2">
        <f t="shared" si="29"/>
        <v>20.098685491757998</v>
      </c>
      <c r="AD125" s="2">
        <f t="shared" si="30"/>
        <v>0</v>
      </c>
      <c r="AE125" s="2">
        <f t="shared" si="31"/>
        <v>20.098685491757998</v>
      </c>
    </row>
    <row r="126" spans="1:31">
      <c r="A126" s="1" t="s">
        <v>14</v>
      </c>
      <c r="B126">
        <v>211</v>
      </c>
      <c r="C126" s="5">
        <v>99.997075291200005</v>
      </c>
      <c r="D126" s="5">
        <v>7.1718968546599999</v>
      </c>
      <c r="E126" s="11">
        <v>60.6</v>
      </c>
      <c r="F126" s="15">
        <v>3</v>
      </c>
      <c r="G126" s="15">
        <v>0</v>
      </c>
      <c r="H126" s="15">
        <v>0</v>
      </c>
      <c r="I126" s="15">
        <v>0</v>
      </c>
      <c r="J126" s="11">
        <v>0</v>
      </c>
      <c r="K126" s="15">
        <v>0</v>
      </c>
      <c r="L126" s="15">
        <v>0</v>
      </c>
      <c r="M126" s="15">
        <v>0</v>
      </c>
      <c r="N126" s="16">
        <v>0</v>
      </c>
      <c r="O126" s="2">
        <f t="shared" si="17"/>
        <v>63.6</v>
      </c>
      <c r="P126" s="2">
        <f t="shared" si="18"/>
        <v>0</v>
      </c>
      <c r="Q126" s="2">
        <f t="shared" si="19"/>
        <v>63.6</v>
      </c>
      <c r="S126" s="2">
        <f t="shared" si="32"/>
        <v>60.598227626467207</v>
      </c>
      <c r="T126" s="2">
        <f t="shared" si="20"/>
        <v>2.9999122587359999</v>
      </c>
      <c r="U126" s="2">
        <f t="shared" si="21"/>
        <v>0</v>
      </c>
      <c r="V126" s="2">
        <f t="shared" si="22"/>
        <v>0</v>
      </c>
      <c r="W126" s="2">
        <f t="shared" si="23"/>
        <v>0</v>
      </c>
      <c r="X126" s="2">
        <f t="shared" si="24"/>
        <v>0</v>
      </c>
      <c r="Y126" s="2">
        <f t="shared" si="25"/>
        <v>0</v>
      </c>
      <c r="Z126" s="2">
        <f t="shared" si="26"/>
        <v>0</v>
      </c>
      <c r="AA126" s="2">
        <f t="shared" si="27"/>
        <v>0</v>
      </c>
      <c r="AB126" s="2">
        <f t="shared" si="28"/>
        <v>0</v>
      </c>
      <c r="AC126" s="2">
        <f t="shared" si="29"/>
        <v>63.59813988520321</v>
      </c>
      <c r="AD126" s="2">
        <f t="shared" si="30"/>
        <v>0</v>
      </c>
      <c r="AE126" s="2">
        <f t="shared" si="31"/>
        <v>63.59813988520321</v>
      </c>
    </row>
    <row r="127" spans="1:31">
      <c r="A127" s="1" t="s">
        <v>14</v>
      </c>
      <c r="B127">
        <v>212</v>
      </c>
      <c r="C127" s="5">
        <v>100</v>
      </c>
      <c r="D127" s="5">
        <v>8.5851933656099995</v>
      </c>
      <c r="E127" s="11">
        <v>1274.6732000000002</v>
      </c>
      <c r="F127" s="15">
        <v>304.7</v>
      </c>
      <c r="G127" s="15">
        <v>21.7</v>
      </c>
      <c r="H127" s="15">
        <v>0.3</v>
      </c>
      <c r="I127" s="15">
        <v>0</v>
      </c>
      <c r="J127" s="11">
        <v>0</v>
      </c>
      <c r="K127" s="15">
        <v>0</v>
      </c>
      <c r="L127" s="15">
        <v>0</v>
      </c>
      <c r="M127" s="15">
        <v>0</v>
      </c>
      <c r="N127" s="16">
        <v>18.799469999999999</v>
      </c>
      <c r="O127" s="2">
        <f t="shared" si="17"/>
        <v>1601.3732000000002</v>
      </c>
      <c r="P127" s="2">
        <f t="shared" si="18"/>
        <v>18.799469999999999</v>
      </c>
      <c r="Q127" s="2">
        <f t="shared" si="19"/>
        <v>1620.1726700000002</v>
      </c>
      <c r="S127" s="2">
        <f t="shared" si="32"/>
        <v>1274.6732000000002</v>
      </c>
      <c r="T127" s="2">
        <f t="shared" si="20"/>
        <v>304.7</v>
      </c>
      <c r="U127" s="2">
        <f t="shared" si="21"/>
        <v>21.7</v>
      </c>
      <c r="V127" s="2">
        <f t="shared" si="22"/>
        <v>0.3</v>
      </c>
      <c r="W127" s="2">
        <f t="shared" si="23"/>
        <v>0</v>
      </c>
      <c r="X127" s="2">
        <f t="shared" si="24"/>
        <v>0</v>
      </c>
      <c r="Y127" s="2">
        <f t="shared" si="25"/>
        <v>0</v>
      </c>
      <c r="Z127" s="2">
        <f t="shared" si="26"/>
        <v>0</v>
      </c>
      <c r="AA127" s="2">
        <f t="shared" si="27"/>
        <v>0</v>
      </c>
      <c r="AB127" s="2">
        <f t="shared" si="28"/>
        <v>18.799469999999999</v>
      </c>
      <c r="AC127" s="2">
        <f t="shared" si="29"/>
        <v>1601.3732000000005</v>
      </c>
      <c r="AD127" s="2">
        <f t="shared" si="30"/>
        <v>18.799469999999999</v>
      </c>
      <c r="AE127" s="2">
        <f t="shared" si="31"/>
        <v>1620.1726700000002</v>
      </c>
    </row>
    <row r="128" spans="1:31">
      <c r="A128" s="1" t="s">
        <v>14</v>
      </c>
      <c r="B128">
        <v>213</v>
      </c>
      <c r="C128" s="5">
        <v>42.778421157499999</v>
      </c>
      <c r="D128" s="5">
        <v>1.8080956079299999</v>
      </c>
      <c r="E128" s="11">
        <v>1937.5331000000001</v>
      </c>
      <c r="F128" s="15">
        <v>7.6</v>
      </c>
      <c r="G128" s="15">
        <v>0</v>
      </c>
      <c r="H128" s="15">
        <v>0</v>
      </c>
      <c r="I128" s="15">
        <v>0</v>
      </c>
      <c r="J128" s="11">
        <v>0</v>
      </c>
      <c r="K128" s="15">
        <v>0</v>
      </c>
      <c r="L128" s="15">
        <v>0</v>
      </c>
      <c r="M128" s="15">
        <v>0</v>
      </c>
      <c r="N128" s="16">
        <v>0</v>
      </c>
      <c r="O128" s="2">
        <f t="shared" si="17"/>
        <v>1945.1331</v>
      </c>
      <c r="P128" s="2">
        <f t="shared" si="18"/>
        <v>0</v>
      </c>
      <c r="Q128" s="2">
        <f t="shared" si="19"/>
        <v>1945.1331</v>
      </c>
      <c r="S128" s="2">
        <f t="shared" si="32"/>
        <v>828.84606958396557</v>
      </c>
      <c r="T128" s="2">
        <f t="shared" si="20"/>
        <v>3.2511600079699998</v>
      </c>
      <c r="U128" s="2">
        <f t="shared" si="21"/>
        <v>0</v>
      </c>
      <c r="V128" s="2">
        <f t="shared" si="22"/>
        <v>0</v>
      </c>
      <c r="W128" s="2">
        <f t="shared" si="23"/>
        <v>0</v>
      </c>
      <c r="X128" s="2">
        <f t="shared" si="24"/>
        <v>0</v>
      </c>
      <c r="Y128" s="2">
        <f t="shared" si="25"/>
        <v>0</v>
      </c>
      <c r="Z128" s="2">
        <f t="shared" si="26"/>
        <v>0</v>
      </c>
      <c r="AA128" s="2">
        <f t="shared" si="27"/>
        <v>0</v>
      </c>
      <c r="AB128" s="2">
        <f t="shared" si="28"/>
        <v>0</v>
      </c>
      <c r="AC128" s="2">
        <f t="shared" si="29"/>
        <v>832.09722959193562</v>
      </c>
      <c r="AD128" s="2">
        <f t="shared" si="30"/>
        <v>0</v>
      </c>
      <c r="AE128" s="2">
        <f t="shared" si="31"/>
        <v>832.09722959193562</v>
      </c>
    </row>
    <row r="129" spans="1:31">
      <c r="A129" s="1" t="s">
        <v>14</v>
      </c>
      <c r="B129">
        <v>214</v>
      </c>
      <c r="C129" s="5">
        <v>100</v>
      </c>
      <c r="D129" s="5">
        <v>15.960751628100001</v>
      </c>
      <c r="E129" s="11">
        <v>1631.4881</v>
      </c>
      <c r="F129" s="15">
        <v>73.400000000000006</v>
      </c>
      <c r="G129" s="15">
        <v>1</v>
      </c>
      <c r="H129" s="15">
        <v>0</v>
      </c>
      <c r="I129" s="15">
        <v>0</v>
      </c>
      <c r="J129" s="11">
        <v>0</v>
      </c>
      <c r="K129" s="15">
        <v>0</v>
      </c>
      <c r="L129" s="15">
        <v>0</v>
      </c>
      <c r="M129" s="15">
        <v>0</v>
      </c>
      <c r="N129" s="16">
        <v>0</v>
      </c>
      <c r="O129" s="2">
        <f t="shared" si="17"/>
        <v>1705.8881000000001</v>
      </c>
      <c r="P129" s="2">
        <f t="shared" si="18"/>
        <v>0</v>
      </c>
      <c r="Q129" s="2">
        <f t="shared" si="19"/>
        <v>1705.8881000000001</v>
      </c>
      <c r="S129" s="2">
        <f t="shared" si="32"/>
        <v>1631.4881</v>
      </c>
      <c r="T129" s="2">
        <f t="shared" si="20"/>
        <v>73.400000000000006</v>
      </c>
      <c r="U129" s="2">
        <f t="shared" si="21"/>
        <v>1</v>
      </c>
      <c r="V129" s="2">
        <f t="shared" si="22"/>
        <v>0</v>
      </c>
      <c r="W129" s="2">
        <f t="shared" si="23"/>
        <v>0</v>
      </c>
      <c r="X129" s="2">
        <f t="shared" si="24"/>
        <v>0</v>
      </c>
      <c r="Y129" s="2">
        <f t="shared" si="25"/>
        <v>0</v>
      </c>
      <c r="Z129" s="2">
        <f t="shared" si="26"/>
        <v>0</v>
      </c>
      <c r="AA129" s="2">
        <f t="shared" si="27"/>
        <v>0</v>
      </c>
      <c r="AB129" s="2">
        <f t="shared" si="28"/>
        <v>0</v>
      </c>
      <c r="AC129" s="2">
        <f t="shared" si="29"/>
        <v>1705.8880999999999</v>
      </c>
      <c r="AD129" s="2">
        <f t="shared" si="30"/>
        <v>0</v>
      </c>
      <c r="AE129" s="2">
        <f t="shared" si="31"/>
        <v>1705.8880999999999</v>
      </c>
    </row>
    <row r="130" spans="1:31">
      <c r="A130" s="1" t="s">
        <v>14</v>
      </c>
      <c r="B130">
        <v>215</v>
      </c>
      <c r="C130" s="5">
        <v>99.999662714999999</v>
      </c>
      <c r="D130" s="5">
        <v>12.5699886667</v>
      </c>
      <c r="E130" s="11">
        <v>3957.2169000000004</v>
      </c>
      <c r="F130" s="15">
        <v>1.6</v>
      </c>
      <c r="G130" s="15">
        <v>0</v>
      </c>
      <c r="H130" s="15">
        <v>0</v>
      </c>
      <c r="I130" s="15">
        <v>0</v>
      </c>
      <c r="J130" s="11">
        <v>0</v>
      </c>
      <c r="K130" s="15">
        <v>0</v>
      </c>
      <c r="L130" s="15">
        <v>0</v>
      </c>
      <c r="M130" s="15">
        <v>0</v>
      </c>
      <c r="N130" s="16">
        <v>0</v>
      </c>
      <c r="O130" s="2">
        <f t="shared" si="17"/>
        <v>3958.8169000000003</v>
      </c>
      <c r="P130" s="2">
        <f t="shared" si="18"/>
        <v>0</v>
      </c>
      <c r="Q130" s="2">
        <f t="shared" si="19"/>
        <v>3958.8169000000003</v>
      </c>
      <c r="S130" s="2">
        <f t="shared" si="32"/>
        <v>3957.2035529009795</v>
      </c>
      <c r="T130" s="2">
        <f t="shared" si="20"/>
        <v>1.5999946034399999</v>
      </c>
      <c r="U130" s="2">
        <f t="shared" si="21"/>
        <v>0</v>
      </c>
      <c r="V130" s="2">
        <f t="shared" si="22"/>
        <v>0</v>
      </c>
      <c r="W130" s="2">
        <f t="shared" si="23"/>
        <v>0</v>
      </c>
      <c r="X130" s="2">
        <f t="shared" si="24"/>
        <v>0</v>
      </c>
      <c r="Y130" s="2">
        <f t="shared" si="25"/>
        <v>0</v>
      </c>
      <c r="Z130" s="2">
        <f t="shared" si="26"/>
        <v>0</v>
      </c>
      <c r="AA130" s="2">
        <f t="shared" si="27"/>
        <v>0</v>
      </c>
      <c r="AB130" s="2">
        <f t="shared" si="28"/>
        <v>0</v>
      </c>
      <c r="AC130" s="2">
        <f t="shared" si="29"/>
        <v>3958.8035475044189</v>
      </c>
      <c r="AD130" s="2">
        <f t="shared" si="30"/>
        <v>0</v>
      </c>
      <c r="AE130" s="2">
        <f t="shared" si="31"/>
        <v>3958.8035475044189</v>
      </c>
    </row>
    <row r="131" spans="1:31">
      <c r="A131" s="1" t="s">
        <v>14</v>
      </c>
      <c r="B131">
        <v>216</v>
      </c>
      <c r="C131" s="5">
        <v>100</v>
      </c>
      <c r="D131" s="5">
        <v>5.21340977888</v>
      </c>
      <c r="E131" s="11">
        <v>61.8</v>
      </c>
      <c r="F131" s="15">
        <v>5.3</v>
      </c>
      <c r="G131" s="15">
        <v>0</v>
      </c>
      <c r="H131" s="15">
        <v>0</v>
      </c>
      <c r="I131" s="15">
        <v>0</v>
      </c>
      <c r="J131" s="11">
        <v>0</v>
      </c>
      <c r="K131" s="15">
        <v>0</v>
      </c>
      <c r="L131" s="15">
        <v>0</v>
      </c>
      <c r="M131" s="15">
        <v>0</v>
      </c>
      <c r="N131" s="16">
        <v>0</v>
      </c>
      <c r="O131" s="2">
        <f t="shared" ref="O131:O194" si="33">SUM(E131:I131)</f>
        <v>67.099999999999994</v>
      </c>
      <c r="P131" s="2">
        <f t="shared" ref="P131:P194" si="34">SUM(J131:N131)</f>
        <v>0</v>
      </c>
      <c r="Q131" s="2">
        <f t="shared" ref="Q131:Q194" si="35">SUM(O131:P131)</f>
        <v>67.099999999999994</v>
      </c>
      <c r="S131" s="2">
        <f t="shared" si="32"/>
        <v>61.8</v>
      </c>
      <c r="T131" s="2">
        <f t="shared" ref="T131:T194" si="36">F131*$C131/100</f>
        <v>5.3</v>
      </c>
      <c r="U131" s="2">
        <f t="shared" ref="U131:U194" si="37">G131*$C131/100</f>
        <v>0</v>
      </c>
      <c r="V131" s="2">
        <f t="shared" ref="V131:V194" si="38">H131*$C131/100</f>
        <v>0</v>
      </c>
      <c r="W131" s="2">
        <f t="shared" ref="W131:W194" si="39">I131*$C131/100</f>
        <v>0</v>
      </c>
      <c r="X131" s="2">
        <f t="shared" ref="X131:X194" si="40">J131*$C131/100</f>
        <v>0</v>
      </c>
      <c r="Y131" s="2">
        <f t="shared" ref="Y131:Y194" si="41">K131*$C131/100</f>
        <v>0</v>
      </c>
      <c r="Z131" s="2">
        <f t="shared" ref="Z131:Z194" si="42">L131*$C131/100</f>
        <v>0</v>
      </c>
      <c r="AA131" s="2">
        <f t="shared" ref="AA131:AA194" si="43">M131*$C131/100</f>
        <v>0</v>
      </c>
      <c r="AB131" s="2">
        <f t="shared" ref="AB131:AB194" si="44">N131*$C131/100</f>
        <v>0</v>
      </c>
      <c r="AC131" s="2">
        <f t="shared" ref="AC131:AC194" si="45">O131*$C131/100</f>
        <v>67.099999999999994</v>
      </c>
      <c r="AD131" s="2">
        <f t="shared" ref="AD131:AD194" si="46">P131*$C131/100</f>
        <v>0</v>
      </c>
      <c r="AE131" s="2">
        <f t="shared" ref="AE131:AE194" si="47">Q131*$C131/100</f>
        <v>67.099999999999994</v>
      </c>
    </row>
    <row r="132" spans="1:31">
      <c r="A132" s="1" t="s">
        <v>14</v>
      </c>
      <c r="B132">
        <v>217</v>
      </c>
      <c r="C132" s="5">
        <v>99.999800939400004</v>
      </c>
      <c r="D132" s="5">
        <v>10.497812268200001</v>
      </c>
      <c r="E132" s="11">
        <v>0</v>
      </c>
      <c r="F132" s="15">
        <v>4.3</v>
      </c>
      <c r="G132" s="15">
        <v>0</v>
      </c>
      <c r="H132" s="15">
        <v>0</v>
      </c>
      <c r="I132" s="15">
        <v>0</v>
      </c>
      <c r="J132" s="11">
        <v>0</v>
      </c>
      <c r="K132" s="15">
        <v>0</v>
      </c>
      <c r="L132" s="15">
        <v>0</v>
      </c>
      <c r="M132" s="15">
        <v>0</v>
      </c>
      <c r="N132" s="16">
        <v>0</v>
      </c>
      <c r="O132" s="2">
        <f t="shared" si="33"/>
        <v>4.3</v>
      </c>
      <c r="P132" s="2">
        <f t="shared" si="34"/>
        <v>0</v>
      </c>
      <c r="Q132" s="2">
        <f t="shared" si="35"/>
        <v>4.3</v>
      </c>
      <c r="S132" s="2">
        <f t="shared" ref="S132:S195" si="48">E132*$C132/100</f>
        <v>0</v>
      </c>
      <c r="T132" s="2">
        <f t="shared" si="36"/>
        <v>4.2999914403941997</v>
      </c>
      <c r="U132" s="2">
        <f t="shared" si="37"/>
        <v>0</v>
      </c>
      <c r="V132" s="2">
        <f t="shared" si="38"/>
        <v>0</v>
      </c>
      <c r="W132" s="2">
        <f t="shared" si="39"/>
        <v>0</v>
      </c>
      <c r="X132" s="2">
        <f t="shared" si="40"/>
        <v>0</v>
      </c>
      <c r="Y132" s="2">
        <f t="shared" si="41"/>
        <v>0</v>
      </c>
      <c r="Z132" s="2">
        <f t="shared" si="42"/>
        <v>0</v>
      </c>
      <c r="AA132" s="2">
        <f t="shared" si="43"/>
        <v>0</v>
      </c>
      <c r="AB132" s="2">
        <f t="shared" si="44"/>
        <v>0</v>
      </c>
      <c r="AC132" s="2">
        <f t="shared" si="45"/>
        <v>4.2999914403941997</v>
      </c>
      <c r="AD132" s="2">
        <f t="shared" si="46"/>
        <v>0</v>
      </c>
      <c r="AE132" s="2">
        <f t="shared" si="47"/>
        <v>4.2999914403941997</v>
      </c>
    </row>
    <row r="133" spans="1:31">
      <c r="A133" s="1" t="s">
        <v>14</v>
      </c>
      <c r="B133">
        <v>218</v>
      </c>
      <c r="C133" s="5">
        <v>100</v>
      </c>
      <c r="D133" s="5">
        <v>5.0150273291899996</v>
      </c>
      <c r="E133" s="11">
        <v>9252.9285099999997</v>
      </c>
      <c r="F133" s="15">
        <v>325.20000000000005</v>
      </c>
      <c r="G133" s="15">
        <v>0</v>
      </c>
      <c r="H133" s="15">
        <v>0</v>
      </c>
      <c r="I133" s="15">
        <v>0</v>
      </c>
      <c r="J133" s="11">
        <v>0</v>
      </c>
      <c r="K133" s="15">
        <v>0</v>
      </c>
      <c r="L133" s="15">
        <v>0</v>
      </c>
      <c r="M133" s="15">
        <v>0</v>
      </c>
      <c r="N133" s="16">
        <v>0</v>
      </c>
      <c r="O133" s="2">
        <f t="shared" si="33"/>
        <v>9578.1285100000005</v>
      </c>
      <c r="P133" s="2">
        <f t="shared" si="34"/>
        <v>0</v>
      </c>
      <c r="Q133" s="2">
        <f t="shared" si="35"/>
        <v>9578.1285100000005</v>
      </c>
      <c r="S133" s="2">
        <f t="shared" si="48"/>
        <v>9252.9285099999997</v>
      </c>
      <c r="T133" s="2">
        <f t="shared" si="36"/>
        <v>325.20000000000005</v>
      </c>
      <c r="U133" s="2">
        <f t="shared" si="37"/>
        <v>0</v>
      </c>
      <c r="V133" s="2">
        <f t="shared" si="38"/>
        <v>0</v>
      </c>
      <c r="W133" s="2">
        <f t="shared" si="39"/>
        <v>0</v>
      </c>
      <c r="X133" s="2">
        <f t="shared" si="40"/>
        <v>0</v>
      </c>
      <c r="Y133" s="2">
        <f t="shared" si="41"/>
        <v>0</v>
      </c>
      <c r="Z133" s="2">
        <f t="shared" si="42"/>
        <v>0</v>
      </c>
      <c r="AA133" s="2">
        <f t="shared" si="43"/>
        <v>0</v>
      </c>
      <c r="AB133" s="2">
        <f t="shared" si="44"/>
        <v>0</v>
      </c>
      <c r="AC133" s="2">
        <f t="shared" si="45"/>
        <v>9578.1285100000005</v>
      </c>
      <c r="AD133" s="2">
        <f t="shared" si="46"/>
        <v>0</v>
      </c>
      <c r="AE133" s="2">
        <f t="shared" si="47"/>
        <v>9578.1285100000005</v>
      </c>
    </row>
    <row r="134" spans="1:31">
      <c r="A134" s="1" t="s">
        <v>15</v>
      </c>
      <c r="B134">
        <v>96</v>
      </c>
      <c r="C134" s="5">
        <v>99.999569163900006</v>
      </c>
      <c r="D134" s="5">
        <v>6.0980835731100003</v>
      </c>
      <c r="E134" s="11">
        <v>0</v>
      </c>
      <c r="F134" s="15">
        <v>0</v>
      </c>
      <c r="G134" s="15">
        <v>27.295750000000002</v>
      </c>
      <c r="H134" s="15">
        <v>64.7</v>
      </c>
      <c r="I134" s="15">
        <v>0</v>
      </c>
      <c r="J134" s="11">
        <v>0</v>
      </c>
      <c r="K134" s="15">
        <v>0</v>
      </c>
      <c r="L134" s="15">
        <v>0</v>
      </c>
      <c r="M134" s="15">
        <v>0</v>
      </c>
      <c r="N134" s="16">
        <v>0</v>
      </c>
      <c r="O134" s="2">
        <f t="shared" si="33"/>
        <v>91.995750000000001</v>
      </c>
      <c r="P134" s="2">
        <f t="shared" si="34"/>
        <v>0</v>
      </c>
      <c r="Q134" s="2">
        <f t="shared" si="35"/>
        <v>91.995750000000001</v>
      </c>
      <c r="S134" s="2">
        <f t="shared" si="48"/>
        <v>0</v>
      </c>
      <c r="T134" s="2">
        <f t="shared" si="36"/>
        <v>0</v>
      </c>
      <c r="U134" s="2">
        <f t="shared" si="37"/>
        <v>27.295632400055236</v>
      </c>
      <c r="V134" s="2">
        <f t="shared" si="38"/>
        <v>64.699721249043307</v>
      </c>
      <c r="W134" s="2">
        <f t="shared" si="39"/>
        <v>0</v>
      </c>
      <c r="X134" s="2">
        <f t="shared" si="40"/>
        <v>0</v>
      </c>
      <c r="Y134" s="2">
        <f t="shared" si="41"/>
        <v>0</v>
      </c>
      <c r="Z134" s="2">
        <f t="shared" si="42"/>
        <v>0</v>
      </c>
      <c r="AA134" s="2">
        <f t="shared" si="43"/>
        <v>0</v>
      </c>
      <c r="AB134" s="2">
        <f t="shared" si="44"/>
        <v>0</v>
      </c>
      <c r="AC134" s="2">
        <f t="shared" si="45"/>
        <v>91.995353649098547</v>
      </c>
      <c r="AD134" s="2">
        <f t="shared" si="46"/>
        <v>0</v>
      </c>
      <c r="AE134" s="2">
        <f t="shared" si="47"/>
        <v>91.995353649098547</v>
      </c>
    </row>
    <row r="135" spans="1:31">
      <c r="A135" s="1" t="s">
        <v>15</v>
      </c>
      <c r="B135">
        <v>97</v>
      </c>
      <c r="C135" s="5">
        <v>99.999617143999998</v>
      </c>
      <c r="D135" s="5">
        <v>2.6009217660899999</v>
      </c>
      <c r="E135" s="11">
        <v>0</v>
      </c>
      <c r="F135" s="15">
        <v>0</v>
      </c>
      <c r="G135" s="15">
        <v>219.78077999999999</v>
      </c>
      <c r="H135" s="15">
        <v>0</v>
      </c>
      <c r="I135" s="15">
        <v>0</v>
      </c>
      <c r="J135" s="11">
        <v>0</v>
      </c>
      <c r="K135" s="15">
        <v>0</v>
      </c>
      <c r="L135" s="15">
        <v>0</v>
      </c>
      <c r="M135" s="15">
        <v>0</v>
      </c>
      <c r="N135" s="16">
        <v>0</v>
      </c>
      <c r="O135" s="2">
        <f t="shared" si="33"/>
        <v>219.78077999999999</v>
      </c>
      <c r="P135" s="2">
        <f t="shared" si="34"/>
        <v>0</v>
      </c>
      <c r="Q135" s="2">
        <f t="shared" si="35"/>
        <v>219.78077999999999</v>
      </c>
      <c r="S135" s="2">
        <f t="shared" si="48"/>
        <v>0</v>
      </c>
      <c r="T135" s="2">
        <f t="shared" si="36"/>
        <v>0</v>
      </c>
      <c r="U135" s="2">
        <f t="shared" si="37"/>
        <v>219.77993855609691</v>
      </c>
      <c r="V135" s="2">
        <f t="shared" si="38"/>
        <v>0</v>
      </c>
      <c r="W135" s="2">
        <f t="shared" si="39"/>
        <v>0</v>
      </c>
      <c r="X135" s="2">
        <f t="shared" si="40"/>
        <v>0</v>
      </c>
      <c r="Y135" s="2">
        <f t="shared" si="41"/>
        <v>0</v>
      </c>
      <c r="Z135" s="2">
        <f t="shared" si="42"/>
        <v>0</v>
      </c>
      <c r="AA135" s="2">
        <f t="shared" si="43"/>
        <v>0</v>
      </c>
      <c r="AB135" s="2">
        <f t="shared" si="44"/>
        <v>0</v>
      </c>
      <c r="AC135" s="2">
        <f t="shared" si="45"/>
        <v>219.77993855609691</v>
      </c>
      <c r="AD135" s="2">
        <f t="shared" si="46"/>
        <v>0</v>
      </c>
      <c r="AE135" s="2">
        <f t="shared" si="47"/>
        <v>219.77993855609691</v>
      </c>
    </row>
    <row r="136" spans="1:31">
      <c r="A136" s="1" t="s">
        <v>15</v>
      </c>
      <c r="B136">
        <v>98</v>
      </c>
      <c r="C136" s="5">
        <v>100</v>
      </c>
      <c r="D136" s="5">
        <v>2.55575559535</v>
      </c>
      <c r="E136" s="11">
        <v>0</v>
      </c>
      <c r="F136" s="15">
        <v>0</v>
      </c>
      <c r="G136" s="15">
        <v>62.498660000000001</v>
      </c>
      <c r="H136" s="15">
        <v>0</v>
      </c>
      <c r="I136" s="15">
        <v>0</v>
      </c>
      <c r="J136" s="11">
        <v>0</v>
      </c>
      <c r="K136" s="15">
        <v>0</v>
      </c>
      <c r="L136" s="15">
        <v>0</v>
      </c>
      <c r="M136" s="15">
        <v>0</v>
      </c>
      <c r="N136" s="16">
        <v>0</v>
      </c>
      <c r="O136" s="2">
        <f t="shared" si="33"/>
        <v>62.498660000000001</v>
      </c>
      <c r="P136" s="2">
        <f t="shared" si="34"/>
        <v>0</v>
      </c>
      <c r="Q136" s="2">
        <f t="shared" si="35"/>
        <v>62.498660000000001</v>
      </c>
      <c r="S136" s="2">
        <f t="shared" si="48"/>
        <v>0</v>
      </c>
      <c r="T136" s="2">
        <f t="shared" si="36"/>
        <v>0</v>
      </c>
      <c r="U136" s="2">
        <f t="shared" si="37"/>
        <v>62.498660000000001</v>
      </c>
      <c r="V136" s="2">
        <f t="shared" si="38"/>
        <v>0</v>
      </c>
      <c r="W136" s="2">
        <f t="shared" si="39"/>
        <v>0</v>
      </c>
      <c r="X136" s="2">
        <f t="shared" si="40"/>
        <v>0</v>
      </c>
      <c r="Y136" s="2">
        <f t="shared" si="41"/>
        <v>0</v>
      </c>
      <c r="Z136" s="2">
        <f t="shared" si="42"/>
        <v>0</v>
      </c>
      <c r="AA136" s="2">
        <f t="shared" si="43"/>
        <v>0</v>
      </c>
      <c r="AB136" s="2">
        <f t="shared" si="44"/>
        <v>0</v>
      </c>
      <c r="AC136" s="2">
        <f t="shared" si="45"/>
        <v>62.498660000000001</v>
      </c>
      <c r="AD136" s="2">
        <f t="shared" si="46"/>
        <v>0</v>
      </c>
      <c r="AE136" s="2">
        <f t="shared" si="47"/>
        <v>62.498660000000001</v>
      </c>
    </row>
    <row r="137" spans="1:31">
      <c r="A137" s="1" t="s">
        <v>15</v>
      </c>
      <c r="B137">
        <v>99</v>
      </c>
      <c r="C137" s="5">
        <v>99.999878525200003</v>
      </c>
      <c r="D137" s="5">
        <v>6.3814994242000003</v>
      </c>
      <c r="E137" s="11">
        <v>0</v>
      </c>
      <c r="F137" s="15">
        <v>0</v>
      </c>
      <c r="G137" s="15">
        <v>645.98470000000009</v>
      </c>
      <c r="H137" s="15">
        <v>0</v>
      </c>
      <c r="I137" s="15">
        <v>0</v>
      </c>
      <c r="J137" s="11">
        <v>0</v>
      </c>
      <c r="K137" s="15">
        <v>0</v>
      </c>
      <c r="L137" s="15">
        <v>0</v>
      </c>
      <c r="M137" s="15">
        <v>0</v>
      </c>
      <c r="N137" s="16">
        <v>0</v>
      </c>
      <c r="O137" s="2">
        <f t="shared" si="33"/>
        <v>645.98470000000009</v>
      </c>
      <c r="P137" s="2">
        <f t="shared" si="34"/>
        <v>0</v>
      </c>
      <c r="Q137" s="2">
        <f t="shared" si="35"/>
        <v>645.98470000000009</v>
      </c>
      <c r="S137" s="2">
        <f t="shared" si="48"/>
        <v>0</v>
      </c>
      <c r="T137" s="2">
        <f t="shared" si="36"/>
        <v>0</v>
      </c>
      <c r="U137" s="2">
        <f t="shared" si="37"/>
        <v>645.9839152913778</v>
      </c>
      <c r="V137" s="2">
        <f t="shared" si="38"/>
        <v>0</v>
      </c>
      <c r="W137" s="2">
        <f t="shared" si="39"/>
        <v>0</v>
      </c>
      <c r="X137" s="2">
        <f t="shared" si="40"/>
        <v>0</v>
      </c>
      <c r="Y137" s="2">
        <f t="shared" si="41"/>
        <v>0</v>
      </c>
      <c r="Z137" s="2">
        <f t="shared" si="42"/>
        <v>0</v>
      </c>
      <c r="AA137" s="2">
        <f t="shared" si="43"/>
        <v>0</v>
      </c>
      <c r="AB137" s="2">
        <f t="shared" si="44"/>
        <v>0</v>
      </c>
      <c r="AC137" s="2">
        <f t="shared" si="45"/>
        <v>645.9839152913778</v>
      </c>
      <c r="AD137" s="2">
        <f t="shared" si="46"/>
        <v>0</v>
      </c>
      <c r="AE137" s="2">
        <f t="shared" si="47"/>
        <v>645.9839152913778</v>
      </c>
    </row>
    <row r="138" spans="1:31">
      <c r="A138" s="1" t="s">
        <v>15</v>
      </c>
      <c r="B138">
        <v>100</v>
      </c>
      <c r="C138" s="5">
        <v>100</v>
      </c>
      <c r="D138" s="5">
        <v>1.3825956586499999</v>
      </c>
      <c r="E138" s="11">
        <v>0</v>
      </c>
      <c r="F138" s="15">
        <v>0</v>
      </c>
      <c r="G138" s="15">
        <v>131.51822000000001</v>
      </c>
      <c r="H138" s="15">
        <v>0</v>
      </c>
      <c r="I138" s="15">
        <v>0</v>
      </c>
      <c r="J138" s="11">
        <v>0</v>
      </c>
      <c r="K138" s="15">
        <v>0</v>
      </c>
      <c r="L138" s="15">
        <v>0</v>
      </c>
      <c r="M138" s="15">
        <v>0</v>
      </c>
      <c r="N138" s="16">
        <v>0</v>
      </c>
      <c r="O138" s="2">
        <f t="shared" si="33"/>
        <v>131.51822000000001</v>
      </c>
      <c r="P138" s="2">
        <f t="shared" si="34"/>
        <v>0</v>
      </c>
      <c r="Q138" s="2">
        <f t="shared" si="35"/>
        <v>131.51822000000001</v>
      </c>
      <c r="S138" s="2">
        <f t="shared" si="48"/>
        <v>0</v>
      </c>
      <c r="T138" s="2">
        <f t="shared" si="36"/>
        <v>0</v>
      </c>
      <c r="U138" s="2">
        <f t="shared" si="37"/>
        <v>131.51822000000001</v>
      </c>
      <c r="V138" s="2">
        <f t="shared" si="38"/>
        <v>0</v>
      </c>
      <c r="W138" s="2">
        <f t="shared" si="39"/>
        <v>0</v>
      </c>
      <c r="X138" s="2">
        <f t="shared" si="40"/>
        <v>0</v>
      </c>
      <c r="Y138" s="2">
        <f t="shared" si="41"/>
        <v>0</v>
      </c>
      <c r="Z138" s="2">
        <f t="shared" si="42"/>
        <v>0</v>
      </c>
      <c r="AA138" s="2">
        <f t="shared" si="43"/>
        <v>0</v>
      </c>
      <c r="AB138" s="2">
        <f t="shared" si="44"/>
        <v>0</v>
      </c>
      <c r="AC138" s="2">
        <f t="shared" si="45"/>
        <v>131.51822000000001</v>
      </c>
      <c r="AD138" s="2">
        <f t="shared" si="46"/>
        <v>0</v>
      </c>
      <c r="AE138" s="2">
        <f t="shared" si="47"/>
        <v>131.51822000000001</v>
      </c>
    </row>
    <row r="139" spans="1:31">
      <c r="A139" s="1" t="s">
        <v>15</v>
      </c>
      <c r="B139">
        <v>101</v>
      </c>
      <c r="C139" s="5">
        <v>100</v>
      </c>
      <c r="D139" s="5">
        <v>1.8994086374500001</v>
      </c>
      <c r="E139" s="11">
        <v>0</v>
      </c>
      <c r="F139" s="15">
        <v>0</v>
      </c>
      <c r="G139" s="15">
        <v>0</v>
      </c>
      <c r="H139" s="15">
        <v>878.50474999999994</v>
      </c>
      <c r="I139" s="15">
        <v>0</v>
      </c>
      <c r="J139" s="11">
        <v>0</v>
      </c>
      <c r="K139" s="15">
        <v>0</v>
      </c>
      <c r="L139" s="15">
        <v>0</v>
      </c>
      <c r="M139" s="15">
        <v>0</v>
      </c>
      <c r="N139" s="16">
        <v>0</v>
      </c>
      <c r="O139" s="2">
        <f t="shared" si="33"/>
        <v>878.50474999999994</v>
      </c>
      <c r="P139" s="2">
        <f t="shared" si="34"/>
        <v>0</v>
      </c>
      <c r="Q139" s="2">
        <f t="shared" si="35"/>
        <v>878.50474999999994</v>
      </c>
      <c r="S139" s="2">
        <f t="shared" si="48"/>
        <v>0</v>
      </c>
      <c r="T139" s="2">
        <f t="shared" si="36"/>
        <v>0</v>
      </c>
      <c r="U139" s="2">
        <f t="shared" si="37"/>
        <v>0</v>
      </c>
      <c r="V139" s="2">
        <f t="shared" si="38"/>
        <v>878.50474999999994</v>
      </c>
      <c r="W139" s="2">
        <f t="shared" si="39"/>
        <v>0</v>
      </c>
      <c r="X139" s="2">
        <f t="shared" si="40"/>
        <v>0</v>
      </c>
      <c r="Y139" s="2">
        <f t="shared" si="41"/>
        <v>0</v>
      </c>
      <c r="Z139" s="2">
        <f t="shared" si="42"/>
        <v>0</v>
      </c>
      <c r="AA139" s="2">
        <f t="shared" si="43"/>
        <v>0</v>
      </c>
      <c r="AB139" s="2">
        <f t="shared" si="44"/>
        <v>0</v>
      </c>
      <c r="AC139" s="2">
        <f t="shared" si="45"/>
        <v>878.50474999999994</v>
      </c>
      <c r="AD139" s="2">
        <f t="shared" si="46"/>
        <v>0</v>
      </c>
      <c r="AE139" s="2">
        <f t="shared" si="47"/>
        <v>878.50474999999994</v>
      </c>
    </row>
    <row r="140" spans="1:31">
      <c r="A140" s="1" t="s">
        <v>15</v>
      </c>
      <c r="B140">
        <v>102</v>
      </c>
      <c r="C140" s="5">
        <v>100</v>
      </c>
      <c r="D140" s="5">
        <v>2.4253263228100002</v>
      </c>
      <c r="E140" s="11">
        <v>0</v>
      </c>
      <c r="F140" s="15">
        <v>0</v>
      </c>
      <c r="G140" s="15">
        <v>314.91921000000002</v>
      </c>
      <c r="H140" s="15">
        <v>10</v>
      </c>
      <c r="I140" s="15">
        <v>0</v>
      </c>
      <c r="J140" s="11">
        <v>0</v>
      </c>
      <c r="K140" s="15">
        <v>0</v>
      </c>
      <c r="L140" s="15">
        <v>0</v>
      </c>
      <c r="M140" s="15">
        <v>0</v>
      </c>
      <c r="N140" s="16">
        <v>0</v>
      </c>
      <c r="O140" s="2">
        <f t="shared" si="33"/>
        <v>324.91921000000002</v>
      </c>
      <c r="P140" s="2">
        <f t="shared" si="34"/>
        <v>0</v>
      </c>
      <c r="Q140" s="2">
        <f t="shared" si="35"/>
        <v>324.91921000000002</v>
      </c>
      <c r="S140" s="2">
        <f t="shared" si="48"/>
        <v>0</v>
      </c>
      <c r="T140" s="2">
        <f t="shared" si="36"/>
        <v>0</v>
      </c>
      <c r="U140" s="2">
        <f t="shared" si="37"/>
        <v>314.91921000000002</v>
      </c>
      <c r="V140" s="2">
        <f t="shared" si="38"/>
        <v>10</v>
      </c>
      <c r="W140" s="2">
        <f t="shared" si="39"/>
        <v>0</v>
      </c>
      <c r="X140" s="2">
        <f t="shared" si="40"/>
        <v>0</v>
      </c>
      <c r="Y140" s="2">
        <f t="shared" si="41"/>
        <v>0</v>
      </c>
      <c r="Z140" s="2">
        <f t="shared" si="42"/>
        <v>0</v>
      </c>
      <c r="AA140" s="2">
        <f t="shared" si="43"/>
        <v>0</v>
      </c>
      <c r="AB140" s="2">
        <f t="shared" si="44"/>
        <v>0</v>
      </c>
      <c r="AC140" s="2">
        <f t="shared" si="45"/>
        <v>324.91921000000002</v>
      </c>
      <c r="AD140" s="2">
        <f t="shared" si="46"/>
        <v>0</v>
      </c>
      <c r="AE140" s="2">
        <f t="shared" si="47"/>
        <v>324.91921000000002</v>
      </c>
    </row>
    <row r="141" spans="1:31">
      <c r="A141" s="1" t="s">
        <v>15</v>
      </c>
      <c r="B141">
        <v>103</v>
      </c>
      <c r="C141" s="5">
        <v>100</v>
      </c>
      <c r="D141" s="5">
        <v>0.66646309248299995</v>
      </c>
      <c r="E141" s="11">
        <v>0</v>
      </c>
      <c r="F141" s="15">
        <v>0</v>
      </c>
      <c r="G141" s="15">
        <v>0</v>
      </c>
      <c r="H141" s="15">
        <v>0</v>
      </c>
      <c r="I141" s="15">
        <v>0</v>
      </c>
      <c r="J141" s="11">
        <v>0</v>
      </c>
      <c r="K141" s="15">
        <v>0</v>
      </c>
      <c r="L141" s="15">
        <v>0</v>
      </c>
      <c r="M141" s="15">
        <v>0</v>
      </c>
      <c r="N141" s="16">
        <v>0</v>
      </c>
      <c r="O141" s="2">
        <f t="shared" si="33"/>
        <v>0</v>
      </c>
      <c r="P141" s="2">
        <f t="shared" si="34"/>
        <v>0</v>
      </c>
      <c r="Q141" s="2">
        <f t="shared" si="35"/>
        <v>0</v>
      </c>
      <c r="S141" s="2">
        <f t="shared" si="48"/>
        <v>0</v>
      </c>
      <c r="T141" s="2">
        <f t="shared" si="36"/>
        <v>0</v>
      </c>
      <c r="U141" s="2">
        <f t="shared" si="37"/>
        <v>0</v>
      </c>
      <c r="V141" s="2">
        <f t="shared" si="38"/>
        <v>0</v>
      </c>
      <c r="W141" s="2">
        <f t="shared" si="39"/>
        <v>0</v>
      </c>
      <c r="X141" s="2">
        <f t="shared" si="40"/>
        <v>0</v>
      </c>
      <c r="Y141" s="2">
        <f t="shared" si="41"/>
        <v>0</v>
      </c>
      <c r="Z141" s="2">
        <f t="shared" si="42"/>
        <v>0</v>
      </c>
      <c r="AA141" s="2">
        <f t="shared" si="43"/>
        <v>0</v>
      </c>
      <c r="AB141" s="2">
        <f t="shared" si="44"/>
        <v>0</v>
      </c>
      <c r="AC141" s="2">
        <f t="shared" si="45"/>
        <v>0</v>
      </c>
      <c r="AD141" s="2">
        <f t="shared" si="46"/>
        <v>0</v>
      </c>
      <c r="AE141" s="2">
        <f t="shared" si="47"/>
        <v>0</v>
      </c>
    </row>
    <row r="142" spans="1:31">
      <c r="A142" s="1" t="s">
        <v>15</v>
      </c>
      <c r="B142">
        <v>104</v>
      </c>
      <c r="C142" s="5">
        <v>99.999961691500005</v>
      </c>
      <c r="D142" s="5">
        <v>2.05166606404</v>
      </c>
      <c r="E142" s="11">
        <v>0</v>
      </c>
      <c r="F142" s="15">
        <v>0</v>
      </c>
      <c r="G142" s="15">
        <v>0</v>
      </c>
      <c r="H142" s="15">
        <v>2.4</v>
      </c>
      <c r="I142" s="15">
        <v>0</v>
      </c>
      <c r="J142" s="11">
        <v>0</v>
      </c>
      <c r="K142" s="15">
        <v>0</v>
      </c>
      <c r="L142" s="15">
        <v>0</v>
      </c>
      <c r="M142" s="15">
        <v>0</v>
      </c>
      <c r="N142" s="16">
        <v>0</v>
      </c>
      <c r="O142" s="2">
        <f t="shared" si="33"/>
        <v>2.4</v>
      </c>
      <c r="P142" s="2">
        <f t="shared" si="34"/>
        <v>0</v>
      </c>
      <c r="Q142" s="2">
        <f t="shared" si="35"/>
        <v>2.4</v>
      </c>
      <c r="S142" s="2">
        <f t="shared" si="48"/>
        <v>0</v>
      </c>
      <c r="T142" s="2">
        <f t="shared" si="36"/>
        <v>0</v>
      </c>
      <c r="U142" s="2">
        <f t="shared" si="37"/>
        <v>0</v>
      </c>
      <c r="V142" s="2">
        <f t="shared" si="38"/>
        <v>2.3999990805959999</v>
      </c>
      <c r="W142" s="2">
        <f t="shared" si="39"/>
        <v>0</v>
      </c>
      <c r="X142" s="2">
        <f t="shared" si="40"/>
        <v>0</v>
      </c>
      <c r="Y142" s="2">
        <f t="shared" si="41"/>
        <v>0</v>
      </c>
      <c r="Z142" s="2">
        <f t="shared" si="42"/>
        <v>0</v>
      </c>
      <c r="AA142" s="2">
        <f t="shared" si="43"/>
        <v>0</v>
      </c>
      <c r="AB142" s="2">
        <f t="shared" si="44"/>
        <v>0</v>
      </c>
      <c r="AC142" s="2">
        <f t="shared" si="45"/>
        <v>2.3999990805959999</v>
      </c>
      <c r="AD142" s="2">
        <f t="shared" si="46"/>
        <v>0</v>
      </c>
      <c r="AE142" s="2">
        <f t="shared" si="47"/>
        <v>2.3999990805959999</v>
      </c>
    </row>
    <row r="143" spans="1:31">
      <c r="A143" s="1" t="s">
        <v>15</v>
      </c>
      <c r="B143">
        <v>105</v>
      </c>
      <c r="C143" s="5">
        <v>67.184726648899996</v>
      </c>
      <c r="D143" s="5">
        <v>1.8064472433400001</v>
      </c>
      <c r="E143" s="11">
        <v>0</v>
      </c>
      <c r="F143" s="15">
        <v>0</v>
      </c>
      <c r="G143" s="15">
        <v>0</v>
      </c>
      <c r="H143" s="15">
        <v>338.278637</v>
      </c>
      <c r="I143" s="15">
        <v>0</v>
      </c>
      <c r="J143" s="11">
        <v>0</v>
      </c>
      <c r="K143" s="15">
        <v>0</v>
      </c>
      <c r="L143" s="15">
        <v>0</v>
      </c>
      <c r="M143" s="15">
        <v>0</v>
      </c>
      <c r="N143" s="16">
        <v>0</v>
      </c>
      <c r="O143" s="2">
        <f t="shared" si="33"/>
        <v>338.278637</v>
      </c>
      <c r="P143" s="2">
        <f t="shared" si="34"/>
        <v>0</v>
      </c>
      <c r="Q143" s="2">
        <f t="shared" si="35"/>
        <v>338.278637</v>
      </c>
      <c r="S143" s="2">
        <f t="shared" si="48"/>
        <v>0</v>
      </c>
      <c r="T143" s="2">
        <f t="shared" si="36"/>
        <v>0</v>
      </c>
      <c r="U143" s="2">
        <f t="shared" si="37"/>
        <v>0</v>
      </c>
      <c r="V143" s="2">
        <f t="shared" si="38"/>
        <v>227.27157758007471</v>
      </c>
      <c r="W143" s="2">
        <f t="shared" si="39"/>
        <v>0</v>
      </c>
      <c r="X143" s="2">
        <f t="shared" si="40"/>
        <v>0</v>
      </c>
      <c r="Y143" s="2">
        <f t="shared" si="41"/>
        <v>0</v>
      </c>
      <c r="Z143" s="2">
        <f t="shared" si="42"/>
        <v>0</v>
      </c>
      <c r="AA143" s="2">
        <f t="shared" si="43"/>
        <v>0</v>
      </c>
      <c r="AB143" s="2">
        <f t="shared" si="44"/>
        <v>0</v>
      </c>
      <c r="AC143" s="2">
        <f t="shared" si="45"/>
        <v>227.27157758007471</v>
      </c>
      <c r="AD143" s="2">
        <f t="shared" si="46"/>
        <v>0</v>
      </c>
      <c r="AE143" s="2">
        <f t="shared" si="47"/>
        <v>227.27157758007471</v>
      </c>
    </row>
    <row r="144" spans="1:31">
      <c r="A144" s="1" t="s">
        <v>15</v>
      </c>
      <c r="B144">
        <v>106</v>
      </c>
      <c r="C144" s="5">
        <v>99.999505963700003</v>
      </c>
      <c r="D144" s="5">
        <v>1.52599377084</v>
      </c>
      <c r="E144" s="11">
        <v>0</v>
      </c>
      <c r="F144" s="15">
        <v>0</v>
      </c>
      <c r="G144" s="15">
        <v>34.099997999999999</v>
      </c>
      <c r="H144" s="15">
        <v>91.2</v>
      </c>
      <c r="I144" s="15">
        <v>0</v>
      </c>
      <c r="J144" s="11">
        <v>0</v>
      </c>
      <c r="K144" s="15">
        <v>0</v>
      </c>
      <c r="L144" s="15">
        <v>0</v>
      </c>
      <c r="M144" s="15">
        <v>0</v>
      </c>
      <c r="N144" s="16">
        <v>0</v>
      </c>
      <c r="O144" s="2">
        <f t="shared" si="33"/>
        <v>125.299998</v>
      </c>
      <c r="P144" s="2">
        <f t="shared" si="34"/>
        <v>0</v>
      </c>
      <c r="Q144" s="2">
        <f t="shared" si="35"/>
        <v>125.299998</v>
      </c>
      <c r="S144" s="2">
        <f t="shared" si="48"/>
        <v>0</v>
      </c>
      <c r="T144" s="2">
        <f t="shared" si="36"/>
        <v>0</v>
      </c>
      <c r="U144" s="2">
        <f t="shared" si="37"/>
        <v>34.099829533631585</v>
      </c>
      <c r="V144" s="2">
        <f t="shared" si="38"/>
        <v>91.199549438894408</v>
      </c>
      <c r="W144" s="2">
        <f t="shared" si="39"/>
        <v>0</v>
      </c>
      <c r="X144" s="2">
        <f t="shared" si="40"/>
        <v>0</v>
      </c>
      <c r="Y144" s="2">
        <f t="shared" si="41"/>
        <v>0</v>
      </c>
      <c r="Z144" s="2">
        <f t="shared" si="42"/>
        <v>0</v>
      </c>
      <c r="AA144" s="2">
        <f t="shared" si="43"/>
        <v>0</v>
      </c>
      <c r="AB144" s="2">
        <f t="shared" si="44"/>
        <v>0</v>
      </c>
      <c r="AC144" s="2">
        <f t="shared" si="45"/>
        <v>125.29937897252599</v>
      </c>
      <c r="AD144" s="2">
        <f t="shared" si="46"/>
        <v>0</v>
      </c>
      <c r="AE144" s="2">
        <f t="shared" si="47"/>
        <v>125.29937897252599</v>
      </c>
    </row>
    <row r="145" spans="1:31">
      <c r="A145" s="1" t="s">
        <v>15</v>
      </c>
      <c r="B145">
        <v>107</v>
      </c>
      <c r="C145" s="5">
        <v>59.356358215900002</v>
      </c>
      <c r="D145" s="5">
        <v>0.77578237649399995</v>
      </c>
      <c r="E145" s="11">
        <v>0</v>
      </c>
      <c r="F145" s="15">
        <v>0</v>
      </c>
      <c r="G145" s="15">
        <v>0</v>
      </c>
      <c r="H145" s="15">
        <v>0</v>
      </c>
      <c r="I145" s="15">
        <v>0</v>
      </c>
      <c r="J145" s="11">
        <v>0</v>
      </c>
      <c r="K145" s="15">
        <v>0</v>
      </c>
      <c r="L145" s="15">
        <v>0</v>
      </c>
      <c r="M145" s="15">
        <v>0</v>
      </c>
      <c r="N145" s="16">
        <v>0</v>
      </c>
      <c r="O145" s="2">
        <f t="shared" si="33"/>
        <v>0</v>
      </c>
      <c r="P145" s="2">
        <f t="shared" si="34"/>
        <v>0</v>
      </c>
      <c r="Q145" s="2">
        <f t="shared" si="35"/>
        <v>0</v>
      </c>
      <c r="S145" s="2">
        <f t="shared" si="48"/>
        <v>0</v>
      </c>
      <c r="T145" s="2">
        <f t="shared" si="36"/>
        <v>0</v>
      </c>
      <c r="U145" s="2">
        <f t="shared" si="37"/>
        <v>0</v>
      </c>
      <c r="V145" s="2">
        <f t="shared" si="38"/>
        <v>0</v>
      </c>
      <c r="W145" s="2">
        <f t="shared" si="39"/>
        <v>0</v>
      </c>
      <c r="X145" s="2">
        <f t="shared" si="40"/>
        <v>0</v>
      </c>
      <c r="Y145" s="2">
        <f t="shared" si="41"/>
        <v>0</v>
      </c>
      <c r="Z145" s="2">
        <f t="shared" si="42"/>
        <v>0</v>
      </c>
      <c r="AA145" s="2">
        <f t="shared" si="43"/>
        <v>0</v>
      </c>
      <c r="AB145" s="2">
        <f t="shared" si="44"/>
        <v>0</v>
      </c>
      <c r="AC145" s="2">
        <f t="shared" si="45"/>
        <v>0</v>
      </c>
      <c r="AD145" s="2">
        <f t="shared" si="46"/>
        <v>0</v>
      </c>
      <c r="AE145" s="2">
        <f t="shared" si="47"/>
        <v>0</v>
      </c>
    </row>
    <row r="146" spans="1:31">
      <c r="A146" s="1" t="s">
        <v>15</v>
      </c>
      <c r="B146">
        <v>108</v>
      </c>
      <c r="C146" s="5">
        <v>100</v>
      </c>
      <c r="D146" s="5">
        <v>1.3609602292</v>
      </c>
      <c r="E146" s="11">
        <v>0</v>
      </c>
      <c r="F146" s="15">
        <v>0</v>
      </c>
      <c r="G146" s="15">
        <v>0</v>
      </c>
      <c r="H146" s="15">
        <v>1051.3692719999999</v>
      </c>
      <c r="I146" s="15">
        <v>0</v>
      </c>
      <c r="J146" s="11">
        <v>0</v>
      </c>
      <c r="K146" s="15">
        <v>0</v>
      </c>
      <c r="L146" s="15">
        <v>0</v>
      </c>
      <c r="M146" s="15">
        <v>0</v>
      </c>
      <c r="N146" s="16">
        <v>0</v>
      </c>
      <c r="O146" s="2">
        <f t="shared" si="33"/>
        <v>1051.3692719999999</v>
      </c>
      <c r="P146" s="2">
        <f t="shared" si="34"/>
        <v>0</v>
      </c>
      <c r="Q146" s="2">
        <f t="shared" si="35"/>
        <v>1051.3692719999999</v>
      </c>
      <c r="S146" s="2">
        <f t="shared" si="48"/>
        <v>0</v>
      </c>
      <c r="T146" s="2">
        <f t="shared" si="36"/>
        <v>0</v>
      </c>
      <c r="U146" s="2">
        <f t="shared" si="37"/>
        <v>0</v>
      </c>
      <c r="V146" s="2">
        <f t="shared" si="38"/>
        <v>1051.3692719999999</v>
      </c>
      <c r="W146" s="2">
        <f t="shared" si="39"/>
        <v>0</v>
      </c>
      <c r="X146" s="2">
        <f t="shared" si="40"/>
        <v>0</v>
      </c>
      <c r="Y146" s="2">
        <f t="shared" si="41"/>
        <v>0</v>
      </c>
      <c r="Z146" s="2">
        <f t="shared" si="42"/>
        <v>0</v>
      </c>
      <c r="AA146" s="2">
        <f t="shared" si="43"/>
        <v>0</v>
      </c>
      <c r="AB146" s="2">
        <f t="shared" si="44"/>
        <v>0</v>
      </c>
      <c r="AC146" s="2">
        <f t="shared" si="45"/>
        <v>1051.3692719999999</v>
      </c>
      <c r="AD146" s="2">
        <f t="shared" si="46"/>
        <v>0</v>
      </c>
      <c r="AE146" s="2">
        <f t="shared" si="47"/>
        <v>1051.3692719999999</v>
      </c>
    </row>
    <row r="147" spans="1:31">
      <c r="A147" s="1" t="s">
        <v>15</v>
      </c>
      <c r="B147">
        <v>109</v>
      </c>
      <c r="C147" s="5">
        <v>100</v>
      </c>
      <c r="D147" s="5">
        <v>2.6023207340000001</v>
      </c>
      <c r="E147" s="11">
        <v>0</v>
      </c>
      <c r="F147" s="15">
        <v>0</v>
      </c>
      <c r="G147" s="15">
        <v>677.56007</v>
      </c>
      <c r="H147" s="15">
        <v>348</v>
      </c>
      <c r="I147" s="15">
        <v>0</v>
      </c>
      <c r="J147" s="11">
        <v>0</v>
      </c>
      <c r="K147" s="15">
        <v>0</v>
      </c>
      <c r="L147" s="15">
        <v>0</v>
      </c>
      <c r="M147" s="15">
        <v>0</v>
      </c>
      <c r="N147" s="16">
        <v>0</v>
      </c>
      <c r="O147" s="2">
        <f t="shared" si="33"/>
        <v>1025.56007</v>
      </c>
      <c r="P147" s="2">
        <f t="shared" si="34"/>
        <v>0</v>
      </c>
      <c r="Q147" s="2">
        <f t="shared" si="35"/>
        <v>1025.56007</v>
      </c>
      <c r="S147" s="2">
        <f t="shared" si="48"/>
        <v>0</v>
      </c>
      <c r="T147" s="2">
        <f t="shared" si="36"/>
        <v>0</v>
      </c>
      <c r="U147" s="2">
        <f t="shared" si="37"/>
        <v>677.56007</v>
      </c>
      <c r="V147" s="2">
        <f t="shared" si="38"/>
        <v>348</v>
      </c>
      <c r="W147" s="2">
        <f t="shared" si="39"/>
        <v>0</v>
      </c>
      <c r="X147" s="2">
        <f t="shared" si="40"/>
        <v>0</v>
      </c>
      <c r="Y147" s="2">
        <f t="shared" si="41"/>
        <v>0</v>
      </c>
      <c r="Z147" s="2">
        <f t="shared" si="42"/>
        <v>0</v>
      </c>
      <c r="AA147" s="2">
        <f t="shared" si="43"/>
        <v>0</v>
      </c>
      <c r="AB147" s="2">
        <f t="shared" si="44"/>
        <v>0</v>
      </c>
      <c r="AC147" s="2">
        <f t="shared" si="45"/>
        <v>1025.56007</v>
      </c>
      <c r="AD147" s="2">
        <f t="shared" si="46"/>
        <v>0</v>
      </c>
      <c r="AE147" s="2">
        <f t="shared" si="47"/>
        <v>1025.56007</v>
      </c>
    </row>
    <row r="148" spans="1:31">
      <c r="A148" s="1" t="s">
        <v>15</v>
      </c>
      <c r="B148">
        <v>110</v>
      </c>
      <c r="C148" s="5">
        <v>100</v>
      </c>
      <c r="D148" s="5">
        <v>1.6958305655100001</v>
      </c>
      <c r="E148" s="11">
        <v>0</v>
      </c>
      <c r="F148" s="15">
        <v>0</v>
      </c>
      <c r="G148" s="15">
        <v>0</v>
      </c>
      <c r="H148" s="15">
        <v>1892.2088610000001</v>
      </c>
      <c r="I148" s="15">
        <v>0</v>
      </c>
      <c r="J148" s="11">
        <v>0</v>
      </c>
      <c r="K148" s="15">
        <v>0</v>
      </c>
      <c r="L148" s="15">
        <v>0</v>
      </c>
      <c r="M148" s="15">
        <v>0</v>
      </c>
      <c r="N148" s="16">
        <v>0</v>
      </c>
      <c r="O148" s="2">
        <f t="shared" si="33"/>
        <v>1892.2088610000001</v>
      </c>
      <c r="P148" s="2">
        <f t="shared" si="34"/>
        <v>0</v>
      </c>
      <c r="Q148" s="2">
        <f t="shared" si="35"/>
        <v>1892.2088610000001</v>
      </c>
      <c r="S148" s="2">
        <f t="shared" si="48"/>
        <v>0</v>
      </c>
      <c r="T148" s="2">
        <f t="shared" si="36"/>
        <v>0</v>
      </c>
      <c r="U148" s="2">
        <f t="shared" si="37"/>
        <v>0</v>
      </c>
      <c r="V148" s="2">
        <f t="shared" si="38"/>
        <v>1892.2088610000001</v>
      </c>
      <c r="W148" s="2">
        <f t="shared" si="39"/>
        <v>0</v>
      </c>
      <c r="X148" s="2">
        <f t="shared" si="40"/>
        <v>0</v>
      </c>
      <c r="Y148" s="2">
        <f t="shared" si="41"/>
        <v>0</v>
      </c>
      <c r="Z148" s="2">
        <f t="shared" si="42"/>
        <v>0</v>
      </c>
      <c r="AA148" s="2">
        <f t="shared" si="43"/>
        <v>0</v>
      </c>
      <c r="AB148" s="2">
        <f t="shared" si="44"/>
        <v>0</v>
      </c>
      <c r="AC148" s="2">
        <f t="shared" si="45"/>
        <v>1892.2088610000001</v>
      </c>
      <c r="AD148" s="2">
        <f t="shared" si="46"/>
        <v>0</v>
      </c>
      <c r="AE148" s="2">
        <f t="shared" si="47"/>
        <v>1892.2088610000001</v>
      </c>
    </row>
    <row r="149" spans="1:31">
      <c r="A149" s="1" t="s">
        <v>15</v>
      </c>
      <c r="B149">
        <v>111</v>
      </c>
      <c r="C149" s="5">
        <v>100</v>
      </c>
      <c r="D149" s="5">
        <v>0.88998524238900001</v>
      </c>
      <c r="E149" s="11">
        <v>0</v>
      </c>
      <c r="F149" s="15">
        <v>0</v>
      </c>
      <c r="G149" s="15">
        <v>347.50004000000001</v>
      </c>
      <c r="H149" s="15">
        <v>0</v>
      </c>
      <c r="I149" s="15">
        <v>0</v>
      </c>
      <c r="J149" s="11">
        <v>0</v>
      </c>
      <c r="K149" s="15">
        <v>0</v>
      </c>
      <c r="L149" s="15">
        <v>0</v>
      </c>
      <c r="M149" s="15">
        <v>0</v>
      </c>
      <c r="N149" s="16">
        <v>0</v>
      </c>
      <c r="O149" s="2">
        <f t="shared" si="33"/>
        <v>347.50004000000001</v>
      </c>
      <c r="P149" s="2">
        <f t="shared" si="34"/>
        <v>0</v>
      </c>
      <c r="Q149" s="2">
        <f t="shared" si="35"/>
        <v>347.50004000000001</v>
      </c>
      <c r="S149" s="2">
        <f t="shared" si="48"/>
        <v>0</v>
      </c>
      <c r="T149" s="2">
        <f t="shared" si="36"/>
        <v>0</v>
      </c>
      <c r="U149" s="2">
        <f t="shared" si="37"/>
        <v>347.50004000000001</v>
      </c>
      <c r="V149" s="2">
        <f t="shared" si="38"/>
        <v>0</v>
      </c>
      <c r="W149" s="2">
        <f t="shared" si="39"/>
        <v>0</v>
      </c>
      <c r="X149" s="2">
        <f t="shared" si="40"/>
        <v>0</v>
      </c>
      <c r="Y149" s="2">
        <f t="shared" si="41"/>
        <v>0</v>
      </c>
      <c r="Z149" s="2">
        <f t="shared" si="42"/>
        <v>0</v>
      </c>
      <c r="AA149" s="2">
        <f t="shared" si="43"/>
        <v>0</v>
      </c>
      <c r="AB149" s="2">
        <f t="shared" si="44"/>
        <v>0</v>
      </c>
      <c r="AC149" s="2">
        <f t="shared" si="45"/>
        <v>347.50004000000001</v>
      </c>
      <c r="AD149" s="2">
        <f t="shared" si="46"/>
        <v>0</v>
      </c>
      <c r="AE149" s="2">
        <f t="shared" si="47"/>
        <v>347.50004000000001</v>
      </c>
    </row>
    <row r="150" spans="1:31">
      <c r="A150" s="1" t="s">
        <v>15</v>
      </c>
      <c r="B150">
        <v>112</v>
      </c>
      <c r="C150" s="5">
        <v>99.999999999799996</v>
      </c>
      <c r="D150" s="5">
        <v>1.6831819917899999</v>
      </c>
      <c r="E150" s="11">
        <v>0</v>
      </c>
      <c r="F150" s="15">
        <v>0</v>
      </c>
      <c r="G150" s="15">
        <v>1484.4840409999999</v>
      </c>
      <c r="H150" s="15">
        <v>195.6</v>
      </c>
      <c r="I150" s="15">
        <v>0</v>
      </c>
      <c r="J150" s="11">
        <v>0</v>
      </c>
      <c r="K150" s="15">
        <v>0</v>
      </c>
      <c r="L150" s="15">
        <v>0</v>
      </c>
      <c r="M150" s="15">
        <v>0</v>
      </c>
      <c r="N150" s="16">
        <v>0</v>
      </c>
      <c r="O150" s="2">
        <f t="shared" si="33"/>
        <v>1680.0840409999998</v>
      </c>
      <c r="P150" s="2">
        <f t="shared" si="34"/>
        <v>0</v>
      </c>
      <c r="Q150" s="2">
        <f t="shared" si="35"/>
        <v>1680.0840409999998</v>
      </c>
      <c r="S150" s="2">
        <f t="shared" si="48"/>
        <v>0</v>
      </c>
      <c r="T150" s="2">
        <f t="shared" si="36"/>
        <v>0</v>
      </c>
      <c r="U150" s="2">
        <f t="shared" si="37"/>
        <v>1484.4840409970309</v>
      </c>
      <c r="V150" s="2">
        <f t="shared" si="38"/>
        <v>195.59999999960877</v>
      </c>
      <c r="W150" s="2">
        <f t="shared" si="39"/>
        <v>0</v>
      </c>
      <c r="X150" s="2">
        <f t="shared" si="40"/>
        <v>0</v>
      </c>
      <c r="Y150" s="2">
        <f t="shared" si="41"/>
        <v>0</v>
      </c>
      <c r="Z150" s="2">
        <f t="shared" si="42"/>
        <v>0</v>
      </c>
      <c r="AA150" s="2">
        <f t="shared" si="43"/>
        <v>0</v>
      </c>
      <c r="AB150" s="2">
        <f t="shared" si="44"/>
        <v>0</v>
      </c>
      <c r="AC150" s="2">
        <f t="shared" si="45"/>
        <v>1680.0840409966395</v>
      </c>
      <c r="AD150" s="2">
        <f t="shared" si="46"/>
        <v>0</v>
      </c>
      <c r="AE150" s="2">
        <f t="shared" si="47"/>
        <v>1680.0840409966395</v>
      </c>
    </row>
    <row r="151" spans="1:31">
      <c r="A151" s="1" t="s">
        <v>15</v>
      </c>
      <c r="B151">
        <v>113</v>
      </c>
      <c r="C151" s="5">
        <v>100</v>
      </c>
      <c r="D151" s="5">
        <v>1.4123804653700001</v>
      </c>
      <c r="E151" s="11">
        <v>0</v>
      </c>
      <c r="F151" s="15">
        <v>0</v>
      </c>
      <c r="G151" s="15">
        <v>10</v>
      </c>
      <c r="H151" s="15">
        <v>0</v>
      </c>
      <c r="I151" s="15">
        <v>0</v>
      </c>
      <c r="J151" s="11">
        <v>0</v>
      </c>
      <c r="K151" s="15">
        <v>0</v>
      </c>
      <c r="L151" s="15">
        <v>0</v>
      </c>
      <c r="M151" s="15">
        <v>0</v>
      </c>
      <c r="N151" s="16">
        <v>0</v>
      </c>
      <c r="O151" s="2">
        <f t="shared" si="33"/>
        <v>10</v>
      </c>
      <c r="P151" s="2">
        <f t="shared" si="34"/>
        <v>0</v>
      </c>
      <c r="Q151" s="2">
        <f t="shared" si="35"/>
        <v>10</v>
      </c>
      <c r="S151" s="2">
        <f t="shared" si="48"/>
        <v>0</v>
      </c>
      <c r="T151" s="2">
        <f t="shared" si="36"/>
        <v>0</v>
      </c>
      <c r="U151" s="2">
        <f t="shared" si="37"/>
        <v>10</v>
      </c>
      <c r="V151" s="2">
        <f t="shared" si="38"/>
        <v>0</v>
      </c>
      <c r="W151" s="2">
        <f t="shared" si="39"/>
        <v>0</v>
      </c>
      <c r="X151" s="2">
        <f t="shared" si="40"/>
        <v>0</v>
      </c>
      <c r="Y151" s="2">
        <f t="shared" si="41"/>
        <v>0</v>
      </c>
      <c r="Z151" s="2">
        <f t="shared" si="42"/>
        <v>0</v>
      </c>
      <c r="AA151" s="2">
        <f t="shared" si="43"/>
        <v>0</v>
      </c>
      <c r="AB151" s="2">
        <f t="shared" si="44"/>
        <v>0</v>
      </c>
      <c r="AC151" s="2">
        <f t="shared" si="45"/>
        <v>10</v>
      </c>
      <c r="AD151" s="2">
        <f t="shared" si="46"/>
        <v>0</v>
      </c>
      <c r="AE151" s="2">
        <f t="shared" si="47"/>
        <v>10</v>
      </c>
    </row>
    <row r="152" spans="1:31">
      <c r="A152" s="1" t="s">
        <v>15</v>
      </c>
      <c r="B152">
        <v>115</v>
      </c>
      <c r="C152" s="5">
        <v>99.995868063900005</v>
      </c>
      <c r="D152" s="5">
        <v>2.5223830734899999</v>
      </c>
      <c r="E152" s="11">
        <v>0</v>
      </c>
      <c r="F152" s="15">
        <v>0</v>
      </c>
      <c r="G152" s="15">
        <v>41.536366999999998</v>
      </c>
      <c r="H152" s="15">
        <v>5</v>
      </c>
      <c r="I152" s="15">
        <v>0</v>
      </c>
      <c r="J152" s="11">
        <v>0</v>
      </c>
      <c r="K152" s="15">
        <v>0</v>
      </c>
      <c r="L152" s="15">
        <v>0</v>
      </c>
      <c r="M152" s="15">
        <v>0</v>
      </c>
      <c r="N152" s="16">
        <v>0</v>
      </c>
      <c r="O152" s="2">
        <f t="shared" si="33"/>
        <v>46.536366999999998</v>
      </c>
      <c r="P152" s="2">
        <f t="shared" si="34"/>
        <v>0</v>
      </c>
      <c r="Q152" s="2">
        <f t="shared" si="35"/>
        <v>46.536366999999998</v>
      </c>
      <c r="S152" s="2">
        <f t="shared" si="48"/>
        <v>0</v>
      </c>
      <c r="T152" s="2">
        <f t="shared" si="36"/>
        <v>0</v>
      </c>
      <c r="U152" s="2">
        <f t="shared" si="37"/>
        <v>41.534650743857298</v>
      </c>
      <c r="V152" s="2">
        <f t="shared" si="38"/>
        <v>4.9997934031950004</v>
      </c>
      <c r="W152" s="2">
        <f t="shared" si="39"/>
        <v>0</v>
      </c>
      <c r="X152" s="2">
        <f t="shared" si="40"/>
        <v>0</v>
      </c>
      <c r="Y152" s="2">
        <f t="shared" si="41"/>
        <v>0</v>
      </c>
      <c r="Z152" s="2">
        <f t="shared" si="42"/>
        <v>0</v>
      </c>
      <c r="AA152" s="2">
        <f t="shared" si="43"/>
        <v>0</v>
      </c>
      <c r="AB152" s="2">
        <f t="shared" si="44"/>
        <v>0</v>
      </c>
      <c r="AC152" s="2">
        <f t="shared" si="45"/>
        <v>46.534444147052298</v>
      </c>
      <c r="AD152" s="2">
        <f t="shared" si="46"/>
        <v>0</v>
      </c>
      <c r="AE152" s="2">
        <f t="shared" si="47"/>
        <v>46.534444147052298</v>
      </c>
    </row>
    <row r="153" spans="1:31">
      <c r="A153" s="1" t="s">
        <v>15</v>
      </c>
      <c r="B153">
        <v>116</v>
      </c>
      <c r="C153" s="5">
        <v>100</v>
      </c>
      <c r="D153" s="5">
        <v>5.1758222936899996</v>
      </c>
      <c r="E153" s="11">
        <v>0</v>
      </c>
      <c r="F153" s="15">
        <v>1.5</v>
      </c>
      <c r="G153" s="15">
        <v>607.84998999999993</v>
      </c>
      <c r="H153" s="15">
        <v>1.4</v>
      </c>
      <c r="I153" s="15">
        <v>0</v>
      </c>
      <c r="J153" s="11">
        <v>0</v>
      </c>
      <c r="K153" s="15">
        <v>0</v>
      </c>
      <c r="L153" s="15">
        <v>0</v>
      </c>
      <c r="M153" s="15">
        <v>0</v>
      </c>
      <c r="N153" s="16">
        <v>0</v>
      </c>
      <c r="O153" s="2">
        <f t="shared" si="33"/>
        <v>610.74998999999991</v>
      </c>
      <c r="P153" s="2">
        <f t="shared" si="34"/>
        <v>0</v>
      </c>
      <c r="Q153" s="2">
        <f t="shared" si="35"/>
        <v>610.74998999999991</v>
      </c>
      <c r="S153" s="2">
        <f t="shared" si="48"/>
        <v>0</v>
      </c>
      <c r="T153" s="2">
        <f t="shared" si="36"/>
        <v>1.5</v>
      </c>
      <c r="U153" s="2">
        <f t="shared" si="37"/>
        <v>607.84998999999993</v>
      </c>
      <c r="V153" s="2">
        <f t="shared" si="38"/>
        <v>1.4</v>
      </c>
      <c r="W153" s="2">
        <f t="shared" si="39"/>
        <v>0</v>
      </c>
      <c r="X153" s="2">
        <f t="shared" si="40"/>
        <v>0</v>
      </c>
      <c r="Y153" s="2">
        <f t="shared" si="41"/>
        <v>0</v>
      </c>
      <c r="Z153" s="2">
        <f t="shared" si="42"/>
        <v>0</v>
      </c>
      <c r="AA153" s="2">
        <f t="shared" si="43"/>
        <v>0</v>
      </c>
      <c r="AB153" s="2">
        <f t="shared" si="44"/>
        <v>0</v>
      </c>
      <c r="AC153" s="2">
        <f t="shared" si="45"/>
        <v>610.74998999999991</v>
      </c>
      <c r="AD153" s="2">
        <f t="shared" si="46"/>
        <v>0</v>
      </c>
      <c r="AE153" s="2">
        <f t="shared" si="47"/>
        <v>610.74998999999991</v>
      </c>
    </row>
    <row r="154" spans="1:31">
      <c r="A154" s="1" t="s">
        <v>15</v>
      </c>
      <c r="B154">
        <v>117</v>
      </c>
      <c r="C154" s="5">
        <v>99.996316975900001</v>
      </c>
      <c r="D154" s="5">
        <v>5.4371054901100004</v>
      </c>
      <c r="E154" s="11">
        <v>0</v>
      </c>
      <c r="F154" s="15">
        <v>0</v>
      </c>
      <c r="G154" s="15">
        <v>2042.5000259999997</v>
      </c>
      <c r="H154" s="15">
        <v>0</v>
      </c>
      <c r="I154" s="15">
        <v>0</v>
      </c>
      <c r="J154" s="11">
        <v>0</v>
      </c>
      <c r="K154" s="15">
        <v>0</v>
      </c>
      <c r="L154" s="15">
        <v>0</v>
      </c>
      <c r="M154" s="15">
        <v>0</v>
      </c>
      <c r="N154" s="16">
        <v>0</v>
      </c>
      <c r="O154" s="2">
        <f t="shared" si="33"/>
        <v>2042.5000259999997</v>
      </c>
      <c r="P154" s="2">
        <f t="shared" si="34"/>
        <v>0</v>
      </c>
      <c r="Q154" s="2">
        <f t="shared" si="35"/>
        <v>2042.5000259999997</v>
      </c>
      <c r="S154" s="2">
        <f t="shared" si="48"/>
        <v>0</v>
      </c>
      <c r="T154" s="2">
        <f t="shared" si="36"/>
        <v>0</v>
      </c>
      <c r="U154" s="2">
        <f t="shared" si="37"/>
        <v>2042.4248002317995</v>
      </c>
      <c r="V154" s="2">
        <f t="shared" si="38"/>
        <v>0</v>
      </c>
      <c r="W154" s="2">
        <f t="shared" si="39"/>
        <v>0</v>
      </c>
      <c r="X154" s="2">
        <f t="shared" si="40"/>
        <v>0</v>
      </c>
      <c r="Y154" s="2">
        <f t="shared" si="41"/>
        <v>0</v>
      </c>
      <c r="Z154" s="2">
        <f t="shared" si="42"/>
        <v>0</v>
      </c>
      <c r="AA154" s="2">
        <f t="shared" si="43"/>
        <v>0</v>
      </c>
      <c r="AB154" s="2">
        <f t="shared" si="44"/>
        <v>0</v>
      </c>
      <c r="AC154" s="2">
        <f t="shared" si="45"/>
        <v>2042.4248002317995</v>
      </c>
      <c r="AD154" s="2">
        <f t="shared" si="46"/>
        <v>0</v>
      </c>
      <c r="AE154" s="2">
        <f t="shared" si="47"/>
        <v>2042.4248002317995</v>
      </c>
    </row>
    <row r="155" spans="1:31">
      <c r="A155" s="1" t="s">
        <v>15</v>
      </c>
      <c r="B155">
        <v>118</v>
      </c>
      <c r="C155" s="5">
        <v>100</v>
      </c>
      <c r="D155" s="5">
        <v>2.2511114842</v>
      </c>
      <c r="E155" s="11">
        <v>0</v>
      </c>
      <c r="F155" s="15">
        <v>0</v>
      </c>
      <c r="G155" s="15">
        <v>4723.6001290000004</v>
      </c>
      <c r="H155" s="15">
        <v>0</v>
      </c>
      <c r="I155" s="15">
        <v>0</v>
      </c>
      <c r="J155" s="11">
        <v>0</v>
      </c>
      <c r="K155" s="15">
        <v>0</v>
      </c>
      <c r="L155" s="15">
        <v>0</v>
      </c>
      <c r="M155" s="15">
        <v>0</v>
      </c>
      <c r="N155" s="16">
        <v>0</v>
      </c>
      <c r="O155" s="2">
        <f t="shared" si="33"/>
        <v>4723.6001290000004</v>
      </c>
      <c r="P155" s="2">
        <f t="shared" si="34"/>
        <v>0</v>
      </c>
      <c r="Q155" s="2">
        <f t="shared" si="35"/>
        <v>4723.6001290000004</v>
      </c>
      <c r="S155" s="2">
        <f t="shared" si="48"/>
        <v>0</v>
      </c>
      <c r="T155" s="2">
        <f t="shared" si="36"/>
        <v>0</v>
      </c>
      <c r="U155" s="2">
        <f t="shared" si="37"/>
        <v>4723.6001290000004</v>
      </c>
      <c r="V155" s="2">
        <f t="shared" si="38"/>
        <v>0</v>
      </c>
      <c r="W155" s="2">
        <f t="shared" si="39"/>
        <v>0</v>
      </c>
      <c r="X155" s="2">
        <f t="shared" si="40"/>
        <v>0</v>
      </c>
      <c r="Y155" s="2">
        <f t="shared" si="41"/>
        <v>0</v>
      </c>
      <c r="Z155" s="2">
        <f t="shared" si="42"/>
        <v>0</v>
      </c>
      <c r="AA155" s="2">
        <f t="shared" si="43"/>
        <v>0</v>
      </c>
      <c r="AB155" s="2">
        <f t="shared" si="44"/>
        <v>0</v>
      </c>
      <c r="AC155" s="2">
        <f t="shared" si="45"/>
        <v>4723.6001290000004</v>
      </c>
      <c r="AD155" s="2">
        <f t="shared" si="46"/>
        <v>0</v>
      </c>
      <c r="AE155" s="2">
        <f t="shared" si="47"/>
        <v>4723.6001290000004</v>
      </c>
    </row>
    <row r="156" spans="1:31">
      <c r="A156" s="1" t="s">
        <v>15</v>
      </c>
      <c r="B156">
        <v>119</v>
      </c>
      <c r="C156" s="5">
        <v>99.996984763200004</v>
      </c>
      <c r="D156" s="5">
        <v>1.77572340068</v>
      </c>
      <c r="E156" s="11">
        <v>1.32</v>
      </c>
      <c r="F156" s="15">
        <v>272.40109999999999</v>
      </c>
      <c r="G156" s="15">
        <v>116.4</v>
      </c>
      <c r="H156" s="15">
        <v>0.4</v>
      </c>
      <c r="I156" s="15">
        <v>0</v>
      </c>
      <c r="J156" s="11">
        <v>0</v>
      </c>
      <c r="K156" s="15">
        <v>0</v>
      </c>
      <c r="L156" s="15">
        <v>0</v>
      </c>
      <c r="M156" s="15">
        <v>0</v>
      </c>
      <c r="N156" s="16">
        <v>0</v>
      </c>
      <c r="O156" s="2">
        <f t="shared" si="33"/>
        <v>390.52109999999993</v>
      </c>
      <c r="P156" s="2">
        <f t="shared" si="34"/>
        <v>0</v>
      </c>
      <c r="Q156" s="2">
        <f t="shared" si="35"/>
        <v>390.52109999999993</v>
      </c>
      <c r="S156" s="2">
        <f t="shared" si="48"/>
        <v>1.3199601988742402</v>
      </c>
      <c r="T156" s="2">
        <f t="shared" si="36"/>
        <v>272.3928864617892</v>
      </c>
      <c r="U156" s="2">
        <f t="shared" si="37"/>
        <v>116.3964902643648</v>
      </c>
      <c r="V156" s="2">
        <f t="shared" si="38"/>
        <v>0.39998793905280006</v>
      </c>
      <c r="W156" s="2">
        <f t="shared" si="39"/>
        <v>0</v>
      </c>
      <c r="X156" s="2">
        <f t="shared" si="40"/>
        <v>0</v>
      </c>
      <c r="Y156" s="2">
        <f t="shared" si="41"/>
        <v>0</v>
      </c>
      <c r="Z156" s="2">
        <f t="shared" si="42"/>
        <v>0</v>
      </c>
      <c r="AA156" s="2">
        <f t="shared" si="43"/>
        <v>0</v>
      </c>
      <c r="AB156" s="2">
        <f t="shared" si="44"/>
        <v>0</v>
      </c>
      <c r="AC156" s="2">
        <f t="shared" si="45"/>
        <v>390.50932486408101</v>
      </c>
      <c r="AD156" s="2">
        <f t="shared" si="46"/>
        <v>0</v>
      </c>
      <c r="AE156" s="2">
        <f t="shared" si="47"/>
        <v>390.50932486408101</v>
      </c>
    </row>
    <row r="157" spans="1:31">
      <c r="A157" s="1" t="s">
        <v>15</v>
      </c>
      <c r="B157">
        <v>120</v>
      </c>
      <c r="C157" s="5">
        <v>99.997432933400006</v>
      </c>
      <c r="D157" s="5">
        <v>5.2232751639000004</v>
      </c>
      <c r="E157" s="11">
        <v>0</v>
      </c>
      <c r="F157" s="15">
        <v>1199.0526000000002</v>
      </c>
      <c r="G157" s="15">
        <v>205.6</v>
      </c>
      <c r="H157" s="15">
        <v>0</v>
      </c>
      <c r="I157" s="15">
        <v>0</v>
      </c>
      <c r="J157" s="11">
        <v>0</v>
      </c>
      <c r="K157" s="15">
        <v>0</v>
      </c>
      <c r="L157" s="15">
        <v>0</v>
      </c>
      <c r="M157" s="15">
        <v>0</v>
      </c>
      <c r="N157" s="16">
        <v>0</v>
      </c>
      <c r="O157" s="2">
        <f t="shared" si="33"/>
        <v>1404.6526000000001</v>
      </c>
      <c r="P157" s="2">
        <f t="shared" si="34"/>
        <v>0</v>
      </c>
      <c r="Q157" s="2">
        <f t="shared" si="35"/>
        <v>1404.6526000000001</v>
      </c>
      <c r="S157" s="2">
        <f t="shared" si="48"/>
        <v>0</v>
      </c>
      <c r="T157" s="2">
        <f t="shared" si="36"/>
        <v>1199.0218195211894</v>
      </c>
      <c r="U157" s="2">
        <f t="shared" si="37"/>
        <v>205.59472211107041</v>
      </c>
      <c r="V157" s="2">
        <f t="shared" si="38"/>
        <v>0</v>
      </c>
      <c r="W157" s="2">
        <f t="shared" si="39"/>
        <v>0</v>
      </c>
      <c r="X157" s="2">
        <f t="shared" si="40"/>
        <v>0</v>
      </c>
      <c r="Y157" s="2">
        <f t="shared" si="41"/>
        <v>0</v>
      </c>
      <c r="Z157" s="2">
        <f t="shared" si="42"/>
        <v>0</v>
      </c>
      <c r="AA157" s="2">
        <f t="shared" si="43"/>
        <v>0</v>
      </c>
      <c r="AB157" s="2">
        <f t="shared" si="44"/>
        <v>0</v>
      </c>
      <c r="AC157" s="2">
        <f t="shared" si="45"/>
        <v>1404.6165416322597</v>
      </c>
      <c r="AD157" s="2">
        <f t="shared" si="46"/>
        <v>0</v>
      </c>
      <c r="AE157" s="2">
        <f t="shared" si="47"/>
        <v>1404.6165416322597</v>
      </c>
    </row>
    <row r="158" spans="1:31">
      <c r="A158" s="1" t="s">
        <v>15</v>
      </c>
      <c r="B158">
        <v>121</v>
      </c>
      <c r="C158" s="5">
        <v>100</v>
      </c>
      <c r="D158" s="5">
        <v>2.10098825134</v>
      </c>
      <c r="E158" s="11">
        <v>0</v>
      </c>
      <c r="F158" s="15">
        <v>98.702039999999997</v>
      </c>
      <c r="G158" s="15">
        <v>0</v>
      </c>
      <c r="H158" s="15">
        <v>0</v>
      </c>
      <c r="I158" s="15">
        <v>0</v>
      </c>
      <c r="J158" s="11">
        <v>0</v>
      </c>
      <c r="K158" s="15">
        <v>0</v>
      </c>
      <c r="L158" s="15">
        <v>0</v>
      </c>
      <c r="M158" s="15">
        <v>0</v>
      </c>
      <c r="N158" s="16">
        <v>0</v>
      </c>
      <c r="O158" s="2">
        <f t="shared" si="33"/>
        <v>98.702039999999997</v>
      </c>
      <c r="P158" s="2">
        <f t="shared" si="34"/>
        <v>0</v>
      </c>
      <c r="Q158" s="2">
        <f t="shared" si="35"/>
        <v>98.702039999999997</v>
      </c>
      <c r="S158" s="2">
        <f t="shared" si="48"/>
        <v>0</v>
      </c>
      <c r="T158" s="2">
        <f t="shared" si="36"/>
        <v>98.702039999999997</v>
      </c>
      <c r="U158" s="2">
        <f t="shared" si="37"/>
        <v>0</v>
      </c>
      <c r="V158" s="2">
        <f t="shared" si="38"/>
        <v>0</v>
      </c>
      <c r="W158" s="2">
        <f t="shared" si="39"/>
        <v>0</v>
      </c>
      <c r="X158" s="2">
        <f t="shared" si="40"/>
        <v>0</v>
      </c>
      <c r="Y158" s="2">
        <f t="shared" si="41"/>
        <v>0</v>
      </c>
      <c r="Z158" s="2">
        <f t="shared" si="42"/>
        <v>0</v>
      </c>
      <c r="AA158" s="2">
        <f t="shared" si="43"/>
        <v>0</v>
      </c>
      <c r="AB158" s="2">
        <f t="shared" si="44"/>
        <v>0</v>
      </c>
      <c r="AC158" s="2">
        <f t="shared" si="45"/>
        <v>98.702039999999997</v>
      </c>
      <c r="AD158" s="2">
        <f t="shared" si="46"/>
        <v>0</v>
      </c>
      <c r="AE158" s="2">
        <f t="shared" si="47"/>
        <v>98.702039999999997</v>
      </c>
    </row>
    <row r="159" spans="1:31">
      <c r="A159" s="1" t="s">
        <v>15</v>
      </c>
      <c r="B159">
        <v>122</v>
      </c>
      <c r="C159" s="5">
        <v>100</v>
      </c>
      <c r="D159" s="5">
        <v>1.0129159341</v>
      </c>
      <c r="E159" s="11">
        <v>0</v>
      </c>
      <c r="F159" s="15">
        <v>376.37939999999998</v>
      </c>
      <c r="G159" s="15">
        <v>339.20005600000002</v>
      </c>
      <c r="H159" s="15">
        <v>0</v>
      </c>
      <c r="I159" s="15">
        <v>0</v>
      </c>
      <c r="J159" s="11">
        <v>0</v>
      </c>
      <c r="K159" s="15">
        <v>0</v>
      </c>
      <c r="L159" s="15">
        <v>0</v>
      </c>
      <c r="M159" s="15">
        <v>0</v>
      </c>
      <c r="N159" s="16">
        <v>0</v>
      </c>
      <c r="O159" s="2">
        <f t="shared" si="33"/>
        <v>715.57945599999994</v>
      </c>
      <c r="P159" s="2">
        <f t="shared" si="34"/>
        <v>0</v>
      </c>
      <c r="Q159" s="2">
        <f t="shared" si="35"/>
        <v>715.57945599999994</v>
      </c>
      <c r="S159" s="2">
        <f t="shared" si="48"/>
        <v>0</v>
      </c>
      <c r="T159" s="2">
        <f t="shared" si="36"/>
        <v>376.37939999999998</v>
      </c>
      <c r="U159" s="2">
        <f t="shared" si="37"/>
        <v>339.20005600000002</v>
      </c>
      <c r="V159" s="2">
        <f t="shared" si="38"/>
        <v>0</v>
      </c>
      <c r="W159" s="2">
        <f t="shared" si="39"/>
        <v>0</v>
      </c>
      <c r="X159" s="2">
        <f t="shared" si="40"/>
        <v>0</v>
      </c>
      <c r="Y159" s="2">
        <f t="shared" si="41"/>
        <v>0</v>
      </c>
      <c r="Z159" s="2">
        <f t="shared" si="42"/>
        <v>0</v>
      </c>
      <c r="AA159" s="2">
        <f t="shared" si="43"/>
        <v>0</v>
      </c>
      <c r="AB159" s="2">
        <f t="shared" si="44"/>
        <v>0</v>
      </c>
      <c r="AC159" s="2">
        <f t="shared" si="45"/>
        <v>715.57945599999994</v>
      </c>
      <c r="AD159" s="2">
        <f t="shared" si="46"/>
        <v>0</v>
      </c>
      <c r="AE159" s="2">
        <f t="shared" si="47"/>
        <v>715.57945599999994</v>
      </c>
    </row>
    <row r="160" spans="1:31">
      <c r="A160" s="1" t="s">
        <v>15</v>
      </c>
      <c r="B160">
        <v>123</v>
      </c>
      <c r="C160" s="5">
        <v>100</v>
      </c>
      <c r="D160" s="5">
        <v>0.92748140164399995</v>
      </c>
      <c r="E160" s="11">
        <v>0</v>
      </c>
      <c r="F160" s="15">
        <v>250</v>
      </c>
      <c r="G160" s="15">
        <v>5305.0000179999988</v>
      </c>
      <c r="H160" s="15">
        <v>0</v>
      </c>
      <c r="I160" s="15">
        <v>0</v>
      </c>
      <c r="J160" s="11">
        <v>0</v>
      </c>
      <c r="K160" s="15">
        <v>0</v>
      </c>
      <c r="L160" s="15">
        <v>0</v>
      </c>
      <c r="M160" s="15">
        <v>0</v>
      </c>
      <c r="N160" s="16">
        <v>0</v>
      </c>
      <c r="O160" s="2">
        <f t="shared" si="33"/>
        <v>5555.0000179999988</v>
      </c>
      <c r="P160" s="2">
        <f t="shared" si="34"/>
        <v>0</v>
      </c>
      <c r="Q160" s="2">
        <f t="shared" si="35"/>
        <v>5555.0000179999988</v>
      </c>
      <c r="S160" s="2">
        <f t="shared" si="48"/>
        <v>0</v>
      </c>
      <c r="T160" s="2">
        <f t="shared" si="36"/>
        <v>250</v>
      </c>
      <c r="U160" s="2">
        <f t="shared" si="37"/>
        <v>5305.0000179999988</v>
      </c>
      <c r="V160" s="2">
        <f t="shared" si="38"/>
        <v>0</v>
      </c>
      <c r="W160" s="2">
        <f t="shared" si="39"/>
        <v>0</v>
      </c>
      <c r="X160" s="2">
        <f t="shared" si="40"/>
        <v>0</v>
      </c>
      <c r="Y160" s="2">
        <f t="shared" si="41"/>
        <v>0</v>
      </c>
      <c r="Z160" s="2">
        <f t="shared" si="42"/>
        <v>0</v>
      </c>
      <c r="AA160" s="2">
        <f t="shared" si="43"/>
        <v>0</v>
      </c>
      <c r="AB160" s="2">
        <f t="shared" si="44"/>
        <v>0</v>
      </c>
      <c r="AC160" s="2">
        <f t="shared" si="45"/>
        <v>5555.0000179999988</v>
      </c>
      <c r="AD160" s="2">
        <f t="shared" si="46"/>
        <v>0</v>
      </c>
      <c r="AE160" s="2">
        <f t="shared" si="47"/>
        <v>5555.0000179999988</v>
      </c>
    </row>
    <row r="161" spans="1:31">
      <c r="A161" s="1" t="s">
        <v>15</v>
      </c>
      <c r="B161">
        <v>124</v>
      </c>
      <c r="C161" s="5">
        <v>100</v>
      </c>
      <c r="D161" s="5">
        <v>2.8569961643499999</v>
      </c>
      <c r="E161" s="11">
        <v>0</v>
      </c>
      <c r="F161" s="15">
        <v>97.3</v>
      </c>
      <c r="G161" s="15">
        <v>3</v>
      </c>
      <c r="H161" s="15">
        <v>0</v>
      </c>
      <c r="I161" s="15">
        <v>0</v>
      </c>
      <c r="J161" s="11">
        <v>0</v>
      </c>
      <c r="K161" s="15">
        <v>0</v>
      </c>
      <c r="L161" s="15">
        <v>0</v>
      </c>
      <c r="M161" s="15">
        <v>0</v>
      </c>
      <c r="N161" s="16">
        <v>0</v>
      </c>
      <c r="O161" s="2">
        <f t="shared" si="33"/>
        <v>100.3</v>
      </c>
      <c r="P161" s="2">
        <f t="shared" si="34"/>
        <v>0</v>
      </c>
      <c r="Q161" s="2">
        <f t="shared" si="35"/>
        <v>100.3</v>
      </c>
      <c r="S161" s="2">
        <f t="shared" si="48"/>
        <v>0</v>
      </c>
      <c r="T161" s="2">
        <f t="shared" si="36"/>
        <v>97.3</v>
      </c>
      <c r="U161" s="2">
        <f t="shared" si="37"/>
        <v>3</v>
      </c>
      <c r="V161" s="2">
        <f t="shared" si="38"/>
        <v>0</v>
      </c>
      <c r="W161" s="2">
        <f t="shared" si="39"/>
        <v>0</v>
      </c>
      <c r="X161" s="2">
        <f t="shared" si="40"/>
        <v>0</v>
      </c>
      <c r="Y161" s="2">
        <f t="shared" si="41"/>
        <v>0</v>
      </c>
      <c r="Z161" s="2">
        <f t="shared" si="42"/>
        <v>0</v>
      </c>
      <c r="AA161" s="2">
        <f t="shared" si="43"/>
        <v>0</v>
      </c>
      <c r="AB161" s="2">
        <f t="shared" si="44"/>
        <v>0</v>
      </c>
      <c r="AC161" s="2">
        <f t="shared" si="45"/>
        <v>100.3</v>
      </c>
      <c r="AD161" s="2">
        <f t="shared" si="46"/>
        <v>0</v>
      </c>
      <c r="AE161" s="2">
        <f t="shared" si="47"/>
        <v>100.3</v>
      </c>
    </row>
    <row r="162" spans="1:31">
      <c r="A162" s="1" t="s">
        <v>15</v>
      </c>
      <c r="B162">
        <v>125</v>
      </c>
      <c r="C162" s="5">
        <v>99.9998644243</v>
      </c>
      <c r="D162" s="5">
        <v>3.42467131634</v>
      </c>
      <c r="E162" s="11">
        <v>121.8</v>
      </c>
      <c r="F162" s="15">
        <v>0.3</v>
      </c>
      <c r="G162" s="15">
        <v>0</v>
      </c>
      <c r="H162" s="15">
        <v>0</v>
      </c>
      <c r="I162" s="15">
        <v>0</v>
      </c>
      <c r="J162" s="11">
        <v>0</v>
      </c>
      <c r="K162" s="15">
        <v>0</v>
      </c>
      <c r="L162" s="15">
        <v>0</v>
      </c>
      <c r="M162" s="15">
        <v>0</v>
      </c>
      <c r="N162" s="16">
        <v>0</v>
      </c>
      <c r="O162" s="2">
        <f t="shared" si="33"/>
        <v>122.1</v>
      </c>
      <c r="P162" s="2">
        <f t="shared" si="34"/>
        <v>0</v>
      </c>
      <c r="Q162" s="2">
        <f t="shared" si="35"/>
        <v>122.1</v>
      </c>
      <c r="S162" s="2">
        <f t="shared" si="48"/>
        <v>121.79983486879739</v>
      </c>
      <c r="T162" s="2">
        <f t="shared" si="36"/>
        <v>0.29999959327289999</v>
      </c>
      <c r="U162" s="2">
        <f t="shared" si="37"/>
        <v>0</v>
      </c>
      <c r="V162" s="2">
        <f t="shared" si="38"/>
        <v>0</v>
      </c>
      <c r="W162" s="2">
        <f t="shared" si="39"/>
        <v>0</v>
      </c>
      <c r="X162" s="2">
        <f t="shared" si="40"/>
        <v>0</v>
      </c>
      <c r="Y162" s="2">
        <f t="shared" si="41"/>
        <v>0</v>
      </c>
      <c r="Z162" s="2">
        <f t="shared" si="42"/>
        <v>0</v>
      </c>
      <c r="AA162" s="2">
        <f t="shared" si="43"/>
        <v>0</v>
      </c>
      <c r="AB162" s="2">
        <f t="shared" si="44"/>
        <v>0</v>
      </c>
      <c r="AC162" s="2">
        <f t="shared" si="45"/>
        <v>122.09983446207031</v>
      </c>
      <c r="AD162" s="2">
        <f t="shared" si="46"/>
        <v>0</v>
      </c>
      <c r="AE162" s="2">
        <f t="shared" si="47"/>
        <v>122.09983446207031</v>
      </c>
    </row>
    <row r="163" spans="1:31">
      <c r="A163" s="1" t="s">
        <v>15</v>
      </c>
      <c r="B163">
        <v>126</v>
      </c>
      <c r="C163" s="5">
        <v>100</v>
      </c>
      <c r="D163" s="5">
        <v>1.51961763879</v>
      </c>
      <c r="E163" s="11">
        <v>0</v>
      </c>
      <c r="F163" s="15">
        <v>40.200000000000003</v>
      </c>
      <c r="G163" s="15">
        <v>0</v>
      </c>
      <c r="H163" s="15">
        <v>0</v>
      </c>
      <c r="I163" s="15">
        <v>0</v>
      </c>
      <c r="J163" s="11">
        <v>0</v>
      </c>
      <c r="K163" s="15">
        <v>0</v>
      </c>
      <c r="L163" s="15">
        <v>0</v>
      </c>
      <c r="M163" s="15">
        <v>0</v>
      </c>
      <c r="N163" s="16">
        <v>0</v>
      </c>
      <c r="O163" s="2">
        <f t="shared" si="33"/>
        <v>40.200000000000003</v>
      </c>
      <c r="P163" s="2">
        <f t="shared" si="34"/>
        <v>0</v>
      </c>
      <c r="Q163" s="2">
        <f t="shared" si="35"/>
        <v>40.200000000000003</v>
      </c>
      <c r="S163" s="2">
        <f t="shared" si="48"/>
        <v>0</v>
      </c>
      <c r="T163" s="2">
        <f t="shared" si="36"/>
        <v>40.200000000000003</v>
      </c>
      <c r="U163" s="2">
        <f t="shared" si="37"/>
        <v>0</v>
      </c>
      <c r="V163" s="2">
        <f t="shared" si="38"/>
        <v>0</v>
      </c>
      <c r="W163" s="2">
        <f t="shared" si="39"/>
        <v>0</v>
      </c>
      <c r="X163" s="2">
        <f t="shared" si="40"/>
        <v>0</v>
      </c>
      <c r="Y163" s="2">
        <f t="shared" si="41"/>
        <v>0</v>
      </c>
      <c r="Z163" s="2">
        <f t="shared" si="42"/>
        <v>0</v>
      </c>
      <c r="AA163" s="2">
        <f t="shared" si="43"/>
        <v>0</v>
      </c>
      <c r="AB163" s="2">
        <f t="shared" si="44"/>
        <v>0</v>
      </c>
      <c r="AC163" s="2">
        <f t="shared" si="45"/>
        <v>40.200000000000003</v>
      </c>
      <c r="AD163" s="2">
        <f t="shared" si="46"/>
        <v>0</v>
      </c>
      <c r="AE163" s="2">
        <f t="shared" si="47"/>
        <v>40.200000000000003</v>
      </c>
    </row>
    <row r="164" spans="1:31">
      <c r="A164" s="1" t="s">
        <v>15</v>
      </c>
      <c r="B164">
        <v>127</v>
      </c>
      <c r="C164" s="5">
        <v>100</v>
      </c>
      <c r="D164" s="5">
        <v>0.75428031355500003</v>
      </c>
      <c r="E164" s="11">
        <v>0</v>
      </c>
      <c r="F164" s="15">
        <v>0</v>
      </c>
      <c r="G164" s="15">
        <v>0</v>
      </c>
      <c r="H164" s="15">
        <v>0</v>
      </c>
      <c r="I164" s="15">
        <v>0</v>
      </c>
      <c r="J164" s="11">
        <v>0</v>
      </c>
      <c r="K164" s="15">
        <v>0</v>
      </c>
      <c r="L164" s="15">
        <v>0</v>
      </c>
      <c r="M164" s="15">
        <v>0</v>
      </c>
      <c r="N164" s="16">
        <v>0</v>
      </c>
      <c r="O164" s="2">
        <f t="shared" si="33"/>
        <v>0</v>
      </c>
      <c r="P164" s="2">
        <f t="shared" si="34"/>
        <v>0</v>
      </c>
      <c r="Q164" s="2">
        <f t="shared" si="35"/>
        <v>0</v>
      </c>
      <c r="S164" s="2">
        <f t="shared" si="48"/>
        <v>0</v>
      </c>
      <c r="T164" s="2">
        <f t="shared" si="36"/>
        <v>0</v>
      </c>
      <c r="U164" s="2">
        <f t="shared" si="37"/>
        <v>0</v>
      </c>
      <c r="V164" s="2">
        <f t="shared" si="38"/>
        <v>0</v>
      </c>
      <c r="W164" s="2">
        <f t="shared" si="39"/>
        <v>0</v>
      </c>
      <c r="X164" s="2">
        <f t="shared" si="40"/>
        <v>0</v>
      </c>
      <c r="Y164" s="2">
        <f t="shared" si="41"/>
        <v>0</v>
      </c>
      <c r="Z164" s="2">
        <f t="shared" si="42"/>
        <v>0</v>
      </c>
      <c r="AA164" s="2">
        <f t="shared" si="43"/>
        <v>0</v>
      </c>
      <c r="AB164" s="2">
        <f t="shared" si="44"/>
        <v>0</v>
      </c>
      <c r="AC164" s="2">
        <f t="shared" si="45"/>
        <v>0</v>
      </c>
      <c r="AD164" s="2">
        <f t="shared" si="46"/>
        <v>0</v>
      </c>
      <c r="AE164" s="2">
        <f t="shared" si="47"/>
        <v>0</v>
      </c>
    </row>
    <row r="165" spans="1:31">
      <c r="A165" s="1" t="s">
        <v>15</v>
      </c>
      <c r="B165">
        <v>128</v>
      </c>
      <c r="C165" s="5">
        <v>100</v>
      </c>
      <c r="D165" s="5">
        <v>1.4173714364800001</v>
      </c>
      <c r="E165" s="11">
        <v>38.65</v>
      </c>
      <c r="F165" s="15">
        <v>0.8</v>
      </c>
      <c r="G165" s="15">
        <v>0</v>
      </c>
      <c r="H165" s="15">
        <v>0</v>
      </c>
      <c r="I165" s="15">
        <v>0</v>
      </c>
      <c r="J165" s="11">
        <v>0</v>
      </c>
      <c r="K165" s="15">
        <v>0</v>
      </c>
      <c r="L165" s="15">
        <v>0</v>
      </c>
      <c r="M165" s="15">
        <v>0</v>
      </c>
      <c r="N165" s="16">
        <v>0</v>
      </c>
      <c r="O165" s="2">
        <f t="shared" si="33"/>
        <v>39.449999999999996</v>
      </c>
      <c r="P165" s="2">
        <f t="shared" si="34"/>
        <v>0</v>
      </c>
      <c r="Q165" s="2">
        <f t="shared" si="35"/>
        <v>39.449999999999996</v>
      </c>
      <c r="S165" s="2">
        <f t="shared" si="48"/>
        <v>38.65</v>
      </c>
      <c r="T165" s="2">
        <f t="shared" si="36"/>
        <v>0.8</v>
      </c>
      <c r="U165" s="2">
        <f t="shared" si="37"/>
        <v>0</v>
      </c>
      <c r="V165" s="2">
        <f t="shared" si="38"/>
        <v>0</v>
      </c>
      <c r="W165" s="2">
        <f t="shared" si="39"/>
        <v>0</v>
      </c>
      <c r="X165" s="2">
        <f t="shared" si="40"/>
        <v>0</v>
      </c>
      <c r="Y165" s="2">
        <f t="shared" si="41"/>
        <v>0</v>
      </c>
      <c r="Z165" s="2">
        <f t="shared" si="42"/>
        <v>0</v>
      </c>
      <c r="AA165" s="2">
        <f t="shared" si="43"/>
        <v>0</v>
      </c>
      <c r="AB165" s="2">
        <f t="shared" si="44"/>
        <v>0</v>
      </c>
      <c r="AC165" s="2">
        <f t="shared" si="45"/>
        <v>39.449999999999996</v>
      </c>
      <c r="AD165" s="2">
        <f t="shared" si="46"/>
        <v>0</v>
      </c>
      <c r="AE165" s="2">
        <f t="shared" si="47"/>
        <v>39.449999999999996</v>
      </c>
    </row>
    <row r="166" spans="1:31">
      <c r="A166" s="1" t="s">
        <v>15</v>
      </c>
      <c r="B166">
        <v>129</v>
      </c>
      <c r="C166" s="5">
        <v>99.999964017400004</v>
      </c>
      <c r="D166" s="5">
        <v>1.17784473912</v>
      </c>
      <c r="E166" s="11">
        <v>0</v>
      </c>
      <c r="F166" s="15">
        <v>0</v>
      </c>
      <c r="G166" s="15">
        <v>0</v>
      </c>
      <c r="H166" s="15">
        <v>0</v>
      </c>
      <c r="I166" s="15">
        <v>0</v>
      </c>
      <c r="J166" s="11">
        <v>0</v>
      </c>
      <c r="K166" s="15">
        <v>0</v>
      </c>
      <c r="L166" s="15">
        <v>0</v>
      </c>
      <c r="M166" s="15">
        <v>0</v>
      </c>
      <c r="N166" s="16">
        <v>0</v>
      </c>
      <c r="O166" s="2">
        <f t="shared" si="33"/>
        <v>0</v>
      </c>
      <c r="P166" s="2">
        <f t="shared" si="34"/>
        <v>0</v>
      </c>
      <c r="Q166" s="2">
        <f t="shared" si="35"/>
        <v>0</v>
      </c>
      <c r="S166" s="2">
        <f t="shared" si="48"/>
        <v>0</v>
      </c>
      <c r="T166" s="2">
        <f t="shared" si="36"/>
        <v>0</v>
      </c>
      <c r="U166" s="2">
        <f t="shared" si="37"/>
        <v>0</v>
      </c>
      <c r="V166" s="2">
        <f t="shared" si="38"/>
        <v>0</v>
      </c>
      <c r="W166" s="2">
        <f t="shared" si="39"/>
        <v>0</v>
      </c>
      <c r="X166" s="2">
        <f t="shared" si="40"/>
        <v>0</v>
      </c>
      <c r="Y166" s="2">
        <f t="shared" si="41"/>
        <v>0</v>
      </c>
      <c r="Z166" s="2">
        <f t="shared" si="42"/>
        <v>0</v>
      </c>
      <c r="AA166" s="2">
        <f t="shared" si="43"/>
        <v>0</v>
      </c>
      <c r="AB166" s="2">
        <f t="shared" si="44"/>
        <v>0</v>
      </c>
      <c r="AC166" s="2">
        <f t="shared" si="45"/>
        <v>0</v>
      </c>
      <c r="AD166" s="2">
        <f t="shared" si="46"/>
        <v>0</v>
      </c>
      <c r="AE166" s="2">
        <f t="shared" si="47"/>
        <v>0</v>
      </c>
    </row>
    <row r="167" spans="1:31">
      <c r="A167" s="1" t="s">
        <v>15</v>
      </c>
      <c r="B167">
        <v>130</v>
      </c>
      <c r="C167" s="5">
        <v>99.9982501697</v>
      </c>
      <c r="D167" s="5">
        <v>3.3496630552300002</v>
      </c>
      <c r="E167" s="11">
        <v>0</v>
      </c>
      <c r="F167" s="15">
        <v>0</v>
      </c>
      <c r="G167" s="15">
        <v>0</v>
      </c>
      <c r="H167" s="15">
        <v>0</v>
      </c>
      <c r="I167" s="15">
        <v>0</v>
      </c>
      <c r="J167" s="11">
        <v>0</v>
      </c>
      <c r="K167" s="15">
        <v>0</v>
      </c>
      <c r="L167" s="15">
        <v>0</v>
      </c>
      <c r="M167" s="15">
        <v>0</v>
      </c>
      <c r="N167" s="16">
        <v>0</v>
      </c>
      <c r="O167" s="2">
        <f t="shared" si="33"/>
        <v>0</v>
      </c>
      <c r="P167" s="2">
        <f t="shared" si="34"/>
        <v>0</v>
      </c>
      <c r="Q167" s="2">
        <f t="shared" si="35"/>
        <v>0</v>
      </c>
      <c r="S167" s="2">
        <f t="shared" si="48"/>
        <v>0</v>
      </c>
      <c r="T167" s="2">
        <f t="shared" si="36"/>
        <v>0</v>
      </c>
      <c r="U167" s="2">
        <f t="shared" si="37"/>
        <v>0</v>
      </c>
      <c r="V167" s="2">
        <f t="shared" si="38"/>
        <v>0</v>
      </c>
      <c r="W167" s="2">
        <f t="shared" si="39"/>
        <v>0</v>
      </c>
      <c r="X167" s="2">
        <f t="shared" si="40"/>
        <v>0</v>
      </c>
      <c r="Y167" s="2">
        <f t="shared" si="41"/>
        <v>0</v>
      </c>
      <c r="Z167" s="2">
        <f t="shared" si="42"/>
        <v>0</v>
      </c>
      <c r="AA167" s="2">
        <f t="shared" si="43"/>
        <v>0</v>
      </c>
      <c r="AB167" s="2">
        <f t="shared" si="44"/>
        <v>0</v>
      </c>
      <c r="AC167" s="2">
        <f t="shared" si="45"/>
        <v>0</v>
      </c>
      <c r="AD167" s="2">
        <f t="shared" si="46"/>
        <v>0</v>
      </c>
      <c r="AE167" s="2">
        <f t="shared" si="47"/>
        <v>0</v>
      </c>
    </row>
    <row r="168" spans="1:31">
      <c r="A168" s="1" t="s">
        <v>15</v>
      </c>
      <c r="B168">
        <v>131</v>
      </c>
      <c r="C168" s="5">
        <v>100</v>
      </c>
      <c r="D168" s="5">
        <v>0.55238298187799995</v>
      </c>
      <c r="E168" s="11">
        <v>0</v>
      </c>
      <c r="F168" s="15">
        <v>0</v>
      </c>
      <c r="G168" s="15">
        <v>0</v>
      </c>
      <c r="H168" s="15">
        <v>0</v>
      </c>
      <c r="I168" s="15">
        <v>0</v>
      </c>
      <c r="J168" s="11">
        <v>0</v>
      </c>
      <c r="K168" s="15">
        <v>0</v>
      </c>
      <c r="L168" s="15">
        <v>0</v>
      </c>
      <c r="M168" s="15">
        <v>0</v>
      </c>
      <c r="N168" s="16">
        <v>0</v>
      </c>
      <c r="O168" s="2">
        <f t="shared" si="33"/>
        <v>0</v>
      </c>
      <c r="P168" s="2">
        <f t="shared" si="34"/>
        <v>0</v>
      </c>
      <c r="Q168" s="2">
        <f t="shared" si="35"/>
        <v>0</v>
      </c>
      <c r="S168" s="2">
        <f t="shared" si="48"/>
        <v>0</v>
      </c>
      <c r="T168" s="2">
        <f t="shared" si="36"/>
        <v>0</v>
      </c>
      <c r="U168" s="2">
        <f t="shared" si="37"/>
        <v>0</v>
      </c>
      <c r="V168" s="2">
        <f t="shared" si="38"/>
        <v>0</v>
      </c>
      <c r="W168" s="2">
        <f t="shared" si="39"/>
        <v>0</v>
      </c>
      <c r="X168" s="2">
        <f t="shared" si="40"/>
        <v>0</v>
      </c>
      <c r="Y168" s="2">
        <f t="shared" si="41"/>
        <v>0</v>
      </c>
      <c r="Z168" s="2">
        <f t="shared" si="42"/>
        <v>0</v>
      </c>
      <c r="AA168" s="2">
        <f t="shared" si="43"/>
        <v>0</v>
      </c>
      <c r="AB168" s="2">
        <f t="shared" si="44"/>
        <v>0</v>
      </c>
      <c r="AC168" s="2">
        <f t="shared" si="45"/>
        <v>0</v>
      </c>
      <c r="AD168" s="2">
        <f t="shared" si="46"/>
        <v>0</v>
      </c>
      <c r="AE168" s="2">
        <f t="shared" si="47"/>
        <v>0</v>
      </c>
    </row>
    <row r="169" spans="1:31">
      <c r="A169" s="1" t="s">
        <v>15</v>
      </c>
      <c r="B169">
        <v>132</v>
      </c>
      <c r="C169" s="5">
        <v>100</v>
      </c>
      <c r="D169" s="5">
        <v>3.4725550889000001</v>
      </c>
      <c r="E169" s="11">
        <v>0</v>
      </c>
      <c r="F169" s="15">
        <v>1623.1130600000001</v>
      </c>
      <c r="G169" s="15">
        <v>183.39998199999999</v>
      </c>
      <c r="H169" s="15">
        <v>0</v>
      </c>
      <c r="I169" s="15">
        <v>0</v>
      </c>
      <c r="J169" s="11">
        <v>0</v>
      </c>
      <c r="K169" s="15">
        <v>0</v>
      </c>
      <c r="L169" s="15">
        <v>0</v>
      </c>
      <c r="M169" s="15">
        <v>0</v>
      </c>
      <c r="N169" s="16">
        <v>0</v>
      </c>
      <c r="O169" s="2">
        <f t="shared" si="33"/>
        <v>1806.513042</v>
      </c>
      <c r="P169" s="2">
        <f t="shared" si="34"/>
        <v>0</v>
      </c>
      <c r="Q169" s="2">
        <f t="shared" si="35"/>
        <v>1806.513042</v>
      </c>
      <c r="S169" s="2">
        <f t="shared" si="48"/>
        <v>0</v>
      </c>
      <c r="T169" s="2">
        <f t="shared" si="36"/>
        <v>1623.1130600000001</v>
      </c>
      <c r="U169" s="2">
        <f t="shared" si="37"/>
        <v>183.39998199999999</v>
      </c>
      <c r="V169" s="2">
        <f t="shared" si="38"/>
        <v>0</v>
      </c>
      <c r="W169" s="2">
        <f t="shared" si="39"/>
        <v>0</v>
      </c>
      <c r="X169" s="2">
        <f t="shared" si="40"/>
        <v>0</v>
      </c>
      <c r="Y169" s="2">
        <f t="shared" si="41"/>
        <v>0</v>
      </c>
      <c r="Z169" s="2">
        <f t="shared" si="42"/>
        <v>0</v>
      </c>
      <c r="AA169" s="2">
        <f t="shared" si="43"/>
        <v>0</v>
      </c>
      <c r="AB169" s="2">
        <f t="shared" si="44"/>
        <v>0</v>
      </c>
      <c r="AC169" s="2">
        <f t="shared" si="45"/>
        <v>1806.513042</v>
      </c>
      <c r="AD169" s="2">
        <f t="shared" si="46"/>
        <v>0</v>
      </c>
      <c r="AE169" s="2">
        <f t="shared" si="47"/>
        <v>1806.513042</v>
      </c>
    </row>
    <row r="170" spans="1:31">
      <c r="A170" s="1" t="s">
        <v>15</v>
      </c>
      <c r="B170">
        <v>133</v>
      </c>
      <c r="C170" s="5">
        <v>100</v>
      </c>
      <c r="D170" s="5">
        <v>0.80326377992099995</v>
      </c>
      <c r="E170" s="11">
        <v>1.58</v>
      </c>
      <c r="F170" s="15">
        <v>76</v>
      </c>
      <c r="G170" s="15">
        <v>0</v>
      </c>
      <c r="H170" s="15">
        <v>0</v>
      </c>
      <c r="I170" s="15">
        <v>0</v>
      </c>
      <c r="J170" s="11">
        <v>0</v>
      </c>
      <c r="K170" s="15">
        <v>0</v>
      </c>
      <c r="L170" s="15">
        <v>0</v>
      </c>
      <c r="M170" s="15">
        <v>0</v>
      </c>
      <c r="N170" s="16">
        <v>0</v>
      </c>
      <c r="O170" s="2">
        <f t="shared" si="33"/>
        <v>77.58</v>
      </c>
      <c r="P170" s="2">
        <f t="shared" si="34"/>
        <v>0</v>
      </c>
      <c r="Q170" s="2">
        <f t="shared" si="35"/>
        <v>77.58</v>
      </c>
      <c r="S170" s="2">
        <f t="shared" si="48"/>
        <v>1.58</v>
      </c>
      <c r="T170" s="2">
        <f t="shared" si="36"/>
        <v>76</v>
      </c>
      <c r="U170" s="2">
        <f t="shared" si="37"/>
        <v>0</v>
      </c>
      <c r="V170" s="2">
        <f t="shared" si="38"/>
        <v>0</v>
      </c>
      <c r="W170" s="2">
        <f t="shared" si="39"/>
        <v>0</v>
      </c>
      <c r="X170" s="2">
        <f t="shared" si="40"/>
        <v>0</v>
      </c>
      <c r="Y170" s="2">
        <f t="shared" si="41"/>
        <v>0</v>
      </c>
      <c r="Z170" s="2">
        <f t="shared" si="42"/>
        <v>0</v>
      </c>
      <c r="AA170" s="2">
        <f t="shared" si="43"/>
        <v>0</v>
      </c>
      <c r="AB170" s="2">
        <f t="shared" si="44"/>
        <v>0</v>
      </c>
      <c r="AC170" s="2">
        <f t="shared" si="45"/>
        <v>77.58</v>
      </c>
      <c r="AD170" s="2">
        <f t="shared" si="46"/>
        <v>0</v>
      </c>
      <c r="AE170" s="2">
        <f t="shared" si="47"/>
        <v>77.58</v>
      </c>
    </row>
    <row r="171" spans="1:31">
      <c r="A171" s="1" t="s">
        <v>15</v>
      </c>
      <c r="B171">
        <v>134</v>
      </c>
      <c r="C171" s="5">
        <v>100</v>
      </c>
      <c r="D171" s="5">
        <v>2.0291475275000002</v>
      </c>
      <c r="E171" s="11">
        <v>0</v>
      </c>
      <c r="F171" s="15">
        <v>1167.6221700000001</v>
      </c>
      <c r="G171" s="15">
        <v>0</v>
      </c>
      <c r="H171" s="15">
        <v>0</v>
      </c>
      <c r="I171" s="15">
        <v>0</v>
      </c>
      <c r="J171" s="11">
        <v>0</v>
      </c>
      <c r="K171" s="15">
        <v>0</v>
      </c>
      <c r="L171" s="15">
        <v>0</v>
      </c>
      <c r="M171" s="15">
        <v>0</v>
      </c>
      <c r="N171" s="16">
        <v>0</v>
      </c>
      <c r="O171" s="2">
        <f t="shared" si="33"/>
        <v>1167.6221700000001</v>
      </c>
      <c r="P171" s="2">
        <f t="shared" si="34"/>
        <v>0</v>
      </c>
      <c r="Q171" s="2">
        <f t="shared" si="35"/>
        <v>1167.6221700000001</v>
      </c>
      <c r="S171" s="2">
        <f t="shared" si="48"/>
        <v>0</v>
      </c>
      <c r="T171" s="2">
        <f t="shared" si="36"/>
        <v>1167.6221700000001</v>
      </c>
      <c r="U171" s="2">
        <f t="shared" si="37"/>
        <v>0</v>
      </c>
      <c r="V171" s="2">
        <f t="shared" si="38"/>
        <v>0</v>
      </c>
      <c r="W171" s="2">
        <f t="shared" si="39"/>
        <v>0</v>
      </c>
      <c r="X171" s="2">
        <f t="shared" si="40"/>
        <v>0</v>
      </c>
      <c r="Y171" s="2">
        <f t="shared" si="41"/>
        <v>0</v>
      </c>
      <c r="Z171" s="2">
        <f t="shared" si="42"/>
        <v>0</v>
      </c>
      <c r="AA171" s="2">
        <f t="shared" si="43"/>
        <v>0</v>
      </c>
      <c r="AB171" s="2">
        <f t="shared" si="44"/>
        <v>0</v>
      </c>
      <c r="AC171" s="2">
        <f t="shared" si="45"/>
        <v>1167.6221700000001</v>
      </c>
      <c r="AD171" s="2">
        <f t="shared" si="46"/>
        <v>0</v>
      </c>
      <c r="AE171" s="2">
        <f t="shared" si="47"/>
        <v>1167.6221700000001</v>
      </c>
    </row>
    <row r="172" spans="1:31">
      <c r="A172" s="1" t="s">
        <v>15</v>
      </c>
      <c r="B172">
        <v>144</v>
      </c>
      <c r="C172" s="5">
        <v>16.948669563300001</v>
      </c>
      <c r="D172" s="5">
        <v>0.61276863819000005</v>
      </c>
      <c r="E172" s="11">
        <v>100.8</v>
      </c>
      <c r="F172" s="15">
        <v>6.2</v>
      </c>
      <c r="G172" s="15">
        <v>0</v>
      </c>
      <c r="H172" s="15">
        <v>0</v>
      </c>
      <c r="I172" s="15">
        <v>0</v>
      </c>
      <c r="J172" s="11">
        <v>0</v>
      </c>
      <c r="K172" s="15">
        <v>0</v>
      </c>
      <c r="L172" s="15">
        <v>0</v>
      </c>
      <c r="M172" s="15">
        <v>0</v>
      </c>
      <c r="N172" s="16">
        <v>0</v>
      </c>
      <c r="O172" s="2">
        <f t="shared" si="33"/>
        <v>107</v>
      </c>
      <c r="P172" s="2">
        <f t="shared" si="34"/>
        <v>0</v>
      </c>
      <c r="Q172" s="2">
        <f t="shared" si="35"/>
        <v>107</v>
      </c>
      <c r="S172" s="2">
        <f t="shared" si="48"/>
        <v>17.084258919806402</v>
      </c>
      <c r="T172" s="2">
        <f t="shared" si="36"/>
        <v>1.0508175129246</v>
      </c>
      <c r="U172" s="2">
        <f t="shared" si="37"/>
        <v>0</v>
      </c>
      <c r="V172" s="2">
        <f t="shared" si="38"/>
        <v>0</v>
      </c>
      <c r="W172" s="2">
        <f t="shared" si="39"/>
        <v>0</v>
      </c>
      <c r="X172" s="2">
        <f t="shared" si="40"/>
        <v>0</v>
      </c>
      <c r="Y172" s="2">
        <f t="shared" si="41"/>
        <v>0</v>
      </c>
      <c r="Z172" s="2">
        <f t="shared" si="42"/>
        <v>0</v>
      </c>
      <c r="AA172" s="2">
        <f t="shared" si="43"/>
        <v>0</v>
      </c>
      <c r="AB172" s="2">
        <f t="shared" si="44"/>
        <v>0</v>
      </c>
      <c r="AC172" s="2">
        <f t="shared" si="45"/>
        <v>18.135076432731001</v>
      </c>
      <c r="AD172" s="2">
        <f t="shared" si="46"/>
        <v>0</v>
      </c>
      <c r="AE172" s="2">
        <f t="shared" si="47"/>
        <v>18.135076432731001</v>
      </c>
    </row>
    <row r="173" spans="1:31">
      <c r="A173" s="1" t="s">
        <v>15</v>
      </c>
      <c r="B173">
        <v>176</v>
      </c>
      <c r="C173" s="5">
        <v>99.999362083600005</v>
      </c>
      <c r="D173" s="5">
        <v>2.1305779239699998</v>
      </c>
      <c r="E173" s="11">
        <v>0</v>
      </c>
      <c r="F173" s="15">
        <v>1616.1634920000001</v>
      </c>
      <c r="G173" s="15">
        <v>249.80004000000002</v>
      </c>
      <c r="H173" s="15">
        <v>0</v>
      </c>
      <c r="I173" s="15">
        <v>0</v>
      </c>
      <c r="J173" s="11">
        <v>0</v>
      </c>
      <c r="K173" s="15">
        <v>0</v>
      </c>
      <c r="L173" s="15">
        <v>0</v>
      </c>
      <c r="M173" s="15">
        <v>0</v>
      </c>
      <c r="N173" s="16">
        <v>0</v>
      </c>
      <c r="O173" s="2">
        <f t="shared" si="33"/>
        <v>1865.9635320000002</v>
      </c>
      <c r="P173" s="2">
        <f t="shared" si="34"/>
        <v>0</v>
      </c>
      <c r="Q173" s="2">
        <f t="shared" si="35"/>
        <v>1865.9635320000002</v>
      </c>
      <c r="S173" s="2">
        <f t="shared" si="48"/>
        <v>0</v>
      </c>
      <c r="T173" s="2">
        <f t="shared" si="36"/>
        <v>1616.1531822280338</v>
      </c>
      <c r="U173" s="2">
        <f t="shared" si="37"/>
        <v>249.79844648457765</v>
      </c>
      <c r="V173" s="2">
        <f t="shared" si="38"/>
        <v>0</v>
      </c>
      <c r="W173" s="2">
        <f t="shared" si="39"/>
        <v>0</v>
      </c>
      <c r="X173" s="2">
        <f t="shared" si="40"/>
        <v>0</v>
      </c>
      <c r="Y173" s="2">
        <f t="shared" si="41"/>
        <v>0</v>
      </c>
      <c r="Z173" s="2">
        <f t="shared" si="42"/>
        <v>0</v>
      </c>
      <c r="AA173" s="2">
        <f t="shared" si="43"/>
        <v>0</v>
      </c>
      <c r="AB173" s="2">
        <f t="shared" si="44"/>
        <v>0</v>
      </c>
      <c r="AC173" s="2">
        <f t="shared" si="45"/>
        <v>1865.9516287126116</v>
      </c>
      <c r="AD173" s="2">
        <f t="shared" si="46"/>
        <v>0</v>
      </c>
      <c r="AE173" s="2">
        <f t="shared" si="47"/>
        <v>1865.9516287126116</v>
      </c>
    </row>
    <row r="174" spans="1:31">
      <c r="A174" s="1" t="s">
        <v>15</v>
      </c>
      <c r="B174">
        <v>177</v>
      </c>
      <c r="C174" s="5">
        <v>84.7564663255</v>
      </c>
      <c r="D174" s="5">
        <v>0.92800684783999998</v>
      </c>
      <c r="E174" s="11">
        <v>0</v>
      </c>
      <c r="F174" s="15">
        <v>0.8</v>
      </c>
      <c r="G174" s="15">
        <v>0</v>
      </c>
      <c r="H174" s="15">
        <v>0</v>
      </c>
      <c r="I174" s="15">
        <v>0</v>
      </c>
      <c r="J174" s="11">
        <v>0</v>
      </c>
      <c r="K174" s="15">
        <v>0</v>
      </c>
      <c r="L174" s="15">
        <v>0</v>
      </c>
      <c r="M174" s="15">
        <v>0</v>
      </c>
      <c r="N174" s="16">
        <v>0</v>
      </c>
      <c r="O174" s="2">
        <f t="shared" si="33"/>
        <v>0.8</v>
      </c>
      <c r="P174" s="2">
        <f t="shared" si="34"/>
        <v>0</v>
      </c>
      <c r="Q174" s="2">
        <f t="shared" si="35"/>
        <v>0.8</v>
      </c>
      <c r="S174" s="2">
        <f t="shared" si="48"/>
        <v>0</v>
      </c>
      <c r="T174" s="2">
        <f t="shared" si="36"/>
        <v>0.67805173060400004</v>
      </c>
      <c r="U174" s="2">
        <f t="shared" si="37"/>
        <v>0</v>
      </c>
      <c r="V174" s="2">
        <f t="shared" si="38"/>
        <v>0</v>
      </c>
      <c r="W174" s="2">
        <f t="shared" si="39"/>
        <v>0</v>
      </c>
      <c r="X174" s="2">
        <f t="shared" si="40"/>
        <v>0</v>
      </c>
      <c r="Y174" s="2">
        <f t="shared" si="41"/>
        <v>0</v>
      </c>
      <c r="Z174" s="2">
        <f t="shared" si="42"/>
        <v>0</v>
      </c>
      <c r="AA174" s="2">
        <f t="shared" si="43"/>
        <v>0</v>
      </c>
      <c r="AB174" s="2">
        <f t="shared" si="44"/>
        <v>0</v>
      </c>
      <c r="AC174" s="2">
        <f t="shared" si="45"/>
        <v>0.67805173060400004</v>
      </c>
      <c r="AD174" s="2">
        <f t="shared" si="46"/>
        <v>0</v>
      </c>
      <c r="AE174" s="2">
        <f t="shared" si="47"/>
        <v>0.67805173060400004</v>
      </c>
    </row>
    <row r="175" spans="1:31">
      <c r="A175" s="1" t="s">
        <v>15</v>
      </c>
      <c r="B175">
        <v>178</v>
      </c>
      <c r="C175" s="5">
        <v>100</v>
      </c>
      <c r="D175" s="5">
        <v>1.5762776539200001</v>
      </c>
      <c r="E175" s="11">
        <v>0</v>
      </c>
      <c r="F175" s="15">
        <v>10069.101105</v>
      </c>
      <c r="G175" s="15">
        <v>0</v>
      </c>
      <c r="H175" s="15">
        <v>0</v>
      </c>
      <c r="I175" s="15">
        <v>0</v>
      </c>
      <c r="J175" s="11">
        <v>0</v>
      </c>
      <c r="K175" s="15">
        <v>0</v>
      </c>
      <c r="L175" s="15">
        <v>0</v>
      </c>
      <c r="M175" s="15">
        <v>0</v>
      </c>
      <c r="N175" s="16">
        <v>0</v>
      </c>
      <c r="O175" s="2">
        <f t="shared" si="33"/>
        <v>10069.101105</v>
      </c>
      <c r="P175" s="2">
        <f t="shared" si="34"/>
        <v>0</v>
      </c>
      <c r="Q175" s="2">
        <f t="shared" si="35"/>
        <v>10069.101105</v>
      </c>
      <c r="S175" s="2">
        <f t="shared" si="48"/>
        <v>0</v>
      </c>
      <c r="T175" s="2">
        <f t="shared" si="36"/>
        <v>10069.101105</v>
      </c>
      <c r="U175" s="2">
        <f t="shared" si="37"/>
        <v>0</v>
      </c>
      <c r="V175" s="2">
        <f t="shared" si="38"/>
        <v>0</v>
      </c>
      <c r="W175" s="2">
        <f t="shared" si="39"/>
        <v>0</v>
      </c>
      <c r="X175" s="2">
        <f t="shared" si="40"/>
        <v>0</v>
      </c>
      <c r="Y175" s="2">
        <f t="shared" si="41"/>
        <v>0</v>
      </c>
      <c r="Z175" s="2">
        <f t="shared" si="42"/>
        <v>0</v>
      </c>
      <c r="AA175" s="2">
        <f t="shared" si="43"/>
        <v>0</v>
      </c>
      <c r="AB175" s="2">
        <f t="shared" si="44"/>
        <v>0</v>
      </c>
      <c r="AC175" s="2">
        <f t="shared" si="45"/>
        <v>10069.101105</v>
      </c>
      <c r="AD175" s="2">
        <f t="shared" si="46"/>
        <v>0</v>
      </c>
      <c r="AE175" s="2">
        <f t="shared" si="47"/>
        <v>10069.101105</v>
      </c>
    </row>
    <row r="176" spans="1:31">
      <c r="A176" s="1" t="s">
        <v>15</v>
      </c>
      <c r="B176">
        <v>179</v>
      </c>
      <c r="C176" s="5">
        <v>100</v>
      </c>
      <c r="D176" s="5">
        <v>0.877433579967</v>
      </c>
      <c r="E176" s="11">
        <v>0</v>
      </c>
      <c r="F176" s="15">
        <v>236.4</v>
      </c>
      <c r="G176" s="15">
        <v>0</v>
      </c>
      <c r="H176" s="15">
        <v>0</v>
      </c>
      <c r="I176" s="15">
        <v>0</v>
      </c>
      <c r="J176" s="11">
        <v>0</v>
      </c>
      <c r="K176" s="15">
        <v>0</v>
      </c>
      <c r="L176" s="15">
        <v>0</v>
      </c>
      <c r="M176" s="15">
        <v>0</v>
      </c>
      <c r="N176" s="16">
        <v>0</v>
      </c>
      <c r="O176" s="2">
        <f t="shared" si="33"/>
        <v>236.4</v>
      </c>
      <c r="P176" s="2">
        <f t="shared" si="34"/>
        <v>0</v>
      </c>
      <c r="Q176" s="2">
        <f t="shared" si="35"/>
        <v>236.4</v>
      </c>
      <c r="S176" s="2">
        <f t="shared" si="48"/>
        <v>0</v>
      </c>
      <c r="T176" s="2">
        <f t="shared" si="36"/>
        <v>236.4</v>
      </c>
      <c r="U176" s="2">
        <f t="shared" si="37"/>
        <v>0</v>
      </c>
      <c r="V176" s="2">
        <f t="shared" si="38"/>
        <v>0</v>
      </c>
      <c r="W176" s="2">
        <f t="shared" si="39"/>
        <v>0</v>
      </c>
      <c r="X176" s="2">
        <f t="shared" si="40"/>
        <v>0</v>
      </c>
      <c r="Y176" s="2">
        <f t="shared" si="41"/>
        <v>0</v>
      </c>
      <c r="Z176" s="2">
        <f t="shared" si="42"/>
        <v>0</v>
      </c>
      <c r="AA176" s="2">
        <f t="shared" si="43"/>
        <v>0</v>
      </c>
      <c r="AB176" s="2">
        <f t="shared" si="44"/>
        <v>0</v>
      </c>
      <c r="AC176" s="2">
        <f t="shared" si="45"/>
        <v>236.4</v>
      </c>
      <c r="AD176" s="2">
        <f t="shared" si="46"/>
        <v>0</v>
      </c>
      <c r="AE176" s="2">
        <f t="shared" si="47"/>
        <v>236.4</v>
      </c>
    </row>
    <row r="177" spans="1:31">
      <c r="A177" s="1" t="s">
        <v>15</v>
      </c>
      <c r="B177">
        <v>180</v>
      </c>
      <c r="C177" s="5">
        <v>99.999851130400003</v>
      </c>
      <c r="D177" s="5">
        <v>1.5682470259900001</v>
      </c>
      <c r="E177" s="11">
        <v>0</v>
      </c>
      <c r="F177" s="15">
        <v>6547.2513509999999</v>
      </c>
      <c r="G177" s="15">
        <v>0</v>
      </c>
      <c r="H177" s="15">
        <v>0</v>
      </c>
      <c r="I177" s="15">
        <v>0</v>
      </c>
      <c r="J177" s="11">
        <v>0</v>
      </c>
      <c r="K177" s="15">
        <v>0</v>
      </c>
      <c r="L177" s="15">
        <v>0</v>
      </c>
      <c r="M177" s="15">
        <v>0</v>
      </c>
      <c r="N177" s="16">
        <v>0</v>
      </c>
      <c r="O177" s="2">
        <f t="shared" si="33"/>
        <v>6547.2513509999999</v>
      </c>
      <c r="P177" s="2">
        <f t="shared" si="34"/>
        <v>0</v>
      </c>
      <c r="Q177" s="2">
        <f t="shared" si="35"/>
        <v>6547.2513509999999</v>
      </c>
      <c r="S177" s="2">
        <f t="shared" si="48"/>
        <v>0</v>
      </c>
      <c r="T177" s="2">
        <f t="shared" si="36"/>
        <v>6547.2416041331026</v>
      </c>
      <c r="U177" s="2">
        <f t="shared" si="37"/>
        <v>0</v>
      </c>
      <c r="V177" s="2">
        <f t="shared" si="38"/>
        <v>0</v>
      </c>
      <c r="W177" s="2">
        <f t="shared" si="39"/>
        <v>0</v>
      </c>
      <c r="X177" s="2">
        <f t="shared" si="40"/>
        <v>0</v>
      </c>
      <c r="Y177" s="2">
        <f t="shared" si="41"/>
        <v>0</v>
      </c>
      <c r="Z177" s="2">
        <f t="shared" si="42"/>
        <v>0</v>
      </c>
      <c r="AA177" s="2">
        <f t="shared" si="43"/>
        <v>0</v>
      </c>
      <c r="AB177" s="2">
        <f t="shared" si="44"/>
        <v>0</v>
      </c>
      <c r="AC177" s="2">
        <f t="shared" si="45"/>
        <v>6547.2416041331026</v>
      </c>
      <c r="AD177" s="2">
        <f t="shared" si="46"/>
        <v>0</v>
      </c>
      <c r="AE177" s="2">
        <f t="shared" si="47"/>
        <v>6547.2416041331026</v>
      </c>
    </row>
    <row r="178" spans="1:31">
      <c r="A178" s="1" t="s">
        <v>15</v>
      </c>
      <c r="B178">
        <v>181</v>
      </c>
      <c r="C178" s="5">
        <v>99.997204797999999</v>
      </c>
      <c r="D178" s="5">
        <v>0.82476098388399999</v>
      </c>
      <c r="E178" s="11">
        <v>0</v>
      </c>
      <c r="F178" s="15">
        <v>0</v>
      </c>
      <c r="G178" s="15">
        <v>0</v>
      </c>
      <c r="H178" s="15">
        <v>0</v>
      </c>
      <c r="I178" s="15">
        <v>0</v>
      </c>
      <c r="J178" s="11">
        <v>0</v>
      </c>
      <c r="K178" s="15">
        <v>0</v>
      </c>
      <c r="L178" s="15">
        <v>0</v>
      </c>
      <c r="M178" s="15">
        <v>0</v>
      </c>
      <c r="N178" s="16">
        <v>0</v>
      </c>
      <c r="O178" s="2">
        <f t="shared" si="33"/>
        <v>0</v>
      </c>
      <c r="P178" s="2">
        <f t="shared" si="34"/>
        <v>0</v>
      </c>
      <c r="Q178" s="2">
        <f t="shared" si="35"/>
        <v>0</v>
      </c>
      <c r="S178" s="2">
        <f t="shared" si="48"/>
        <v>0</v>
      </c>
      <c r="T178" s="2">
        <f t="shared" si="36"/>
        <v>0</v>
      </c>
      <c r="U178" s="2">
        <f t="shared" si="37"/>
        <v>0</v>
      </c>
      <c r="V178" s="2">
        <f t="shared" si="38"/>
        <v>0</v>
      </c>
      <c r="W178" s="2">
        <f t="shared" si="39"/>
        <v>0</v>
      </c>
      <c r="X178" s="2">
        <f t="shared" si="40"/>
        <v>0</v>
      </c>
      <c r="Y178" s="2">
        <f t="shared" si="41"/>
        <v>0</v>
      </c>
      <c r="Z178" s="2">
        <f t="shared" si="42"/>
        <v>0</v>
      </c>
      <c r="AA178" s="2">
        <f t="shared" si="43"/>
        <v>0</v>
      </c>
      <c r="AB178" s="2">
        <f t="shared" si="44"/>
        <v>0</v>
      </c>
      <c r="AC178" s="2">
        <f t="shared" si="45"/>
        <v>0</v>
      </c>
      <c r="AD178" s="2">
        <f t="shared" si="46"/>
        <v>0</v>
      </c>
      <c r="AE178" s="2">
        <f t="shared" si="47"/>
        <v>0</v>
      </c>
    </row>
    <row r="179" spans="1:31">
      <c r="A179" s="1" t="s">
        <v>15</v>
      </c>
      <c r="B179">
        <v>182</v>
      </c>
      <c r="C179" s="5">
        <v>99.999661005500002</v>
      </c>
      <c r="D179" s="5">
        <v>0.63283994760899998</v>
      </c>
      <c r="E179" s="11">
        <v>0</v>
      </c>
      <c r="F179" s="15">
        <v>0</v>
      </c>
      <c r="G179" s="15">
        <v>0</v>
      </c>
      <c r="H179" s="15">
        <v>0</v>
      </c>
      <c r="I179" s="15">
        <v>0</v>
      </c>
      <c r="J179" s="11">
        <v>0</v>
      </c>
      <c r="K179" s="15">
        <v>0</v>
      </c>
      <c r="L179" s="15">
        <v>0</v>
      </c>
      <c r="M179" s="15">
        <v>0</v>
      </c>
      <c r="N179" s="16">
        <v>0</v>
      </c>
      <c r="O179" s="2">
        <f t="shared" si="33"/>
        <v>0</v>
      </c>
      <c r="P179" s="2">
        <f t="shared" si="34"/>
        <v>0</v>
      </c>
      <c r="Q179" s="2">
        <f t="shared" si="35"/>
        <v>0</v>
      </c>
      <c r="S179" s="2">
        <f t="shared" si="48"/>
        <v>0</v>
      </c>
      <c r="T179" s="2">
        <f t="shared" si="36"/>
        <v>0</v>
      </c>
      <c r="U179" s="2">
        <f t="shared" si="37"/>
        <v>0</v>
      </c>
      <c r="V179" s="2">
        <f t="shared" si="38"/>
        <v>0</v>
      </c>
      <c r="W179" s="2">
        <f t="shared" si="39"/>
        <v>0</v>
      </c>
      <c r="X179" s="2">
        <f t="shared" si="40"/>
        <v>0</v>
      </c>
      <c r="Y179" s="2">
        <f t="shared" si="41"/>
        <v>0</v>
      </c>
      <c r="Z179" s="2">
        <f t="shared" si="42"/>
        <v>0</v>
      </c>
      <c r="AA179" s="2">
        <f t="shared" si="43"/>
        <v>0</v>
      </c>
      <c r="AB179" s="2">
        <f t="shared" si="44"/>
        <v>0</v>
      </c>
      <c r="AC179" s="2">
        <f t="shared" si="45"/>
        <v>0</v>
      </c>
      <c r="AD179" s="2">
        <f t="shared" si="46"/>
        <v>0</v>
      </c>
      <c r="AE179" s="2">
        <f t="shared" si="47"/>
        <v>0</v>
      </c>
    </row>
    <row r="180" spans="1:31">
      <c r="A180" s="1" t="s">
        <v>15</v>
      </c>
      <c r="B180">
        <v>183</v>
      </c>
      <c r="C180" s="5">
        <v>88.662813802399995</v>
      </c>
      <c r="D180" s="5">
        <v>1.2217507167799999</v>
      </c>
      <c r="E180" s="11">
        <v>0</v>
      </c>
      <c r="F180" s="15">
        <v>4</v>
      </c>
      <c r="G180" s="15">
        <v>0</v>
      </c>
      <c r="H180" s="15">
        <v>0</v>
      </c>
      <c r="I180" s="15">
        <v>0</v>
      </c>
      <c r="J180" s="11">
        <v>0</v>
      </c>
      <c r="K180" s="15">
        <v>0</v>
      </c>
      <c r="L180" s="15">
        <v>0</v>
      </c>
      <c r="M180" s="15">
        <v>0</v>
      </c>
      <c r="N180" s="16">
        <v>0</v>
      </c>
      <c r="O180" s="2">
        <f t="shared" si="33"/>
        <v>4</v>
      </c>
      <c r="P180" s="2">
        <f t="shared" si="34"/>
        <v>0</v>
      </c>
      <c r="Q180" s="2">
        <f t="shared" si="35"/>
        <v>4</v>
      </c>
      <c r="S180" s="2">
        <f t="shared" si="48"/>
        <v>0</v>
      </c>
      <c r="T180" s="2">
        <f t="shared" si="36"/>
        <v>3.5465125520959999</v>
      </c>
      <c r="U180" s="2">
        <f t="shared" si="37"/>
        <v>0</v>
      </c>
      <c r="V180" s="2">
        <f t="shared" si="38"/>
        <v>0</v>
      </c>
      <c r="W180" s="2">
        <f t="shared" si="39"/>
        <v>0</v>
      </c>
      <c r="X180" s="2">
        <f t="shared" si="40"/>
        <v>0</v>
      </c>
      <c r="Y180" s="2">
        <f t="shared" si="41"/>
        <v>0</v>
      </c>
      <c r="Z180" s="2">
        <f t="shared" si="42"/>
        <v>0</v>
      </c>
      <c r="AA180" s="2">
        <f t="shared" si="43"/>
        <v>0</v>
      </c>
      <c r="AB180" s="2">
        <f t="shared" si="44"/>
        <v>0</v>
      </c>
      <c r="AC180" s="2">
        <f t="shared" si="45"/>
        <v>3.5465125520959999</v>
      </c>
      <c r="AD180" s="2">
        <f t="shared" si="46"/>
        <v>0</v>
      </c>
      <c r="AE180" s="2">
        <f t="shared" si="47"/>
        <v>3.5465125520959999</v>
      </c>
    </row>
    <row r="181" spans="1:31">
      <c r="A181" s="1" t="s">
        <v>15</v>
      </c>
      <c r="B181">
        <v>194</v>
      </c>
      <c r="C181" s="5">
        <v>45.103406670399998</v>
      </c>
      <c r="D181" s="5">
        <v>0.83968555292400004</v>
      </c>
      <c r="E181" s="11">
        <v>30</v>
      </c>
      <c r="F181" s="15">
        <v>0</v>
      </c>
      <c r="G181" s="15">
        <v>0</v>
      </c>
      <c r="H181" s="15">
        <v>0</v>
      </c>
      <c r="I181" s="15">
        <v>0</v>
      </c>
      <c r="J181" s="11">
        <v>0</v>
      </c>
      <c r="K181" s="15">
        <v>0</v>
      </c>
      <c r="L181" s="15">
        <v>0</v>
      </c>
      <c r="M181" s="15">
        <v>0</v>
      </c>
      <c r="N181" s="16">
        <v>0</v>
      </c>
      <c r="O181" s="2">
        <f t="shared" si="33"/>
        <v>30</v>
      </c>
      <c r="P181" s="2">
        <f t="shared" si="34"/>
        <v>0</v>
      </c>
      <c r="Q181" s="2">
        <f t="shared" si="35"/>
        <v>30</v>
      </c>
      <c r="S181" s="2">
        <f t="shared" si="48"/>
        <v>13.53102200112</v>
      </c>
      <c r="T181" s="2">
        <f t="shared" si="36"/>
        <v>0</v>
      </c>
      <c r="U181" s="2">
        <f t="shared" si="37"/>
        <v>0</v>
      </c>
      <c r="V181" s="2">
        <f t="shared" si="38"/>
        <v>0</v>
      </c>
      <c r="W181" s="2">
        <f t="shared" si="39"/>
        <v>0</v>
      </c>
      <c r="X181" s="2">
        <f t="shared" si="40"/>
        <v>0</v>
      </c>
      <c r="Y181" s="2">
        <f t="shared" si="41"/>
        <v>0</v>
      </c>
      <c r="Z181" s="2">
        <f t="shared" si="42"/>
        <v>0</v>
      </c>
      <c r="AA181" s="2">
        <f t="shared" si="43"/>
        <v>0</v>
      </c>
      <c r="AB181" s="2">
        <f t="shared" si="44"/>
        <v>0</v>
      </c>
      <c r="AC181" s="2">
        <f t="shared" si="45"/>
        <v>13.53102200112</v>
      </c>
      <c r="AD181" s="2">
        <f t="shared" si="46"/>
        <v>0</v>
      </c>
      <c r="AE181" s="2">
        <f t="shared" si="47"/>
        <v>13.53102200112</v>
      </c>
    </row>
    <row r="182" spans="1:31">
      <c r="A182" s="1" t="s">
        <v>16</v>
      </c>
      <c r="B182">
        <v>343</v>
      </c>
      <c r="C182" s="5">
        <v>99.9999742177</v>
      </c>
      <c r="D182" s="5">
        <v>3.6420768046199998</v>
      </c>
      <c r="E182" s="11">
        <v>0</v>
      </c>
      <c r="F182" s="15">
        <v>0</v>
      </c>
      <c r="G182" s="15">
        <v>0</v>
      </c>
      <c r="H182" s="15">
        <v>0</v>
      </c>
      <c r="I182" s="15">
        <v>0</v>
      </c>
      <c r="J182" s="11">
        <v>0</v>
      </c>
      <c r="K182" s="15">
        <v>0</v>
      </c>
      <c r="L182" s="15">
        <v>0</v>
      </c>
      <c r="M182" s="15">
        <v>0</v>
      </c>
      <c r="N182" s="16">
        <v>0</v>
      </c>
      <c r="O182" s="2">
        <f t="shared" si="33"/>
        <v>0</v>
      </c>
      <c r="P182" s="2">
        <f t="shared" si="34"/>
        <v>0</v>
      </c>
      <c r="Q182" s="2">
        <f t="shared" si="35"/>
        <v>0</v>
      </c>
      <c r="S182" s="2">
        <f t="shared" si="48"/>
        <v>0</v>
      </c>
      <c r="T182" s="2">
        <f t="shared" si="36"/>
        <v>0</v>
      </c>
      <c r="U182" s="2">
        <f t="shared" si="37"/>
        <v>0</v>
      </c>
      <c r="V182" s="2">
        <f t="shared" si="38"/>
        <v>0</v>
      </c>
      <c r="W182" s="2">
        <f t="shared" si="39"/>
        <v>0</v>
      </c>
      <c r="X182" s="2">
        <f t="shared" si="40"/>
        <v>0</v>
      </c>
      <c r="Y182" s="2">
        <f t="shared" si="41"/>
        <v>0</v>
      </c>
      <c r="Z182" s="2">
        <f t="shared" si="42"/>
        <v>0</v>
      </c>
      <c r="AA182" s="2">
        <f t="shared" si="43"/>
        <v>0</v>
      </c>
      <c r="AB182" s="2">
        <f t="shared" si="44"/>
        <v>0</v>
      </c>
      <c r="AC182" s="2">
        <f t="shared" si="45"/>
        <v>0</v>
      </c>
      <c r="AD182" s="2">
        <f t="shared" si="46"/>
        <v>0</v>
      </c>
      <c r="AE182" s="2">
        <f t="shared" si="47"/>
        <v>0</v>
      </c>
    </row>
    <row r="183" spans="1:31">
      <c r="A183" s="1" t="s">
        <v>16</v>
      </c>
      <c r="B183">
        <v>344</v>
      </c>
      <c r="C183" s="5">
        <v>99.998561363500002</v>
      </c>
      <c r="D183" s="5">
        <v>3.2385233921999999</v>
      </c>
      <c r="E183" s="11">
        <v>0</v>
      </c>
      <c r="F183" s="15">
        <v>0</v>
      </c>
      <c r="G183" s="15">
        <v>0</v>
      </c>
      <c r="H183" s="15">
        <v>0</v>
      </c>
      <c r="I183" s="15">
        <v>0</v>
      </c>
      <c r="J183" s="11">
        <v>0</v>
      </c>
      <c r="K183" s="15">
        <v>0</v>
      </c>
      <c r="L183" s="15">
        <v>0</v>
      </c>
      <c r="M183" s="15">
        <v>0</v>
      </c>
      <c r="N183" s="16">
        <v>0</v>
      </c>
      <c r="O183" s="2">
        <f t="shared" si="33"/>
        <v>0</v>
      </c>
      <c r="P183" s="2">
        <f t="shared" si="34"/>
        <v>0</v>
      </c>
      <c r="Q183" s="2">
        <f t="shared" si="35"/>
        <v>0</v>
      </c>
      <c r="S183" s="2">
        <f t="shared" si="48"/>
        <v>0</v>
      </c>
      <c r="T183" s="2">
        <f t="shared" si="36"/>
        <v>0</v>
      </c>
      <c r="U183" s="2">
        <f t="shared" si="37"/>
        <v>0</v>
      </c>
      <c r="V183" s="2">
        <f t="shared" si="38"/>
        <v>0</v>
      </c>
      <c r="W183" s="2">
        <f t="shared" si="39"/>
        <v>0</v>
      </c>
      <c r="X183" s="2">
        <f t="shared" si="40"/>
        <v>0</v>
      </c>
      <c r="Y183" s="2">
        <f t="shared" si="41"/>
        <v>0</v>
      </c>
      <c r="Z183" s="2">
        <f t="shared" si="42"/>
        <v>0</v>
      </c>
      <c r="AA183" s="2">
        <f t="shared" si="43"/>
        <v>0</v>
      </c>
      <c r="AB183" s="2">
        <f t="shared" si="44"/>
        <v>0</v>
      </c>
      <c r="AC183" s="2">
        <f t="shared" si="45"/>
        <v>0</v>
      </c>
      <c r="AD183" s="2">
        <f t="shared" si="46"/>
        <v>0</v>
      </c>
      <c r="AE183" s="2">
        <f t="shared" si="47"/>
        <v>0</v>
      </c>
    </row>
    <row r="184" spans="1:31">
      <c r="A184" s="1" t="s">
        <v>16</v>
      </c>
      <c r="B184">
        <v>345</v>
      </c>
      <c r="C184" s="5">
        <v>100</v>
      </c>
      <c r="D184" s="5">
        <v>1.32126582237</v>
      </c>
      <c r="E184" s="11">
        <v>0</v>
      </c>
      <c r="F184" s="15">
        <v>0</v>
      </c>
      <c r="G184" s="15">
        <v>0</v>
      </c>
      <c r="H184" s="15">
        <v>0</v>
      </c>
      <c r="I184" s="15">
        <v>0</v>
      </c>
      <c r="J184" s="11">
        <v>0</v>
      </c>
      <c r="K184" s="15">
        <v>0</v>
      </c>
      <c r="L184" s="15">
        <v>0</v>
      </c>
      <c r="M184" s="15">
        <v>974.45479999999998</v>
      </c>
      <c r="N184" s="16">
        <v>0</v>
      </c>
      <c r="O184" s="2">
        <f t="shared" si="33"/>
        <v>0</v>
      </c>
      <c r="P184" s="2">
        <f t="shared" si="34"/>
        <v>974.45479999999998</v>
      </c>
      <c r="Q184" s="2">
        <f t="shared" si="35"/>
        <v>974.45479999999998</v>
      </c>
      <c r="S184" s="2">
        <f t="shared" si="48"/>
        <v>0</v>
      </c>
      <c r="T184" s="2">
        <f t="shared" si="36"/>
        <v>0</v>
      </c>
      <c r="U184" s="2">
        <f t="shared" si="37"/>
        <v>0</v>
      </c>
      <c r="V184" s="2">
        <f t="shared" si="38"/>
        <v>0</v>
      </c>
      <c r="W184" s="2">
        <f t="shared" si="39"/>
        <v>0</v>
      </c>
      <c r="X184" s="2">
        <f t="shared" si="40"/>
        <v>0</v>
      </c>
      <c r="Y184" s="2">
        <f t="shared" si="41"/>
        <v>0</v>
      </c>
      <c r="Z184" s="2">
        <f t="shared" si="42"/>
        <v>0</v>
      </c>
      <c r="AA184" s="2">
        <f t="shared" si="43"/>
        <v>974.45479999999998</v>
      </c>
      <c r="AB184" s="2">
        <f t="shared" si="44"/>
        <v>0</v>
      </c>
      <c r="AC184" s="2">
        <f t="shared" si="45"/>
        <v>0</v>
      </c>
      <c r="AD184" s="2">
        <f t="shared" si="46"/>
        <v>974.45479999999998</v>
      </c>
      <c r="AE184" s="2">
        <f t="shared" si="47"/>
        <v>974.45479999999998</v>
      </c>
    </row>
    <row r="185" spans="1:31">
      <c r="A185" s="1" t="s">
        <v>16</v>
      </c>
      <c r="B185">
        <v>346</v>
      </c>
      <c r="C185" s="5">
        <v>100</v>
      </c>
      <c r="D185" s="5">
        <v>0.18456871533899999</v>
      </c>
      <c r="E185" s="11">
        <v>0</v>
      </c>
      <c r="F185" s="15">
        <v>0</v>
      </c>
      <c r="G185" s="15">
        <v>0</v>
      </c>
      <c r="H185" s="15">
        <v>0</v>
      </c>
      <c r="I185" s="15">
        <v>0</v>
      </c>
      <c r="J185" s="11">
        <v>0</v>
      </c>
      <c r="K185" s="15">
        <v>0</v>
      </c>
      <c r="L185" s="15">
        <v>0</v>
      </c>
      <c r="M185" s="15">
        <v>0.2</v>
      </c>
      <c r="N185" s="16">
        <v>0</v>
      </c>
      <c r="O185" s="2">
        <f t="shared" si="33"/>
        <v>0</v>
      </c>
      <c r="P185" s="2">
        <f t="shared" si="34"/>
        <v>0.2</v>
      </c>
      <c r="Q185" s="2">
        <f t="shared" si="35"/>
        <v>0.2</v>
      </c>
      <c r="S185" s="2">
        <f t="shared" si="48"/>
        <v>0</v>
      </c>
      <c r="T185" s="2">
        <f t="shared" si="36"/>
        <v>0</v>
      </c>
      <c r="U185" s="2">
        <f t="shared" si="37"/>
        <v>0</v>
      </c>
      <c r="V185" s="2">
        <f t="shared" si="38"/>
        <v>0</v>
      </c>
      <c r="W185" s="2">
        <f t="shared" si="39"/>
        <v>0</v>
      </c>
      <c r="X185" s="2">
        <f t="shared" si="40"/>
        <v>0</v>
      </c>
      <c r="Y185" s="2">
        <f t="shared" si="41"/>
        <v>0</v>
      </c>
      <c r="Z185" s="2">
        <f t="shared" si="42"/>
        <v>0</v>
      </c>
      <c r="AA185" s="2">
        <f t="shared" si="43"/>
        <v>0.2</v>
      </c>
      <c r="AB185" s="2">
        <f t="shared" si="44"/>
        <v>0</v>
      </c>
      <c r="AC185" s="2">
        <f t="shared" si="45"/>
        <v>0</v>
      </c>
      <c r="AD185" s="2">
        <f t="shared" si="46"/>
        <v>0.2</v>
      </c>
      <c r="AE185" s="2">
        <f t="shared" si="47"/>
        <v>0.2</v>
      </c>
    </row>
    <row r="186" spans="1:31">
      <c r="A186" s="1" t="s">
        <v>16</v>
      </c>
      <c r="B186">
        <v>347</v>
      </c>
      <c r="C186" s="5">
        <v>99.999912364099998</v>
      </c>
      <c r="D186" s="5">
        <v>6.1257503135000002</v>
      </c>
      <c r="E186" s="11">
        <v>0</v>
      </c>
      <c r="F186" s="15">
        <v>0</v>
      </c>
      <c r="G186" s="15">
        <v>0</v>
      </c>
      <c r="H186" s="15">
        <v>2.25</v>
      </c>
      <c r="I186" s="15">
        <v>0.75</v>
      </c>
      <c r="J186" s="11">
        <v>0</v>
      </c>
      <c r="K186" s="15">
        <v>0</v>
      </c>
      <c r="L186" s="15">
        <v>0</v>
      </c>
      <c r="M186" s="15">
        <v>0</v>
      </c>
      <c r="N186" s="16">
        <v>0</v>
      </c>
      <c r="O186" s="2">
        <f t="shared" si="33"/>
        <v>3</v>
      </c>
      <c r="P186" s="2">
        <f t="shared" si="34"/>
        <v>0</v>
      </c>
      <c r="Q186" s="2">
        <f t="shared" si="35"/>
        <v>3</v>
      </c>
      <c r="S186" s="2">
        <f t="shared" si="48"/>
        <v>0</v>
      </c>
      <c r="T186" s="2">
        <f t="shared" si="36"/>
        <v>0</v>
      </c>
      <c r="U186" s="2">
        <f t="shared" si="37"/>
        <v>0</v>
      </c>
      <c r="V186" s="2">
        <f t="shared" si="38"/>
        <v>2.24999802819225</v>
      </c>
      <c r="W186" s="2">
        <f t="shared" si="39"/>
        <v>0.74999934273074997</v>
      </c>
      <c r="X186" s="2">
        <f t="shared" si="40"/>
        <v>0</v>
      </c>
      <c r="Y186" s="2">
        <f t="shared" si="41"/>
        <v>0</v>
      </c>
      <c r="Z186" s="2">
        <f t="shared" si="42"/>
        <v>0</v>
      </c>
      <c r="AA186" s="2">
        <f t="shared" si="43"/>
        <v>0</v>
      </c>
      <c r="AB186" s="2">
        <f t="shared" si="44"/>
        <v>0</v>
      </c>
      <c r="AC186" s="2">
        <f t="shared" si="45"/>
        <v>2.9999973709229999</v>
      </c>
      <c r="AD186" s="2">
        <f t="shared" si="46"/>
        <v>0</v>
      </c>
      <c r="AE186" s="2">
        <f t="shared" si="47"/>
        <v>2.9999973709229999</v>
      </c>
    </row>
    <row r="187" spans="1:31">
      <c r="A187" s="1" t="s">
        <v>16</v>
      </c>
      <c r="B187">
        <v>348</v>
      </c>
      <c r="C187" s="5">
        <v>100</v>
      </c>
      <c r="D187" s="5">
        <v>4.2970443978399997</v>
      </c>
      <c r="E187" s="11">
        <v>0.66</v>
      </c>
      <c r="F187" s="15">
        <v>0</v>
      </c>
      <c r="G187" s="15">
        <v>0</v>
      </c>
      <c r="H187" s="15">
        <v>0</v>
      </c>
      <c r="I187" s="15">
        <v>0</v>
      </c>
      <c r="J187" s="11">
        <v>0</v>
      </c>
      <c r="K187" s="15">
        <v>0</v>
      </c>
      <c r="L187" s="15">
        <v>0</v>
      </c>
      <c r="M187" s="15">
        <v>642</v>
      </c>
      <c r="N187" s="16">
        <v>0</v>
      </c>
      <c r="O187" s="2">
        <f t="shared" si="33"/>
        <v>0.66</v>
      </c>
      <c r="P187" s="2">
        <f t="shared" si="34"/>
        <v>642</v>
      </c>
      <c r="Q187" s="2">
        <f t="shared" si="35"/>
        <v>642.66</v>
      </c>
      <c r="S187" s="2">
        <f t="shared" si="48"/>
        <v>0.66</v>
      </c>
      <c r="T187" s="2">
        <f t="shared" si="36"/>
        <v>0</v>
      </c>
      <c r="U187" s="2">
        <f t="shared" si="37"/>
        <v>0</v>
      </c>
      <c r="V187" s="2">
        <f t="shared" si="38"/>
        <v>0</v>
      </c>
      <c r="W187" s="2">
        <f t="shared" si="39"/>
        <v>0</v>
      </c>
      <c r="X187" s="2">
        <f t="shared" si="40"/>
        <v>0</v>
      </c>
      <c r="Y187" s="2">
        <f t="shared" si="41"/>
        <v>0</v>
      </c>
      <c r="Z187" s="2">
        <f t="shared" si="42"/>
        <v>0</v>
      </c>
      <c r="AA187" s="2">
        <f t="shared" si="43"/>
        <v>642</v>
      </c>
      <c r="AB187" s="2">
        <f t="shared" si="44"/>
        <v>0</v>
      </c>
      <c r="AC187" s="2">
        <f t="shared" si="45"/>
        <v>0.66</v>
      </c>
      <c r="AD187" s="2">
        <f t="shared" si="46"/>
        <v>642</v>
      </c>
      <c r="AE187" s="2">
        <f t="shared" si="47"/>
        <v>642.66</v>
      </c>
    </row>
    <row r="188" spans="1:31">
      <c r="A188" s="1" t="s">
        <v>16</v>
      </c>
      <c r="B188">
        <v>349</v>
      </c>
      <c r="C188" s="5">
        <v>100</v>
      </c>
      <c r="D188" s="5">
        <v>0.80436260199999998</v>
      </c>
      <c r="E188" s="11">
        <v>0</v>
      </c>
      <c r="F188" s="15">
        <v>0</v>
      </c>
      <c r="G188" s="15">
        <v>0</v>
      </c>
      <c r="H188" s="15">
        <v>0</v>
      </c>
      <c r="I188" s="15">
        <v>0</v>
      </c>
      <c r="J188" s="11">
        <v>0</v>
      </c>
      <c r="K188" s="15">
        <v>0</v>
      </c>
      <c r="L188" s="15">
        <v>0</v>
      </c>
      <c r="M188" s="15">
        <v>5221.9147800000001</v>
      </c>
      <c r="N188" s="16">
        <v>1668.1998999999998</v>
      </c>
      <c r="O188" s="2">
        <f t="shared" si="33"/>
        <v>0</v>
      </c>
      <c r="P188" s="2">
        <f t="shared" si="34"/>
        <v>6890.1146799999997</v>
      </c>
      <c r="Q188" s="2">
        <f t="shared" si="35"/>
        <v>6890.1146799999997</v>
      </c>
      <c r="S188" s="2">
        <f t="shared" si="48"/>
        <v>0</v>
      </c>
      <c r="T188" s="2">
        <f t="shared" si="36"/>
        <v>0</v>
      </c>
      <c r="U188" s="2">
        <f t="shared" si="37"/>
        <v>0</v>
      </c>
      <c r="V188" s="2">
        <f t="shared" si="38"/>
        <v>0</v>
      </c>
      <c r="W188" s="2">
        <f t="shared" si="39"/>
        <v>0</v>
      </c>
      <c r="X188" s="2">
        <f t="shared" si="40"/>
        <v>0</v>
      </c>
      <c r="Y188" s="2">
        <f t="shared" si="41"/>
        <v>0</v>
      </c>
      <c r="Z188" s="2">
        <f t="shared" si="42"/>
        <v>0</v>
      </c>
      <c r="AA188" s="2">
        <f t="shared" si="43"/>
        <v>5221.9147800000001</v>
      </c>
      <c r="AB188" s="2">
        <f t="shared" si="44"/>
        <v>1668.1998999999998</v>
      </c>
      <c r="AC188" s="2">
        <f t="shared" si="45"/>
        <v>0</v>
      </c>
      <c r="AD188" s="2">
        <f t="shared" si="46"/>
        <v>6890.1146799999997</v>
      </c>
      <c r="AE188" s="2">
        <f t="shared" si="47"/>
        <v>6890.1146799999997</v>
      </c>
    </row>
    <row r="189" spans="1:31">
      <c r="A189" s="1" t="s">
        <v>16</v>
      </c>
      <c r="B189">
        <v>350</v>
      </c>
      <c r="C189" s="5">
        <v>99.999374500000002</v>
      </c>
      <c r="D189" s="5">
        <v>2.0838014624499999</v>
      </c>
      <c r="E189" s="11">
        <v>0</v>
      </c>
      <c r="F189" s="15">
        <v>0</v>
      </c>
      <c r="G189" s="15">
        <v>0</v>
      </c>
      <c r="H189" s="15">
        <v>0</v>
      </c>
      <c r="I189" s="15">
        <v>28.494420000000002</v>
      </c>
      <c r="J189" s="11">
        <v>0</v>
      </c>
      <c r="K189" s="15">
        <v>0</v>
      </c>
      <c r="L189" s="15">
        <v>0</v>
      </c>
      <c r="M189" s="15">
        <v>0</v>
      </c>
      <c r="N189" s="16">
        <v>0</v>
      </c>
      <c r="O189" s="2">
        <f t="shared" si="33"/>
        <v>28.494420000000002</v>
      </c>
      <c r="P189" s="2">
        <f t="shared" si="34"/>
        <v>0</v>
      </c>
      <c r="Q189" s="2">
        <f t="shared" si="35"/>
        <v>28.494420000000002</v>
      </c>
      <c r="S189" s="2">
        <f t="shared" si="48"/>
        <v>0</v>
      </c>
      <c r="T189" s="2">
        <f t="shared" si="36"/>
        <v>0</v>
      </c>
      <c r="U189" s="2">
        <f t="shared" si="37"/>
        <v>0</v>
      </c>
      <c r="V189" s="2">
        <f t="shared" si="38"/>
        <v>0</v>
      </c>
      <c r="W189" s="2">
        <f t="shared" si="39"/>
        <v>28.494241767402901</v>
      </c>
      <c r="X189" s="2">
        <f t="shared" si="40"/>
        <v>0</v>
      </c>
      <c r="Y189" s="2">
        <f t="shared" si="41"/>
        <v>0</v>
      </c>
      <c r="Z189" s="2">
        <f t="shared" si="42"/>
        <v>0</v>
      </c>
      <c r="AA189" s="2">
        <f t="shared" si="43"/>
        <v>0</v>
      </c>
      <c r="AB189" s="2">
        <f t="shared" si="44"/>
        <v>0</v>
      </c>
      <c r="AC189" s="2">
        <f t="shared" si="45"/>
        <v>28.494241767402901</v>
      </c>
      <c r="AD189" s="2">
        <f t="shared" si="46"/>
        <v>0</v>
      </c>
      <c r="AE189" s="2">
        <f t="shared" si="47"/>
        <v>28.494241767402901</v>
      </c>
    </row>
    <row r="190" spans="1:31">
      <c r="A190" s="1" t="s">
        <v>16</v>
      </c>
      <c r="B190">
        <v>351</v>
      </c>
      <c r="C190" s="5">
        <v>99.999450058799994</v>
      </c>
      <c r="D190" s="5">
        <v>6.5152754169399998</v>
      </c>
      <c r="E190" s="11">
        <v>0</v>
      </c>
      <c r="F190" s="15">
        <v>0</v>
      </c>
      <c r="G190" s="15">
        <v>194.6</v>
      </c>
      <c r="H190" s="15">
        <v>151</v>
      </c>
      <c r="I190" s="15">
        <v>43.4</v>
      </c>
      <c r="J190" s="11">
        <v>0</v>
      </c>
      <c r="K190" s="15">
        <v>0</v>
      </c>
      <c r="L190" s="15">
        <v>0</v>
      </c>
      <c r="M190" s="15">
        <v>0</v>
      </c>
      <c r="N190" s="16">
        <v>0</v>
      </c>
      <c r="O190" s="2">
        <f t="shared" si="33"/>
        <v>389</v>
      </c>
      <c r="P190" s="2">
        <f t="shared" si="34"/>
        <v>0</v>
      </c>
      <c r="Q190" s="2">
        <f t="shared" si="35"/>
        <v>389</v>
      </c>
      <c r="S190" s="2">
        <f t="shared" si="48"/>
        <v>0</v>
      </c>
      <c r="T190" s="2">
        <f t="shared" si="36"/>
        <v>0</v>
      </c>
      <c r="U190" s="2">
        <f t="shared" si="37"/>
        <v>194.59892981442476</v>
      </c>
      <c r="V190" s="2">
        <f t="shared" si="38"/>
        <v>150.99916958878799</v>
      </c>
      <c r="W190" s="2">
        <f t="shared" si="39"/>
        <v>43.399761325519194</v>
      </c>
      <c r="X190" s="2">
        <f t="shared" si="40"/>
        <v>0</v>
      </c>
      <c r="Y190" s="2">
        <f t="shared" si="41"/>
        <v>0</v>
      </c>
      <c r="Z190" s="2">
        <f t="shared" si="42"/>
        <v>0</v>
      </c>
      <c r="AA190" s="2">
        <f t="shared" si="43"/>
        <v>0</v>
      </c>
      <c r="AB190" s="2">
        <f t="shared" si="44"/>
        <v>0</v>
      </c>
      <c r="AC190" s="2">
        <f t="shared" si="45"/>
        <v>388.99786072873195</v>
      </c>
      <c r="AD190" s="2">
        <f t="shared" si="46"/>
        <v>0</v>
      </c>
      <c r="AE190" s="2">
        <f t="shared" si="47"/>
        <v>388.99786072873195</v>
      </c>
    </row>
    <row r="191" spans="1:31">
      <c r="A191" s="1" t="s">
        <v>16</v>
      </c>
      <c r="B191">
        <v>352</v>
      </c>
      <c r="C191" s="5">
        <v>99.997499054299993</v>
      </c>
      <c r="D191" s="5">
        <v>4.6964532517200004</v>
      </c>
      <c r="E191" s="11">
        <v>0</v>
      </c>
      <c r="F191" s="15">
        <v>0</v>
      </c>
      <c r="G191" s="15">
        <v>111.38890000000001</v>
      </c>
      <c r="H191" s="15">
        <v>160.30000000000001</v>
      </c>
      <c r="I191" s="15">
        <v>55.5</v>
      </c>
      <c r="J191" s="11">
        <v>0</v>
      </c>
      <c r="K191" s="15">
        <v>0</v>
      </c>
      <c r="L191" s="15">
        <v>0</v>
      </c>
      <c r="M191" s="15">
        <v>0</v>
      </c>
      <c r="N191" s="16">
        <v>0</v>
      </c>
      <c r="O191" s="2">
        <f t="shared" si="33"/>
        <v>327.18889999999999</v>
      </c>
      <c r="P191" s="2">
        <f t="shared" si="34"/>
        <v>0</v>
      </c>
      <c r="Q191" s="2">
        <f t="shared" si="35"/>
        <v>327.18889999999999</v>
      </c>
      <c r="S191" s="2">
        <f t="shared" si="48"/>
        <v>0</v>
      </c>
      <c r="T191" s="2">
        <f t="shared" si="36"/>
        <v>0</v>
      </c>
      <c r="U191" s="2">
        <f t="shared" si="37"/>
        <v>111.38611422409517</v>
      </c>
      <c r="V191" s="2">
        <f t="shared" si="38"/>
        <v>160.2959909840429</v>
      </c>
      <c r="W191" s="2">
        <f t="shared" si="39"/>
        <v>55.498611975136498</v>
      </c>
      <c r="X191" s="2">
        <f t="shared" si="40"/>
        <v>0</v>
      </c>
      <c r="Y191" s="2">
        <f t="shared" si="41"/>
        <v>0</v>
      </c>
      <c r="Z191" s="2">
        <f t="shared" si="42"/>
        <v>0</v>
      </c>
      <c r="AA191" s="2">
        <f t="shared" si="43"/>
        <v>0</v>
      </c>
      <c r="AB191" s="2">
        <f t="shared" si="44"/>
        <v>0</v>
      </c>
      <c r="AC191" s="2">
        <f t="shared" si="45"/>
        <v>327.18071718327451</v>
      </c>
      <c r="AD191" s="2">
        <f t="shared" si="46"/>
        <v>0</v>
      </c>
      <c r="AE191" s="2">
        <f t="shared" si="47"/>
        <v>327.18071718327451</v>
      </c>
    </row>
    <row r="192" spans="1:31">
      <c r="A192" s="1" t="s">
        <v>16</v>
      </c>
      <c r="B192">
        <v>353</v>
      </c>
      <c r="C192" s="5">
        <v>99.999474795300003</v>
      </c>
      <c r="D192" s="5">
        <v>6.9712708334100002</v>
      </c>
      <c r="E192" s="11">
        <v>0</v>
      </c>
      <c r="F192" s="15">
        <v>0</v>
      </c>
      <c r="G192" s="15">
        <v>46.32705</v>
      </c>
      <c r="H192" s="15">
        <v>141.19999999999999</v>
      </c>
      <c r="I192" s="15">
        <v>30.3</v>
      </c>
      <c r="J192" s="11">
        <v>0</v>
      </c>
      <c r="K192" s="15">
        <v>0</v>
      </c>
      <c r="L192" s="15">
        <v>0</v>
      </c>
      <c r="M192" s="15">
        <v>0</v>
      </c>
      <c r="N192" s="16">
        <v>0</v>
      </c>
      <c r="O192" s="2">
        <f t="shared" si="33"/>
        <v>217.82704999999999</v>
      </c>
      <c r="P192" s="2">
        <f t="shared" si="34"/>
        <v>0</v>
      </c>
      <c r="Q192" s="2">
        <f t="shared" si="35"/>
        <v>217.82704999999999</v>
      </c>
      <c r="S192" s="2">
        <f t="shared" si="48"/>
        <v>0</v>
      </c>
      <c r="T192" s="2">
        <f t="shared" si="36"/>
        <v>0</v>
      </c>
      <c r="U192" s="2">
        <f t="shared" si="37"/>
        <v>46.326806688156033</v>
      </c>
      <c r="V192" s="2">
        <f t="shared" si="38"/>
        <v>141.19925841096358</v>
      </c>
      <c r="W192" s="2">
        <f t="shared" si="39"/>
        <v>30.299840862975902</v>
      </c>
      <c r="X192" s="2">
        <f t="shared" si="40"/>
        <v>0</v>
      </c>
      <c r="Y192" s="2">
        <f t="shared" si="41"/>
        <v>0</v>
      </c>
      <c r="Z192" s="2">
        <f t="shared" si="42"/>
        <v>0</v>
      </c>
      <c r="AA192" s="2">
        <f t="shared" si="43"/>
        <v>0</v>
      </c>
      <c r="AB192" s="2">
        <f t="shared" si="44"/>
        <v>0</v>
      </c>
      <c r="AC192" s="2">
        <f t="shared" si="45"/>
        <v>217.82590596209553</v>
      </c>
      <c r="AD192" s="2">
        <f t="shared" si="46"/>
        <v>0</v>
      </c>
      <c r="AE192" s="2">
        <f t="shared" si="47"/>
        <v>217.82590596209553</v>
      </c>
    </row>
    <row r="193" spans="1:31">
      <c r="A193" s="1" t="s">
        <v>16</v>
      </c>
      <c r="B193">
        <v>354</v>
      </c>
      <c r="C193" s="5">
        <v>100</v>
      </c>
      <c r="D193" s="5">
        <v>5.8406824675399998</v>
      </c>
      <c r="E193" s="11">
        <v>0</v>
      </c>
      <c r="F193" s="15">
        <v>0</v>
      </c>
      <c r="G193" s="15">
        <v>0</v>
      </c>
      <c r="H193" s="15">
        <v>0</v>
      </c>
      <c r="I193" s="15">
        <v>2</v>
      </c>
      <c r="J193" s="11">
        <v>0</v>
      </c>
      <c r="K193" s="15">
        <v>0</v>
      </c>
      <c r="L193" s="15">
        <v>0</v>
      </c>
      <c r="M193" s="15">
        <v>0</v>
      </c>
      <c r="N193" s="16">
        <v>0</v>
      </c>
      <c r="O193" s="2">
        <f t="shared" si="33"/>
        <v>2</v>
      </c>
      <c r="P193" s="2">
        <f t="shared" si="34"/>
        <v>0</v>
      </c>
      <c r="Q193" s="2">
        <f t="shared" si="35"/>
        <v>2</v>
      </c>
      <c r="S193" s="2">
        <f t="shared" si="48"/>
        <v>0</v>
      </c>
      <c r="T193" s="2">
        <f t="shared" si="36"/>
        <v>0</v>
      </c>
      <c r="U193" s="2">
        <f t="shared" si="37"/>
        <v>0</v>
      </c>
      <c r="V193" s="2">
        <f t="shared" si="38"/>
        <v>0</v>
      </c>
      <c r="W193" s="2">
        <f t="shared" si="39"/>
        <v>2</v>
      </c>
      <c r="X193" s="2">
        <f t="shared" si="40"/>
        <v>0</v>
      </c>
      <c r="Y193" s="2">
        <f t="shared" si="41"/>
        <v>0</v>
      </c>
      <c r="Z193" s="2">
        <f t="shared" si="42"/>
        <v>0</v>
      </c>
      <c r="AA193" s="2">
        <f t="shared" si="43"/>
        <v>0</v>
      </c>
      <c r="AB193" s="2">
        <f t="shared" si="44"/>
        <v>0</v>
      </c>
      <c r="AC193" s="2">
        <f t="shared" si="45"/>
        <v>2</v>
      </c>
      <c r="AD193" s="2">
        <f t="shared" si="46"/>
        <v>0</v>
      </c>
      <c r="AE193" s="2">
        <f t="shared" si="47"/>
        <v>2</v>
      </c>
    </row>
    <row r="194" spans="1:31">
      <c r="A194" s="1" t="s">
        <v>16</v>
      </c>
      <c r="B194">
        <v>355</v>
      </c>
      <c r="C194" s="5">
        <v>99.994693807600001</v>
      </c>
      <c r="D194" s="5">
        <v>26.5488411121</v>
      </c>
      <c r="E194" s="11">
        <v>0</v>
      </c>
      <c r="F194" s="15">
        <v>0</v>
      </c>
      <c r="G194" s="15">
        <v>0</v>
      </c>
      <c r="H194" s="15">
        <v>665.12149999999997</v>
      </c>
      <c r="I194" s="15">
        <v>448.1</v>
      </c>
      <c r="J194" s="11">
        <v>0</v>
      </c>
      <c r="K194" s="15">
        <v>0</v>
      </c>
      <c r="L194" s="15">
        <v>0</v>
      </c>
      <c r="M194" s="15">
        <v>0</v>
      </c>
      <c r="N194" s="16">
        <v>0</v>
      </c>
      <c r="O194" s="2">
        <f t="shared" si="33"/>
        <v>1113.2215000000001</v>
      </c>
      <c r="P194" s="2">
        <f t="shared" si="34"/>
        <v>0</v>
      </c>
      <c r="Q194" s="2">
        <f t="shared" si="35"/>
        <v>1113.2215000000001</v>
      </c>
      <c r="S194" s="2">
        <f t="shared" si="48"/>
        <v>0</v>
      </c>
      <c r="T194" s="2">
        <f t="shared" si="36"/>
        <v>0</v>
      </c>
      <c r="U194" s="2">
        <f t="shared" si="37"/>
        <v>0</v>
      </c>
      <c r="V194" s="2">
        <f t="shared" si="38"/>
        <v>665.08620737351623</v>
      </c>
      <c r="W194" s="2">
        <f t="shared" si="39"/>
        <v>448.07622295185558</v>
      </c>
      <c r="X194" s="2">
        <f t="shared" si="40"/>
        <v>0</v>
      </c>
      <c r="Y194" s="2">
        <f t="shared" si="41"/>
        <v>0</v>
      </c>
      <c r="Z194" s="2">
        <f t="shared" si="42"/>
        <v>0</v>
      </c>
      <c r="AA194" s="2">
        <f t="shared" si="43"/>
        <v>0</v>
      </c>
      <c r="AB194" s="2">
        <f t="shared" si="44"/>
        <v>0</v>
      </c>
      <c r="AC194" s="2">
        <f t="shared" si="45"/>
        <v>1113.162430325372</v>
      </c>
      <c r="AD194" s="2">
        <f t="shared" si="46"/>
        <v>0</v>
      </c>
      <c r="AE194" s="2">
        <f t="shared" si="47"/>
        <v>1113.162430325372</v>
      </c>
    </row>
    <row r="195" spans="1:31">
      <c r="A195" s="1" t="s">
        <v>16</v>
      </c>
      <c r="B195">
        <v>356</v>
      </c>
      <c r="C195" s="5">
        <v>99.9983758395</v>
      </c>
      <c r="D195" s="5">
        <v>18.351864161200002</v>
      </c>
      <c r="E195" s="11">
        <v>0.5</v>
      </c>
      <c r="F195" s="15">
        <v>0</v>
      </c>
      <c r="G195" s="15">
        <v>0</v>
      </c>
      <c r="H195" s="15">
        <v>0</v>
      </c>
      <c r="I195" s="15">
        <v>0</v>
      </c>
      <c r="J195" s="11">
        <v>0</v>
      </c>
      <c r="K195" s="15">
        <v>0</v>
      </c>
      <c r="L195" s="15">
        <v>0</v>
      </c>
      <c r="M195" s="15">
        <v>2010.1538</v>
      </c>
      <c r="N195" s="16">
        <v>0</v>
      </c>
      <c r="O195" s="2">
        <f t="shared" ref="O195:O258" si="49">SUM(E195:I195)</f>
        <v>0.5</v>
      </c>
      <c r="P195" s="2">
        <f t="shared" ref="P195:P258" si="50">SUM(J195:N195)</f>
        <v>2010.1538</v>
      </c>
      <c r="Q195" s="2">
        <f t="shared" ref="Q195:Q258" si="51">SUM(O195:P195)</f>
        <v>2010.6538</v>
      </c>
      <c r="S195" s="2">
        <f t="shared" si="48"/>
        <v>0.49999187919749999</v>
      </c>
      <c r="T195" s="2">
        <f t="shared" ref="T195:T258" si="52">F195*$C195/100</f>
        <v>0</v>
      </c>
      <c r="U195" s="2">
        <f t="shared" ref="U195:U258" si="53">G195*$C195/100</f>
        <v>0</v>
      </c>
      <c r="V195" s="2">
        <f t="shared" ref="V195:V258" si="54">H195*$C195/100</f>
        <v>0</v>
      </c>
      <c r="W195" s="2">
        <f t="shared" ref="W195:W258" si="55">I195*$C195/100</f>
        <v>0</v>
      </c>
      <c r="X195" s="2">
        <f t="shared" ref="X195:X258" si="56">J195*$C195/100</f>
        <v>0</v>
      </c>
      <c r="Y195" s="2">
        <f t="shared" ref="Y195:Y258" si="57">K195*$C195/100</f>
        <v>0</v>
      </c>
      <c r="Z195" s="2">
        <f t="shared" ref="Z195:Z258" si="58">L195*$C195/100</f>
        <v>0</v>
      </c>
      <c r="AA195" s="2">
        <f t="shared" ref="AA195:AA258" si="59">M195*$C195/100</f>
        <v>2010.1211518759912</v>
      </c>
      <c r="AB195" s="2">
        <f t="shared" ref="AB195:AB258" si="60">N195*$C195/100</f>
        <v>0</v>
      </c>
      <c r="AC195" s="2">
        <f t="shared" ref="AC195:AC258" si="61">O195*$C195/100</f>
        <v>0.49999187919749999</v>
      </c>
      <c r="AD195" s="2">
        <f t="shared" ref="AD195:AD258" si="62">P195*$C195/100</f>
        <v>2010.1211518759912</v>
      </c>
      <c r="AE195" s="2">
        <f t="shared" ref="AE195:AE258" si="63">Q195*$C195/100</f>
        <v>2010.6211437551888</v>
      </c>
    </row>
    <row r="196" spans="1:31">
      <c r="A196" s="1" t="s">
        <v>17</v>
      </c>
      <c r="B196">
        <v>34</v>
      </c>
      <c r="C196" s="5">
        <v>99.999539507700007</v>
      </c>
      <c r="D196" s="5">
        <v>2.3844474360499999</v>
      </c>
      <c r="E196" s="11">
        <v>522.10413000000005</v>
      </c>
      <c r="F196" s="15">
        <v>607.69994999999994</v>
      </c>
      <c r="G196" s="15">
        <v>276.2</v>
      </c>
      <c r="H196" s="15">
        <v>199.8</v>
      </c>
      <c r="I196" s="15">
        <v>72.7</v>
      </c>
      <c r="J196" s="11">
        <v>0</v>
      </c>
      <c r="K196" s="15">
        <v>0</v>
      </c>
      <c r="L196" s="15">
        <v>0</v>
      </c>
      <c r="M196" s="15">
        <v>0</v>
      </c>
      <c r="N196" s="16">
        <v>0</v>
      </c>
      <c r="O196" s="2">
        <f t="shared" si="49"/>
        <v>1678.5040799999999</v>
      </c>
      <c r="P196" s="2">
        <f t="shared" si="50"/>
        <v>0</v>
      </c>
      <c r="Q196" s="2">
        <f t="shared" si="51"/>
        <v>1678.5040799999999</v>
      </c>
      <c r="S196" s="2">
        <f t="shared" ref="S196:S259" si="64">E196*$C196/100</f>
        <v>522.1017257506835</v>
      </c>
      <c r="T196" s="2">
        <f t="shared" si="52"/>
        <v>607.69715158852307</v>
      </c>
      <c r="U196" s="2">
        <f t="shared" si="53"/>
        <v>276.19872812026739</v>
      </c>
      <c r="V196" s="2">
        <f t="shared" si="54"/>
        <v>199.79907993638463</v>
      </c>
      <c r="W196" s="2">
        <f t="shared" si="55"/>
        <v>72.699665222097906</v>
      </c>
      <c r="X196" s="2">
        <f t="shared" si="56"/>
        <v>0</v>
      </c>
      <c r="Y196" s="2">
        <f t="shared" si="57"/>
        <v>0</v>
      </c>
      <c r="Z196" s="2">
        <f t="shared" si="58"/>
        <v>0</v>
      </c>
      <c r="AA196" s="2">
        <f t="shared" si="59"/>
        <v>0</v>
      </c>
      <c r="AB196" s="2">
        <f t="shared" si="60"/>
        <v>0</v>
      </c>
      <c r="AC196" s="2">
        <f t="shared" si="61"/>
        <v>1678.4963506179565</v>
      </c>
      <c r="AD196" s="2">
        <f t="shared" si="62"/>
        <v>0</v>
      </c>
      <c r="AE196" s="2">
        <f t="shared" si="63"/>
        <v>1678.4963506179565</v>
      </c>
    </row>
    <row r="197" spans="1:31">
      <c r="A197" s="1" t="s">
        <v>17</v>
      </c>
      <c r="B197">
        <v>35</v>
      </c>
      <c r="C197" s="5">
        <v>99.999857887900006</v>
      </c>
      <c r="D197" s="5">
        <v>6.2340226536900003</v>
      </c>
      <c r="E197" s="11">
        <v>0</v>
      </c>
      <c r="F197" s="15">
        <v>696.70888000000002</v>
      </c>
      <c r="G197" s="15">
        <v>249.89996400000001</v>
      </c>
      <c r="H197" s="15">
        <v>100.5</v>
      </c>
      <c r="I197" s="15">
        <v>12.4</v>
      </c>
      <c r="J197" s="11">
        <v>0</v>
      </c>
      <c r="K197" s="15">
        <v>0</v>
      </c>
      <c r="L197" s="15">
        <v>0</v>
      </c>
      <c r="M197" s="15">
        <v>0</v>
      </c>
      <c r="N197" s="16">
        <v>0</v>
      </c>
      <c r="O197" s="2">
        <f t="shared" si="49"/>
        <v>1059.5088440000002</v>
      </c>
      <c r="P197" s="2">
        <f t="shared" si="50"/>
        <v>0</v>
      </c>
      <c r="Q197" s="2">
        <f t="shared" si="51"/>
        <v>1059.5088440000002</v>
      </c>
      <c r="S197" s="2">
        <f t="shared" si="64"/>
        <v>0</v>
      </c>
      <c r="T197" s="2">
        <f t="shared" si="52"/>
        <v>696.70788989237974</v>
      </c>
      <c r="U197" s="2">
        <f t="shared" si="53"/>
        <v>249.89960886191329</v>
      </c>
      <c r="V197" s="2">
        <f t="shared" si="54"/>
        <v>100.49985717733951</v>
      </c>
      <c r="W197" s="2">
        <f t="shared" si="55"/>
        <v>12.399982378099601</v>
      </c>
      <c r="X197" s="2">
        <f t="shared" si="56"/>
        <v>0</v>
      </c>
      <c r="Y197" s="2">
        <f t="shared" si="57"/>
        <v>0</v>
      </c>
      <c r="Z197" s="2">
        <f t="shared" si="58"/>
        <v>0</v>
      </c>
      <c r="AA197" s="2">
        <f t="shared" si="59"/>
        <v>0</v>
      </c>
      <c r="AB197" s="2">
        <f t="shared" si="60"/>
        <v>0</v>
      </c>
      <c r="AC197" s="2">
        <f t="shared" si="61"/>
        <v>1059.5073383097324</v>
      </c>
      <c r="AD197" s="2">
        <f t="shared" si="62"/>
        <v>0</v>
      </c>
      <c r="AE197" s="2">
        <f t="shared" si="63"/>
        <v>1059.5073383097324</v>
      </c>
    </row>
    <row r="198" spans="1:31">
      <c r="A198" s="1" t="s">
        <v>17</v>
      </c>
      <c r="B198">
        <v>36</v>
      </c>
      <c r="C198" s="5">
        <v>99.999855436199994</v>
      </c>
      <c r="D198" s="5">
        <v>6.3995404692699998</v>
      </c>
      <c r="E198" s="11">
        <v>0</v>
      </c>
      <c r="F198" s="15">
        <v>1293.499881</v>
      </c>
      <c r="G198" s="15">
        <v>326.94239299999998</v>
      </c>
      <c r="H198" s="15">
        <v>186.4</v>
      </c>
      <c r="I198" s="15">
        <v>50.3</v>
      </c>
      <c r="J198" s="11">
        <v>0</v>
      </c>
      <c r="K198" s="15">
        <v>0</v>
      </c>
      <c r="L198" s="15">
        <v>0</v>
      </c>
      <c r="M198" s="15">
        <v>0</v>
      </c>
      <c r="N198" s="16">
        <v>0</v>
      </c>
      <c r="O198" s="2">
        <f t="shared" si="49"/>
        <v>1857.142274</v>
      </c>
      <c r="P198" s="2">
        <f t="shared" si="50"/>
        <v>0</v>
      </c>
      <c r="Q198" s="2">
        <f t="shared" si="51"/>
        <v>1857.142274</v>
      </c>
      <c r="S198" s="2">
        <f t="shared" si="64"/>
        <v>0</v>
      </c>
      <c r="T198" s="2">
        <f t="shared" si="52"/>
        <v>1293.4980110674189</v>
      </c>
      <c r="U198" s="2">
        <f t="shared" si="53"/>
        <v>326.94192035965284</v>
      </c>
      <c r="V198" s="2">
        <f t="shared" si="54"/>
        <v>186.39973053307679</v>
      </c>
      <c r="W198" s="2">
        <f t="shared" si="55"/>
        <v>50.299927284408597</v>
      </c>
      <c r="X198" s="2">
        <f t="shared" si="56"/>
        <v>0</v>
      </c>
      <c r="Y198" s="2">
        <f t="shared" si="57"/>
        <v>0</v>
      </c>
      <c r="Z198" s="2">
        <f t="shared" si="58"/>
        <v>0</v>
      </c>
      <c r="AA198" s="2">
        <f t="shared" si="59"/>
        <v>0</v>
      </c>
      <c r="AB198" s="2">
        <f t="shared" si="60"/>
        <v>0</v>
      </c>
      <c r="AC198" s="2">
        <f t="shared" si="61"/>
        <v>1857.1395892445571</v>
      </c>
      <c r="AD198" s="2">
        <f t="shared" si="62"/>
        <v>0</v>
      </c>
      <c r="AE198" s="2">
        <f t="shared" si="63"/>
        <v>1857.1395892445571</v>
      </c>
    </row>
    <row r="199" spans="1:31">
      <c r="A199" s="1" t="s">
        <v>17</v>
      </c>
      <c r="B199">
        <v>37</v>
      </c>
      <c r="C199" s="5">
        <v>99.999884809500003</v>
      </c>
      <c r="D199" s="5">
        <v>3.0466578432200002</v>
      </c>
      <c r="E199" s="11">
        <v>0</v>
      </c>
      <c r="F199" s="15">
        <v>596.70000000000005</v>
      </c>
      <c r="G199" s="15">
        <v>188.9</v>
      </c>
      <c r="H199" s="15">
        <v>104.4</v>
      </c>
      <c r="I199" s="15">
        <v>45.4</v>
      </c>
      <c r="J199" s="11">
        <v>0</v>
      </c>
      <c r="K199" s="15">
        <v>0</v>
      </c>
      <c r="L199" s="15">
        <v>0</v>
      </c>
      <c r="M199" s="15">
        <v>0</v>
      </c>
      <c r="N199" s="16">
        <v>0</v>
      </c>
      <c r="O199" s="2">
        <f t="shared" si="49"/>
        <v>935.4</v>
      </c>
      <c r="P199" s="2">
        <f t="shared" si="50"/>
        <v>0</v>
      </c>
      <c r="Q199" s="2">
        <f t="shared" si="51"/>
        <v>935.4</v>
      </c>
      <c r="S199" s="2">
        <f t="shared" si="64"/>
        <v>0</v>
      </c>
      <c r="T199" s="2">
        <f t="shared" si="52"/>
        <v>596.69931265828654</v>
      </c>
      <c r="U199" s="2">
        <f t="shared" si="53"/>
        <v>188.89978240514552</v>
      </c>
      <c r="V199" s="2">
        <f t="shared" si="54"/>
        <v>104.399879741118</v>
      </c>
      <c r="W199" s="2">
        <f t="shared" si="55"/>
        <v>45.399947703513</v>
      </c>
      <c r="X199" s="2">
        <f t="shared" si="56"/>
        <v>0</v>
      </c>
      <c r="Y199" s="2">
        <f t="shared" si="57"/>
        <v>0</v>
      </c>
      <c r="Z199" s="2">
        <f t="shared" si="58"/>
        <v>0</v>
      </c>
      <c r="AA199" s="2">
        <f t="shared" si="59"/>
        <v>0</v>
      </c>
      <c r="AB199" s="2">
        <f t="shared" si="60"/>
        <v>0</v>
      </c>
      <c r="AC199" s="2">
        <f t="shared" si="61"/>
        <v>935.39892250806292</v>
      </c>
      <c r="AD199" s="2">
        <f t="shared" si="62"/>
        <v>0</v>
      </c>
      <c r="AE199" s="2">
        <f t="shared" si="63"/>
        <v>935.39892250806292</v>
      </c>
    </row>
    <row r="200" spans="1:31">
      <c r="A200" s="1" t="s">
        <v>17</v>
      </c>
      <c r="B200">
        <v>38</v>
      </c>
      <c r="C200" s="5">
        <v>99.999897282399999</v>
      </c>
      <c r="D200" s="5">
        <v>4.4524231932099996</v>
      </c>
      <c r="E200" s="11">
        <v>443.99526900000001</v>
      </c>
      <c r="F200" s="15">
        <v>453.10002900000001</v>
      </c>
      <c r="G200" s="15">
        <v>109</v>
      </c>
      <c r="H200" s="15">
        <v>27.5</v>
      </c>
      <c r="I200" s="15">
        <v>1.2</v>
      </c>
      <c r="J200" s="11">
        <v>0</v>
      </c>
      <c r="K200" s="15">
        <v>0</v>
      </c>
      <c r="L200" s="15">
        <v>0</v>
      </c>
      <c r="M200" s="15">
        <v>0</v>
      </c>
      <c r="N200" s="16">
        <v>0</v>
      </c>
      <c r="O200" s="2">
        <f t="shared" si="49"/>
        <v>1034.795298</v>
      </c>
      <c r="P200" s="2">
        <f t="shared" si="50"/>
        <v>0</v>
      </c>
      <c r="Q200" s="2">
        <f t="shared" si="51"/>
        <v>1034.795298</v>
      </c>
      <c r="S200" s="2">
        <f t="shared" si="64"/>
        <v>443.99481293871554</v>
      </c>
      <c r="T200" s="2">
        <f t="shared" si="52"/>
        <v>453.0995635865246</v>
      </c>
      <c r="U200" s="2">
        <f t="shared" si="53"/>
        <v>108.99988803781599</v>
      </c>
      <c r="V200" s="2">
        <f t="shared" si="54"/>
        <v>27.499971752659999</v>
      </c>
      <c r="W200" s="2">
        <f t="shared" si="55"/>
        <v>1.1999987673888</v>
      </c>
      <c r="X200" s="2">
        <f t="shared" si="56"/>
        <v>0</v>
      </c>
      <c r="Y200" s="2">
        <f t="shared" si="57"/>
        <v>0</v>
      </c>
      <c r="Z200" s="2">
        <f t="shared" si="58"/>
        <v>0</v>
      </c>
      <c r="AA200" s="2">
        <f t="shared" si="59"/>
        <v>0</v>
      </c>
      <c r="AB200" s="2">
        <f t="shared" si="60"/>
        <v>0</v>
      </c>
      <c r="AC200" s="2">
        <f t="shared" si="61"/>
        <v>1034.7942350831049</v>
      </c>
      <c r="AD200" s="2">
        <f t="shared" si="62"/>
        <v>0</v>
      </c>
      <c r="AE200" s="2">
        <f t="shared" si="63"/>
        <v>1034.7942350831049</v>
      </c>
    </row>
    <row r="201" spans="1:31">
      <c r="A201" s="1" t="s">
        <v>17</v>
      </c>
      <c r="B201">
        <v>39</v>
      </c>
      <c r="C201" s="5">
        <v>99.999966020599999</v>
      </c>
      <c r="D201" s="5">
        <v>2.6082456087399999</v>
      </c>
      <c r="E201" s="11">
        <v>0</v>
      </c>
      <c r="F201" s="15">
        <v>164.5</v>
      </c>
      <c r="G201" s="15">
        <v>34</v>
      </c>
      <c r="H201" s="15">
        <v>6.8000480000000003</v>
      </c>
      <c r="I201" s="15">
        <v>0.8</v>
      </c>
      <c r="J201" s="11">
        <v>0</v>
      </c>
      <c r="K201" s="15">
        <v>0</v>
      </c>
      <c r="L201" s="15">
        <v>0</v>
      </c>
      <c r="M201" s="15">
        <v>0</v>
      </c>
      <c r="N201" s="16">
        <v>0</v>
      </c>
      <c r="O201" s="2">
        <f t="shared" si="49"/>
        <v>206.10004800000002</v>
      </c>
      <c r="P201" s="2">
        <f t="shared" si="50"/>
        <v>0</v>
      </c>
      <c r="Q201" s="2">
        <f t="shared" si="51"/>
        <v>206.10004800000002</v>
      </c>
      <c r="S201" s="2">
        <f t="shared" si="64"/>
        <v>0</v>
      </c>
      <c r="T201" s="2">
        <f t="shared" si="52"/>
        <v>164.499944103887</v>
      </c>
      <c r="U201" s="2">
        <f t="shared" si="53"/>
        <v>33.999988447004</v>
      </c>
      <c r="V201" s="2">
        <f t="shared" si="54"/>
        <v>6.8000456893844898</v>
      </c>
      <c r="W201" s="2">
        <f t="shared" si="55"/>
        <v>0.79999972816480014</v>
      </c>
      <c r="X201" s="2">
        <f t="shared" si="56"/>
        <v>0</v>
      </c>
      <c r="Y201" s="2">
        <f t="shared" si="57"/>
        <v>0</v>
      </c>
      <c r="Z201" s="2">
        <f t="shared" si="58"/>
        <v>0</v>
      </c>
      <c r="AA201" s="2">
        <f t="shared" si="59"/>
        <v>0</v>
      </c>
      <c r="AB201" s="2">
        <f t="shared" si="60"/>
        <v>0</v>
      </c>
      <c r="AC201" s="2">
        <f t="shared" si="61"/>
        <v>206.0999779684403</v>
      </c>
      <c r="AD201" s="2">
        <f t="shared" si="62"/>
        <v>0</v>
      </c>
      <c r="AE201" s="2">
        <f t="shared" si="63"/>
        <v>206.0999779684403</v>
      </c>
    </row>
    <row r="202" spans="1:31">
      <c r="A202" s="1" t="s">
        <v>17</v>
      </c>
      <c r="B202">
        <v>43</v>
      </c>
      <c r="C202" s="5">
        <v>99.9995466134</v>
      </c>
      <c r="D202" s="5">
        <v>2.8784787898799999</v>
      </c>
      <c r="E202" s="11">
        <v>0</v>
      </c>
      <c r="F202" s="15">
        <v>28.695319999999999</v>
      </c>
      <c r="G202" s="15">
        <v>5.7</v>
      </c>
      <c r="H202" s="15">
        <v>3.2</v>
      </c>
      <c r="I202" s="15">
        <v>0</v>
      </c>
      <c r="J202" s="11">
        <v>0</v>
      </c>
      <c r="K202" s="15">
        <v>0</v>
      </c>
      <c r="L202" s="15">
        <v>0</v>
      </c>
      <c r="M202" s="15">
        <v>0</v>
      </c>
      <c r="N202" s="16">
        <v>0</v>
      </c>
      <c r="O202" s="2">
        <f t="shared" si="49"/>
        <v>37.595320000000001</v>
      </c>
      <c r="P202" s="2">
        <f t="shared" si="50"/>
        <v>0</v>
      </c>
      <c r="Q202" s="2">
        <f t="shared" si="51"/>
        <v>37.595320000000001</v>
      </c>
      <c r="S202" s="2">
        <f t="shared" si="64"/>
        <v>0</v>
      </c>
      <c r="T202" s="2">
        <f t="shared" si="52"/>
        <v>28.695189899264292</v>
      </c>
      <c r="U202" s="2">
        <f t="shared" si="53"/>
        <v>5.6999741569638003</v>
      </c>
      <c r="V202" s="2">
        <f t="shared" si="54"/>
        <v>3.1999854916288002</v>
      </c>
      <c r="W202" s="2">
        <f t="shared" si="55"/>
        <v>0</v>
      </c>
      <c r="X202" s="2">
        <f t="shared" si="56"/>
        <v>0</v>
      </c>
      <c r="Y202" s="2">
        <f t="shared" si="57"/>
        <v>0</v>
      </c>
      <c r="Z202" s="2">
        <f t="shared" si="58"/>
        <v>0</v>
      </c>
      <c r="AA202" s="2">
        <f t="shared" si="59"/>
        <v>0</v>
      </c>
      <c r="AB202" s="2">
        <f t="shared" si="60"/>
        <v>0</v>
      </c>
      <c r="AC202" s="2">
        <f t="shared" si="61"/>
        <v>37.595149547856892</v>
      </c>
      <c r="AD202" s="2">
        <f t="shared" si="62"/>
        <v>0</v>
      </c>
      <c r="AE202" s="2">
        <f t="shared" si="63"/>
        <v>37.595149547856892</v>
      </c>
    </row>
    <row r="203" spans="1:31">
      <c r="A203" s="1" t="s">
        <v>17</v>
      </c>
      <c r="B203">
        <v>45</v>
      </c>
      <c r="C203" s="5">
        <v>73.361163950900007</v>
      </c>
      <c r="D203" s="5">
        <v>1.13511317074</v>
      </c>
      <c r="E203" s="11">
        <v>0</v>
      </c>
      <c r="F203" s="15">
        <v>12.8</v>
      </c>
      <c r="G203" s="15">
        <v>4.5999999999999996</v>
      </c>
      <c r="H203" s="15">
        <v>11.2</v>
      </c>
      <c r="I203" s="15">
        <v>2.4</v>
      </c>
      <c r="J203" s="11">
        <v>0</v>
      </c>
      <c r="K203" s="15">
        <v>0</v>
      </c>
      <c r="L203" s="15">
        <v>0</v>
      </c>
      <c r="M203" s="15">
        <v>0</v>
      </c>
      <c r="N203" s="16">
        <v>0</v>
      </c>
      <c r="O203" s="2">
        <f t="shared" si="49"/>
        <v>30.999999999999996</v>
      </c>
      <c r="P203" s="2">
        <f t="shared" si="50"/>
        <v>0</v>
      </c>
      <c r="Q203" s="2">
        <f t="shared" si="51"/>
        <v>30.999999999999996</v>
      </c>
      <c r="S203" s="2">
        <f t="shared" si="64"/>
        <v>0</v>
      </c>
      <c r="T203" s="2">
        <f t="shared" si="52"/>
        <v>9.3902289857152024</v>
      </c>
      <c r="U203" s="2">
        <f t="shared" si="53"/>
        <v>3.3746135417414003</v>
      </c>
      <c r="V203" s="2">
        <f t="shared" si="54"/>
        <v>8.216450362500801</v>
      </c>
      <c r="W203" s="2">
        <f t="shared" si="55"/>
        <v>1.7606679348216003</v>
      </c>
      <c r="X203" s="2">
        <f t="shared" si="56"/>
        <v>0</v>
      </c>
      <c r="Y203" s="2">
        <f t="shared" si="57"/>
        <v>0</v>
      </c>
      <c r="Z203" s="2">
        <f t="shared" si="58"/>
        <v>0</v>
      </c>
      <c r="AA203" s="2">
        <f t="shared" si="59"/>
        <v>0</v>
      </c>
      <c r="AB203" s="2">
        <f t="shared" si="60"/>
        <v>0</v>
      </c>
      <c r="AC203" s="2">
        <f t="shared" si="61"/>
        <v>22.741960824778999</v>
      </c>
      <c r="AD203" s="2">
        <f t="shared" si="62"/>
        <v>0</v>
      </c>
      <c r="AE203" s="2">
        <f t="shared" si="63"/>
        <v>22.741960824778999</v>
      </c>
    </row>
    <row r="204" spans="1:31">
      <c r="A204" s="1" t="s">
        <v>17</v>
      </c>
      <c r="B204">
        <v>46</v>
      </c>
      <c r="C204" s="5">
        <v>76.766802483000006</v>
      </c>
      <c r="D204" s="5">
        <v>1.5623717512199999</v>
      </c>
      <c r="E204" s="11">
        <v>0</v>
      </c>
      <c r="F204" s="15">
        <v>824.59996000000012</v>
      </c>
      <c r="G204" s="15">
        <v>202.99995999999999</v>
      </c>
      <c r="H204" s="15">
        <v>64.099999999999994</v>
      </c>
      <c r="I204" s="15">
        <v>11.2</v>
      </c>
      <c r="J204" s="11">
        <v>0</v>
      </c>
      <c r="K204" s="15">
        <v>0</v>
      </c>
      <c r="L204" s="15">
        <v>0</v>
      </c>
      <c r="M204" s="15">
        <v>0</v>
      </c>
      <c r="N204" s="16">
        <v>0</v>
      </c>
      <c r="O204" s="2">
        <f t="shared" si="49"/>
        <v>1102.8999200000001</v>
      </c>
      <c r="P204" s="2">
        <f t="shared" si="50"/>
        <v>0</v>
      </c>
      <c r="Q204" s="2">
        <f t="shared" si="51"/>
        <v>1102.8999200000001</v>
      </c>
      <c r="S204" s="2">
        <f t="shared" si="64"/>
        <v>0</v>
      </c>
      <c r="T204" s="2">
        <f t="shared" si="52"/>
        <v>633.01902256809717</v>
      </c>
      <c r="U204" s="2">
        <f t="shared" si="53"/>
        <v>155.83657833376901</v>
      </c>
      <c r="V204" s="2">
        <f t="shared" si="54"/>
        <v>49.207520391603005</v>
      </c>
      <c r="W204" s="2">
        <f t="shared" si="55"/>
        <v>8.5978818780960005</v>
      </c>
      <c r="X204" s="2">
        <f t="shared" si="56"/>
        <v>0</v>
      </c>
      <c r="Y204" s="2">
        <f t="shared" si="57"/>
        <v>0</v>
      </c>
      <c r="Z204" s="2">
        <f t="shared" si="58"/>
        <v>0</v>
      </c>
      <c r="AA204" s="2">
        <f t="shared" si="59"/>
        <v>0</v>
      </c>
      <c r="AB204" s="2">
        <f t="shared" si="60"/>
        <v>0</v>
      </c>
      <c r="AC204" s="2">
        <f t="shared" si="61"/>
        <v>846.66100317156508</v>
      </c>
      <c r="AD204" s="2">
        <f t="shared" si="62"/>
        <v>0</v>
      </c>
      <c r="AE204" s="2">
        <f t="shared" si="63"/>
        <v>846.66100317156508</v>
      </c>
    </row>
    <row r="205" spans="1:31">
      <c r="A205" s="1" t="s">
        <v>17</v>
      </c>
      <c r="B205">
        <v>47</v>
      </c>
      <c r="C205" s="5">
        <v>100</v>
      </c>
      <c r="D205" s="5">
        <v>3.2433091089000001</v>
      </c>
      <c r="E205" s="11">
        <v>0</v>
      </c>
      <c r="F205" s="15">
        <v>0</v>
      </c>
      <c r="G205" s="15">
        <v>8.4</v>
      </c>
      <c r="H205" s="15">
        <v>0.8</v>
      </c>
      <c r="I205" s="15">
        <v>0</v>
      </c>
      <c r="J205" s="11">
        <v>0</v>
      </c>
      <c r="K205" s="15">
        <v>0</v>
      </c>
      <c r="L205" s="15">
        <v>0</v>
      </c>
      <c r="M205" s="15">
        <v>0</v>
      </c>
      <c r="N205" s="16">
        <v>0</v>
      </c>
      <c r="O205" s="2">
        <f t="shared" si="49"/>
        <v>9.2000000000000011</v>
      </c>
      <c r="P205" s="2">
        <f t="shared" si="50"/>
        <v>0</v>
      </c>
      <c r="Q205" s="2">
        <f t="shared" si="51"/>
        <v>9.2000000000000011</v>
      </c>
      <c r="S205" s="2">
        <f t="shared" si="64"/>
        <v>0</v>
      </c>
      <c r="T205" s="2">
        <f t="shared" si="52"/>
        <v>0</v>
      </c>
      <c r="U205" s="2">
        <f t="shared" si="53"/>
        <v>8.4</v>
      </c>
      <c r="V205" s="2">
        <f t="shared" si="54"/>
        <v>0.8</v>
      </c>
      <c r="W205" s="2">
        <f t="shared" si="55"/>
        <v>0</v>
      </c>
      <c r="X205" s="2">
        <f t="shared" si="56"/>
        <v>0</v>
      </c>
      <c r="Y205" s="2">
        <f t="shared" si="57"/>
        <v>0</v>
      </c>
      <c r="Z205" s="2">
        <f t="shared" si="58"/>
        <v>0</v>
      </c>
      <c r="AA205" s="2">
        <f t="shared" si="59"/>
        <v>0</v>
      </c>
      <c r="AB205" s="2">
        <f t="shared" si="60"/>
        <v>0</v>
      </c>
      <c r="AC205" s="2">
        <f t="shared" si="61"/>
        <v>9.2000000000000011</v>
      </c>
      <c r="AD205" s="2">
        <f t="shared" si="62"/>
        <v>0</v>
      </c>
      <c r="AE205" s="2">
        <f t="shared" si="63"/>
        <v>9.2000000000000011</v>
      </c>
    </row>
    <row r="206" spans="1:31">
      <c r="A206" s="1" t="s">
        <v>17</v>
      </c>
      <c r="B206">
        <v>48</v>
      </c>
      <c r="C206" s="5">
        <v>99.999958711199994</v>
      </c>
      <c r="D206" s="5">
        <v>7.9863982554600002</v>
      </c>
      <c r="E206" s="11">
        <v>0</v>
      </c>
      <c r="F206" s="15">
        <v>525.59843999999998</v>
      </c>
      <c r="G206" s="15">
        <v>664.8</v>
      </c>
      <c r="H206" s="15">
        <v>280.3</v>
      </c>
      <c r="I206" s="15">
        <v>89.2</v>
      </c>
      <c r="J206" s="11">
        <v>0</v>
      </c>
      <c r="K206" s="15">
        <v>0</v>
      </c>
      <c r="L206" s="15">
        <v>0</v>
      </c>
      <c r="M206" s="15">
        <v>0</v>
      </c>
      <c r="N206" s="16">
        <v>0</v>
      </c>
      <c r="O206" s="2">
        <f t="shared" si="49"/>
        <v>1559.8984399999999</v>
      </c>
      <c r="P206" s="2">
        <f t="shared" si="50"/>
        <v>0</v>
      </c>
      <c r="Q206" s="2">
        <f t="shared" si="51"/>
        <v>1559.8984399999999</v>
      </c>
      <c r="S206" s="2">
        <f t="shared" si="64"/>
        <v>0</v>
      </c>
      <c r="T206" s="2">
        <f t="shared" si="52"/>
        <v>525.59822298671122</v>
      </c>
      <c r="U206" s="2">
        <f t="shared" si="53"/>
        <v>664.79972551205753</v>
      </c>
      <c r="V206" s="2">
        <f t="shared" si="54"/>
        <v>280.29988426749355</v>
      </c>
      <c r="W206" s="2">
        <f t="shared" si="55"/>
        <v>89.199963170390404</v>
      </c>
      <c r="X206" s="2">
        <f t="shared" si="56"/>
        <v>0</v>
      </c>
      <c r="Y206" s="2">
        <f t="shared" si="57"/>
        <v>0</v>
      </c>
      <c r="Z206" s="2">
        <f t="shared" si="58"/>
        <v>0</v>
      </c>
      <c r="AA206" s="2">
        <f t="shared" si="59"/>
        <v>0</v>
      </c>
      <c r="AB206" s="2">
        <f t="shared" si="60"/>
        <v>0</v>
      </c>
      <c r="AC206" s="2">
        <f t="shared" si="61"/>
        <v>1559.8977959366528</v>
      </c>
      <c r="AD206" s="2">
        <f t="shared" si="62"/>
        <v>0</v>
      </c>
      <c r="AE206" s="2">
        <f t="shared" si="63"/>
        <v>1559.8977959366528</v>
      </c>
    </row>
    <row r="207" spans="1:31">
      <c r="A207" s="1" t="s">
        <v>17</v>
      </c>
      <c r="B207">
        <v>49</v>
      </c>
      <c r="C207" s="5">
        <v>100</v>
      </c>
      <c r="D207" s="5">
        <v>1.3277135955499999</v>
      </c>
      <c r="E207" s="11">
        <v>0</v>
      </c>
      <c r="F207" s="15">
        <v>56.9</v>
      </c>
      <c r="G207" s="15">
        <v>28.6</v>
      </c>
      <c r="H207" s="15">
        <v>14.4</v>
      </c>
      <c r="I207" s="15">
        <v>2.4</v>
      </c>
      <c r="J207" s="11">
        <v>0</v>
      </c>
      <c r="K207" s="15">
        <v>0</v>
      </c>
      <c r="L207" s="15">
        <v>0</v>
      </c>
      <c r="M207" s="15">
        <v>0</v>
      </c>
      <c r="N207" s="16">
        <v>0</v>
      </c>
      <c r="O207" s="2">
        <f t="shared" si="49"/>
        <v>102.30000000000001</v>
      </c>
      <c r="P207" s="2">
        <f t="shared" si="50"/>
        <v>0</v>
      </c>
      <c r="Q207" s="2">
        <f t="shared" si="51"/>
        <v>102.30000000000001</v>
      </c>
      <c r="S207" s="2">
        <f t="shared" si="64"/>
        <v>0</v>
      </c>
      <c r="T207" s="2">
        <f t="shared" si="52"/>
        <v>56.9</v>
      </c>
      <c r="U207" s="2">
        <f t="shared" si="53"/>
        <v>28.6</v>
      </c>
      <c r="V207" s="2">
        <f t="shared" si="54"/>
        <v>14.4</v>
      </c>
      <c r="W207" s="2">
        <f t="shared" si="55"/>
        <v>2.4</v>
      </c>
      <c r="X207" s="2">
        <f t="shared" si="56"/>
        <v>0</v>
      </c>
      <c r="Y207" s="2">
        <f t="shared" si="57"/>
        <v>0</v>
      </c>
      <c r="Z207" s="2">
        <f t="shared" si="58"/>
        <v>0</v>
      </c>
      <c r="AA207" s="2">
        <f t="shared" si="59"/>
        <v>0</v>
      </c>
      <c r="AB207" s="2">
        <f t="shared" si="60"/>
        <v>0</v>
      </c>
      <c r="AC207" s="2">
        <f t="shared" si="61"/>
        <v>102.30000000000001</v>
      </c>
      <c r="AD207" s="2">
        <f t="shared" si="62"/>
        <v>0</v>
      </c>
      <c r="AE207" s="2">
        <f t="shared" si="63"/>
        <v>102.30000000000001</v>
      </c>
    </row>
    <row r="208" spans="1:31">
      <c r="A208" s="1" t="s">
        <v>17</v>
      </c>
      <c r="B208">
        <v>50</v>
      </c>
      <c r="C208" s="5">
        <v>99.999990014399998</v>
      </c>
      <c r="D208" s="5">
        <v>3.2528131682499999</v>
      </c>
      <c r="E208" s="11">
        <v>0</v>
      </c>
      <c r="F208" s="15">
        <v>127.3</v>
      </c>
      <c r="G208" s="15">
        <v>13.5</v>
      </c>
      <c r="H208" s="15">
        <v>6.2</v>
      </c>
      <c r="I208" s="15">
        <v>0.1</v>
      </c>
      <c r="J208" s="11">
        <v>0</v>
      </c>
      <c r="K208" s="15">
        <v>0</v>
      </c>
      <c r="L208" s="15">
        <v>0</v>
      </c>
      <c r="M208" s="15">
        <v>0</v>
      </c>
      <c r="N208" s="16">
        <v>0</v>
      </c>
      <c r="O208" s="2">
        <f t="shared" si="49"/>
        <v>147.1</v>
      </c>
      <c r="P208" s="2">
        <f t="shared" si="50"/>
        <v>0</v>
      </c>
      <c r="Q208" s="2">
        <f t="shared" si="51"/>
        <v>147.1</v>
      </c>
      <c r="S208" s="2">
        <f t="shared" si="64"/>
        <v>0</v>
      </c>
      <c r="T208" s="2">
        <f t="shared" si="52"/>
        <v>127.2999872883312</v>
      </c>
      <c r="U208" s="2">
        <f t="shared" si="53"/>
        <v>13.499998651943999</v>
      </c>
      <c r="V208" s="2">
        <f t="shared" si="54"/>
        <v>6.1999993808928</v>
      </c>
      <c r="W208" s="2">
        <f t="shared" si="55"/>
        <v>9.9999990014400006E-2</v>
      </c>
      <c r="X208" s="2">
        <f t="shared" si="56"/>
        <v>0</v>
      </c>
      <c r="Y208" s="2">
        <f t="shared" si="57"/>
        <v>0</v>
      </c>
      <c r="Z208" s="2">
        <f t="shared" si="58"/>
        <v>0</v>
      </c>
      <c r="AA208" s="2">
        <f t="shared" si="59"/>
        <v>0</v>
      </c>
      <c r="AB208" s="2">
        <f t="shared" si="60"/>
        <v>0</v>
      </c>
      <c r="AC208" s="2">
        <f t="shared" si="61"/>
        <v>147.09998531118239</v>
      </c>
      <c r="AD208" s="2">
        <f t="shared" si="62"/>
        <v>0</v>
      </c>
      <c r="AE208" s="2">
        <f t="shared" si="63"/>
        <v>147.09998531118239</v>
      </c>
    </row>
    <row r="209" spans="1:31">
      <c r="A209" s="1" t="s">
        <v>17</v>
      </c>
      <c r="B209">
        <v>51</v>
      </c>
      <c r="C209" s="5">
        <v>99.999996553900004</v>
      </c>
      <c r="D209" s="5">
        <v>5.3982637112400003</v>
      </c>
      <c r="E209" s="11">
        <v>0</v>
      </c>
      <c r="F209" s="15">
        <v>220.50002000000001</v>
      </c>
      <c r="G209" s="15">
        <v>69.7</v>
      </c>
      <c r="H209" s="15">
        <v>35.4</v>
      </c>
      <c r="I209" s="15">
        <v>6.9</v>
      </c>
      <c r="J209" s="11">
        <v>0</v>
      </c>
      <c r="K209" s="15">
        <v>0</v>
      </c>
      <c r="L209" s="15">
        <v>0</v>
      </c>
      <c r="M209" s="15">
        <v>0</v>
      </c>
      <c r="N209" s="16">
        <v>0</v>
      </c>
      <c r="O209" s="2">
        <f t="shared" si="49"/>
        <v>332.50001999999995</v>
      </c>
      <c r="P209" s="2">
        <f t="shared" si="50"/>
        <v>0</v>
      </c>
      <c r="Q209" s="2">
        <f t="shared" si="51"/>
        <v>332.50001999999995</v>
      </c>
      <c r="S209" s="2">
        <f t="shared" si="64"/>
        <v>0</v>
      </c>
      <c r="T209" s="2">
        <f t="shared" si="52"/>
        <v>220.50001240134884</v>
      </c>
      <c r="U209" s="2">
        <f t="shared" si="53"/>
        <v>69.699997598068308</v>
      </c>
      <c r="V209" s="2">
        <f t="shared" si="54"/>
        <v>35.399998780080601</v>
      </c>
      <c r="W209" s="2">
        <f t="shared" si="55"/>
        <v>6.8999997622191005</v>
      </c>
      <c r="X209" s="2">
        <f t="shared" si="56"/>
        <v>0</v>
      </c>
      <c r="Y209" s="2">
        <f t="shared" si="57"/>
        <v>0</v>
      </c>
      <c r="Z209" s="2">
        <f t="shared" si="58"/>
        <v>0</v>
      </c>
      <c r="AA209" s="2">
        <f t="shared" si="59"/>
        <v>0</v>
      </c>
      <c r="AB209" s="2">
        <f t="shared" si="60"/>
        <v>0</v>
      </c>
      <c r="AC209" s="2">
        <f t="shared" si="61"/>
        <v>332.50000854171674</v>
      </c>
      <c r="AD209" s="2">
        <f t="shared" si="62"/>
        <v>0</v>
      </c>
      <c r="AE209" s="2">
        <f t="shared" si="63"/>
        <v>332.50000854171674</v>
      </c>
    </row>
    <row r="210" spans="1:31">
      <c r="A210" s="1" t="s">
        <v>17</v>
      </c>
      <c r="B210">
        <v>52</v>
      </c>
      <c r="C210" s="5">
        <v>99.999852496599999</v>
      </c>
      <c r="D210" s="5">
        <v>2.8509390736700002</v>
      </c>
      <c r="E210" s="11">
        <v>0</v>
      </c>
      <c r="F210" s="15">
        <v>201.40005000000002</v>
      </c>
      <c r="G210" s="15">
        <v>76.400000000000006</v>
      </c>
      <c r="H210" s="15">
        <v>27.800001000000002</v>
      </c>
      <c r="I210" s="15">
        <v>2</v>
      </c>
      <c r="J210" s="11">
        <v>0</v>
      </c>
      <c r="K210" s="15">
        <v>0</v>
      </c>
      <c r="L210" s="15">
        <v>0</v>
      </c>
      <c r="M210" s="15">
        <v>0</v>
      </c>
      <c r="N210" s="16">
        <v>0</v>
      </c>
      <c r="O210" s="2">
        <f t="shared" si="49"/>
        <v>307.60005100000006</v>
      </c>
      <c r="P210" s="2">
        <f t="shared" si="50"/>
        <v>0</v>
      </c>
      <c r="Q210" s="2">
        <f t="shared" si="51"/>
        <v>307.60005100000006</v>
      </c>
      <c r="S210" s="2">
        <f t="shared" si="64"/>
        <v>0</v>
      </c>
      <c r="T210" s="2">
        <f t="shared" si="52"/>
        <v>201.39975292807867</v>
      </c>
      <c r="U210" s="2">
        <f t="shared" si="53"/>
        <v>76.399887307402409</v>
      </c>
      <c r="V210" s="2">
        <f t="shared" si="54"/>
        <v>27.799959994053324</v>
      </c>
      <c r="W210" s="2">
        <f t="shared" si="55"/>
        <v>1.9999970499319999</v>
      </c>
      <c r="X210" s="2">
        <f t="shared" si="56"/>
        <v>0</v>
      </c>
      <c r="Y210" s="2">
        <f t="shared" si="57"/>
        <v>0</v>
      </c>
      <c r="Z210" s="2">
        <f t="shared" si="58"/>
        <v>0</v>
      </c>
      <c r="AA210" s="2">
        <f t="shared" si="59"/>
        <v>0</v>
      </c>
      <c r="AB210" s="2">
        <f t="shared" si="60"/>
        <v>0</v>
      </c>
      <c r="AC210" s="2">
        <f t="shared" si="61"/>
        <v>307.59959727946642</v>
      </c>
      <c r="AD210" s="2">
        <f t="shared" si="62"/>
        <v>0</v>
      </c>
      <c r="AE210" s="2">
        <f t="shared" si="63"/>
        <v>307.59959727946642</v>
      </c>
    </row>
    <row r="211" spans="1:31">
      <c r="A211" s="1" t="s">
        <v>17</v>
      </c>
      <c r="B211">
        <v>60</v>
      </c>
      <c r="C211" s="5">
        <v>58.863668518700003</v>
      </c>
      <c r="D211" s="5">
        <v>1.2883865724600001</v>
      </c>
      <c r="E211" s="11">
        <v>0</v>
      </c>
      <c r="F211" s="15">
        <v>0</v>
      </c>
      <c r="G211" s="15">
        <v>64.400000000000006</v>
      </c>
      <c r="H211" s="15">
        <v>47.4</v>
      </c>
      <c r="I211" s="15">
        <v>21.1</v>
      </c>
      <c r="J211" s="11">
        <v>0</v>
      </c>
      <c r="K211" s="15">
        <v>0</v>
      </c>
      <c r="L211" s="15">
        <v>0</v>
      </c>
      <c r="M211" s="15">
        <v>0</v>
      </c>
      <c r="N211" s="16">
        <v>0</v>
      </c>
      <c r="O211" s="2">
        <f t="shared" si="49"/>
        <v>132.9</v>
      </c>
      <c r="P211" s="2">
        <f t="shared" si="50"/>
        <v>0</v>
      </c>
      <c r="Q211" s="2">
        <f t="shared" si="51"/>
        <v>132.9</v>
      </c>
      <c r="S211" s="2">
        <f t="shared" si="64"/>
        <v>0</v>
      </c>
      <c r="T211" s="2">
        <f t="shared" si="52"/>
        <v>0</v>
      </c>
      <c r="U211" s="2">
        <f t="shared" si="53"/>
        <v>37.908202526042807</v>
      </c>
      <c r="V211" s="2">
        <f t="shared" si="54"/>
        <v>27.901378877863799</v>
      </c>
      <c r="W211" s="2">
        <f t="shared" si="55"/>
        <v>12.4202340574457</v>
      </c>
      <c r="X211" s="2">
        <f t="shared" si="56"/>
        <v>0</v>
      </c>
      <c r="Y211" s="2">
        <f t="shared" si="57"/>
        <v>0</v>
      </c>
      <c r="Z211" s="2">
        <f t="shared" si="58"/>
        <v>0</v>
      </c>
      <c r="AA211" s="2">
        <f t="shared" si="59"/>
        <v>0</v>
      </c>
      <c r="AB211" s="2">
        <f t="shared" si="60"/>
        <v>0</v>
      </c>
      <c r="AC211" s="2">
        <f t="shared" si="61"/>
        <v>78.229815461352302</v>
      </c>
      <c r="AD211" s="2">
        <f t="shared" si="62"/>
        <v>0</v>
      </c>
      <c r="AE211" s="2">
        <f t="shared" si="63"/>
        <v>78.229815461352302</v>
      </c>
    </row>
    <row r="212" spans="1:31">
      <c r="A212" s="1" t="s">
        <v>17</v>
      </c>
      <c r="B212">
        <v>61</v>
      </c>
      <c r="C212" s="5">
        <v>29.1822508451</v>
      </c>
      <c r="D212" s="5">
        <v>0.40549354404100002</v>
      </c>
      <c r="E212" s="11">
        <v>0</v>
      </c>
      <c r="F212" s="15">
        <v>0</v>
      </c>
      <c r="G212" s="15">
        <v>55.3</v>
      </c>
      <c r="H212" s="15">
        <v>36.700000000000003</v>
      </c>
      <c r="I212" s="15">
        <v>22.6</v>
      </c>
      <c r="J212" s="11">
        <v>0</v>
      </c>
      <c r="K212" s="15">
        <v>0</v>
      </c>
      <c r="L212" s="15">
        <v>0</v>
      </c>
      <c r="M212" s="15">
        <v>0</v>
      </c>
      <c r="N212" s="16">
        <v>0</v>
      </c>
      <c r="O212" s="2">
        <f t="shared" si="49"/>
        <v>114.6</v>
      </c>
      <c r="P212" s="2">
        <f t="shared" si="50"/>
        <v>0</v>
      </c>
      <c r="Q212" s="2">
        <f t="shared" si="51"/>
        <v>114.6</v>
      </c>
      <c r="S212" s="2">
        <f t="shared" si="64"/>
        <v>0</v>
      </c>
      <c r="T212" s="2">
        <f t="shared" si="52"/>
        <v>0</v>
      </c>
      <c r="U212" s="2">
        <f t="shared" si="53"/>
        <v>16.137784717340299</v>
      </c>
      <c r="V212" s="2">
        <f t="shared" si="54"/>
        <v>10.7098860601517</v>
      </c>
      <c r="W212" s="2">
        <f t="shared" si="55"/>
        <v>6.5951886909926012</v>
      </c>
      <c r="X212" s="2">
        <f t="shared" si="56"/>
        <v>0</v>
      </c>
      <c r="Y212" s="2">
        <f t="shared" si="57"/>
        <v>0</v>
      </c>
      <c r="Z212" s="2">
        <f t="shared" si="58"/>
        <v>0</v>
      </c>
      <c r="AA212" s="2">
        <f t="shared" si="59"/>
        <v>0</v>
      </c>
      <c r="AB212" s="2">
        <f t="shared" si="60"/>
        <v>0</v>
      </c>
      <c r="AC212" s="2">
        <f t="shared" si="61"/>
        <v>33.442859468484599</v>
      </c>
      <c r="AD212" s="2">
        <f t="shared" si="62"/>
        <v>0</v>
      </c>
      <c r="AE212" s="2">
        <f t="shared" si="63"/>
        <v>33.442859468484599</v>
      </c>
    </row>
    <row r="213" spans="1:31">
      <c r="A213" s="1" t="s">
        <v>17</v>
      </c>
      <c r="B213">
        <v>62</v>
      </c>
      <c r="C213" s="5">
        <v>99.998715838699994</v>
      </c>
      <c r="D213" s="5">
        <v>2.2274179844600002</v>
      </c>
      <c r="E213" s="11">
        <v>0</v>
      </c>
      <c r="F213" s="15">
        <v>0</v>
      </c>
      <c r="G213" s="15">
        <v>35.200000000000003</v>
      </c>
      <c r="H213" s="15">
        <v>36.6</v>
      </c>
      <c r="I213" s="15">
        <v>12.7</v>
      </c>
      <c r="J213" s="11">
        <v>0</v>
      </c>
      <c r="K213" s="15">
        <v>0</v>
      </c>
      <c r="L213" s="15">
        <v>0</v>
      </c>
      <c r="M213" s="15">
        <v>0</v>
      </c>
      <c r="N213" s="16">
        <v>0</v>
      </c>
      <c r="O213" s="2">
        <f t="shared" si="49"/>
        <v>84.500000000000014</v>
      </c>
      <c r="P213" s="2">
        <f t="shared" si="50"/>
        <v>0</v>
      </c>
      <c r="Q213" s="2">
        <f t="shared" si="51"/>
        <v>84.500000000000014</v>
      </c>
      <c r="S213" s="2">
        <f t="shared" si="64"/>
        <v>0</v>
      </c>
      <c r="T213" s="2">
        <f t="shared" si="52"/>
        <v>0</v>
      </c>
      <c r="U213" s="2">
        <f t="shared" si="53"/>
        <v>35.199547975222401</v>
      </c>
      <c r="V213" s="2">
        <f t="shared" si="54"/>
        <v>36.599529996964201</v>
      </c>
      <c r="W213" s="2">
        <f t="shared" si="55"/>
        <v>12.699836911514899</v>
      </c>
      <c r="X213" s="2">
        <f t="shared" si="56"/>
        <v>0</v>
      </c>
      <c r="Y213" s="2">
        <f t="shared" si="57"/>
        <v>0</v>
      </c>
      <c r="Z213" s="2">
        <f t="shared" si="58"/>
        <v>0</v>
      </c>
      <c r="AA213" s="2">
        <f t="shared" si="59"/>
        <v>0</v>
      </c>
      <c r="AB213" s="2">
        <f t="shared" si="60"/>
        <v>0</v>
      </c>
      <c r="AC213" s="2">
        <f t="shared" si="61"/>
        <v>84.498914883701502</v>
      </c>
      <c r="AD213" s="2">
        <f t="shared" si="62"/>
        <v>0</v>
      </c>
      <c r="AE213" s="2">
        <f t="shared" si="63"/>
        <v>84.498914883701502</v>
      </c>
    </row>
    <row r="214" spans="1:31">
      <c r="A214" s="1" t="s">
        <v>17</v>
      </c>
      <c r="B214">
        <v>63</v>
      </c>
      <c r="C214" s="5">
        <v>100</v>
      </c>
      <c r="D214" s="5">
        <v>3.3181630106700002</v>
      </c>
      <c r="E214" s="11">
        <v>0</v>
      </c>
      <c r="F214" s="15">
        <v>0</v>
      </c>
      <c r="G214" s="15">
        <v>0</v>
      </c>
      <c r="H214" s="15">
        <v>589.30000099999995</v>
      </c>
      <c r="I214" s="15">
        <v>141.4</v>
      </c>
      <c r="J214" s="11">
        <v>0</v>
      </c>
      <c r="K214" s="15">
        <v>0</v>
      </c>
      <c r="L214" s="15">
        <v>0</v>
      </c>
      <c r="M214" s="15">
        <v>0</v>
      </c>
      <c r="N214" s="16">
        <v>0</v>
      </c>
      <c r="O214" s="2">
        <f t="shared" si="49"/>
        <v>730.70000099999993</v>
      </c>
      <c r="P214" s="2">
        <f t="shared" si="50"/>
        <v>0</v>
      </c>
      <c r="Q214" s="2">
        <f t="shared" si="51"/>
        <v>730.70000099999993</v>
      </c>
      <c r="S214" s="2">
        <f t="shared" si="64"/>
        <v>0</v>
      </c>
      <c r="T214" s="2">
        <f t="shared" si="52"/>
        <v>0</v>
      </c>
      <c r="U214" s="2">
        <f t="shared" si="53"/>
        <v>0</v>
      </c>
      <c r="V214" s="2">
        <f t="shared" si="54"/>
        <v>589.30000099999995</v>
      </c>
      <c r="W214" s="2">
        <f t="shared" si="55"/>
        <v>141.4</v>
      </c>
      <c r="X214" s="2">
        <f t="shared" si="56"/>
        <v>0</v>
      </c>
      <c r="Y214" s="2">
        <f t="shared" si="57"/>
        <v>0</v>
      </c>
      <c r="Z214" s="2">
        <f t="shared" si="58"/>
        <v>0</v>
      </c>
      <c r="AA214" s="2">
        <f t="shared" si="59"/>
        <v>0</v>
      </c>
      <c r="AB214" s="2">
        <f t="shared" si="60"/>
        <v>0</v>
      </c>
      <c r="AC214" s="2">
        <f t="shared" si="61"/>
        <v>730.70000099999993</v>
      </c>
      <c r="AD214" s="2">
        <f t="shared" si="62"/>
        <v>0</v>
      </c>
      <c r="AE214" s="2">
        <f t="shared" si="63"/>
        <v>730.70000099999993</v>
      </c>
    </row>
    <row r="215" spans="1:31">
      <c r="A215" s="1" t="s">
        <v>17</v>
      </c>
      <c r="B215">
        <v>64</v>
      </c>
      <c r="C215" s="5">
        <v>99.999660069900003</v>
      </c>
      <c r="D215" s="5">
        <v>3.7084412332099999</v>
      </c>
      <c r="E215" s="11">
        <v>0</v>
      </c>
      <c r="F215" s="15">
        <v>0</v>
      </c>
      <c r="G215" s="15">
        <v>0</v>
      </c>
      <c r="H215" s="15">
        <v>2072.8562700000002</v>
      </c>
      <c r="I215" s="15">
        <v>880.79993000000002</v>
      </c>
      <c r="J215" s="11">
        <v>0</v>
      </c>
      <c r="K215" s="15">
        <v>0</v>
      </c>
      <c r="L215" s="15">
        <v>0</v>
      </c>
      <c r="M215" s="15">
        <v>0</v>
      </c>
      <c r="N215" s="16">
        <v>0</v>
      </c>
      <c r="O215" s="2">
        <f t="shared" si="49"/>
        <v>2953.6562000000004</v>
      </c>
      <c r="P215" s="2">
        <f t="shared" si="50"/>
        <v>0</v>
      </c>
      <c r="Q215" s="2">
        <f t="shared" si="51"/>
        <v>2953.6562000000004</v>
      </c>
      <c r="S215" s="2">
        <f t="shared" si="64"/>
        <v>0</v>
      </c>
      <c r="T215" s="2">
        <f t="shared" si="52"/>
        <v>0</v>
      </c>
      <c r="U215" s="2">
        <f t="shared" si="53"/>
        <v>0</v>
      </c>
      <c r="V215" s="2">
        <f t="shared" si="54"/>
        <v>2072.8492237376086</v>
      </c>
      <c r="W215" s="2">
        <f t="shared" si="55"/>
        <v>880.79693589591716</v>
      </c>
      <c r="X215" s="2">
        <f t="shared" si="56"/>
        <v>0</v>
      </c>
      <c r="Y215" s="2">
        <f t="shared" si="57"/>
        <v>0</v>
      </c>
      <c r="Z215" s="2">
        <f t="shared" si="58"/>
        <v>0</v>
      </c>
      <c r="AA215" s="2">
        <f t="shared" si="59"/>
        <v>0</v>
      </c>
      <c r="AB215" s="2">
        <f t="shared" si="60"/>
        <v>0</v>
      </c>
      <c r="AC215" s="2">
        <f t="shared" si="61"/>
        <v>2953.6461596335262</v>
      </c>
      <c r="AD215" s="2">
        <f t="shared" si="62"/>
        <v>0</v>
      </c>
      <c r="AE215" s="2">
        <f t="shared" si="63"/>
        <v>2953.6461596335262</v>
      </c>
    </row>
    <row r="216" spans="1:31">
      <c r="A216" s="1" t="s">
        <v>17</v>
      </c>
      <c r="B216">
        <v>65</v>
      </c>
      <c r="C216" s="5">
        <v>99.999837744600001</v>
      </c>
      <c r="D216" s="5">
        <v>4.36679885601</v>
      </c>
      <c r="E216" s="11">
        <v>0</v>
      </c>
      <c r="F216" s="15">
        <v>0</v>
      </c>
      <c r="G216" s="15">
        <v>0</v>
      </c>
      <c r="H216" s="15">
        <v>119.80455000000001</v>
      </c>
      <c r="I216" s="15">
        <v>395.40003999999999</v>
      </c>
      <c r="J216" s="11">
        <v>0</v>
      </c>
      <c r="K216" s="15">
        <v>0</v>
      </c>
      <c r="L216" s="15">
        <v>0</v>
      </c>
      <c r="M216" s="15">
        <v>0</v>
      </c>
      <c r="N216" s="16">
        <v>0</v>
      </c>
      <c r="O216" s="2">
        <f t="shared" si="49"/>
        <v>515.20459000000005</v>
      </c>
      <c r="P216" s="2">
        <f t="shared" si="50"/>
        <v>0</v>
      </c>
      <c r="Q216" s="2">
        <f t="shared" si="51"/>
        <v>515.20459000000005</v>
      </c>
      <c r="S216" s="2">
        <f t="shared" si="64"/>
        <v>0</v>
      </c>
      <c r="T216" s="2">
        <f t="shared" si="52"/>
        <v>0</v>
      </c>
      <c r="U216" s="2">
        <f t="shared" si="53"/>
        <v>0</v>
      </c>
      <c r="V216" s="2">
        <f t="shared" si="54"/>
        <v>119.80435561064819</v>
      </c>
      <c r="W216" s="2">
        <f t="shared" si="55"/>
        <v>395.39939844208345</v>
      </c>
      <c r="X216" s="2">
        <f t="shared" si="56"/>
        <v>0</v>
      </c>
      <c r="Y216" s="2">
        <f t="shared" si="57"/>
        <v>0</v>
      </c>
      <c r="Z216" s="2">
        <f t="shared" si="58"/>
        <v>0</v>
      </c>
      <c r="AA216" s="2">
        <f t="shared" si="59"/>
        <v>0</v>
      </c>
      <c r="AB216" s="2">
        <f t="shared" si="60"/>
        <v>0</v>
      </c>
      <c r="AC216" s="2">
        <f t="shared" si="61"/>
        <v>515.20375405273171</v>
      </c>
      <c r="AD216" s="2">
        <f t="shared" si="62"/>
        <v>0</v>
      </c>
      <c r="AE216" s="2">
        <f t="shared" si="63"/>
        <v>515.20375405273171</v>
      </c>
    </row>
    <row r="217" spans="1:31">
      <c r="A217" s="1" t="s">
        <v>17</v>
      </c>
      <c r="B217">
        <v>66</v>
      </c>
      <c r="C217" s="5">
        <v>100</v>
      </c>
      <c r="D217" s="5">
        <v>3.68272610564</v>
      </c>
      <c r="E217" s="11">
        <v>0</v>
      </c>
      <c r="F217" s="15">
        <v>0</v>
      </c>
      <c r="G217" s="15">
        <v>0</v>
      </c>
      <c r="H217" s="15">
        <v>0</v>
      </c>
      <c r="I217" s="15">
        <v>107.3</v>
      </c>
      <c r="J217" s="11">
        <v>0</v>
      </c>
      <c r="K217" s="15">
        <v>0</v>
      </c>
      <c r="L217" s="15">
        <v>0</v>
      </c>
      <c r="M217" s="15">
        <v>0</v>
      </c>
      <c r="N217" s="16">
        <v>0</v>
      </c>
      <c r="O217" s="2">
        <f t="shared" si="49"/>
        <v>107.3</v>
      </c>
      <c r="P217" s="2">
        <f t="shared" si="50"/>
        <v>0</v>
      </c>
      <c r="Q217" s="2">
        <f t="shared" si="51"/>
        <v>107.3</v>
      </c>
      <c r="S217" s="2">
        <f t="shared" si="64"/>
        <v>0</v>
      </c>
      <c r="T217" s="2">
        <f t="shared" si="52"/>
        <v>0</v>
      </c>
      <c r="U217" s="2">
        <f t="shared" si="53"/>
        <v>0</v>
      </c>
      <c r="V217" s="2">
        <f t="shared" si="54"/>
        <v>0</v>
      </c>
      <c r="W217" s="2">
        <f t="shared" si="55"/>
        <v>107.3</v>
      </c>
      <c r="X217" s="2">
        <f t="shared" si="56"/>
        <v>0</v>
      </c>
      <c r="Y217" s="2">
        <f t="shared" si="57"/>
        <v>0</v>
      </c>
      <c r="Z217" s="2">
        <f t="shared" si="58"/>
        <v>0</v>
      </c>
      <c r="AA217" s="2">
        <f t="shared" si="59"/>
        <v>0</v>
      </c>
      <c r="AB217" s="2">
        <f t="shared" si="60"/>
        <v>0</v>
      </c>
      <c r="AC217" s="2">
        <f t="shared" si="61"/>
        <v>107.3</v>
      </c>
      <c r="AD217" s="2">
        <f t="shared" si="62"/>
        <v>0</v>
      </c>
      <c r="AE217" s="2">
        <f t="shared" si="63"/>
        <v>107.3</v>
      </c>
    </row>
    <row r="218" spans="1:31">
      <c r="A218" s="1" t="s">
        <v>17</v>
      </c>
      <c r="B218">
        <v>67</v>
      </c>
      <c r="C218" s="5">
        <v>100</v>
      </c>
      <c r="D218" s="5">
        <v>4.5566247959100004</v>
      </c>
      <c r="E218" s="11">
        <v>0</v>
      </c>
      <c r="F218" s="15">
        <v>0</v>
      </c>
      <c r="G218" s="15">
        <v>0</v>
      </c>
      <c r="H218" s="15">
        <v>24.777550000000002</v>
      </c>
      <c r="I218" s="15">
        <v>452.60007000000002</v>
      </c>
      <c r="J218" s="11">
        <v>0</v>
      </c>
      <c r="K218" s="15">
        <v>0</v>
      </c>
      <c r="L218" s="15">
        <v>0</v>
      </c>
      <c r="M218" s="15">
        <v>0</v>
      </c>
      <c r="N218" s="16">
        <v>0</v>
      </c>
      <c r="O218" s="2">
        <f t="shared" si="49"/>
        <v>477.37762000000004</v>
      </c>
      <c r="P218" s="2">
        <f t="shared" si="50"/>
        <v>0</v>
      </c>
      <c r="Q218" s="2">
        <f t="shared" si="51"/>
        <v>477.37762000000004</v>
      </c>
      <c r="S218" s="2">
        <f t="shared" si="64"/>
        <v>0</v>
      </c>
      <c r="T218" s="2">
        <f t="shared" si="52"/>
        <v>0</v>
      </c>
      <c r="U218" s="2">
        <f t="shared" si="53"/>
        <v>0</v>
      </c>
      <c r="V218" s="2">
        <f t="shared" si="54"/>
        <v>24.777550000000002</v>
      </c>
      <c r="W218" s="2">
        <f t="shared" si="55"/>
        <v>452.60007000000007</v>
      </c>
      <c r="X218" s="2">
        <f t="shared" si="56"/>
        <v>0</v>
      </c>
      <c r="Y218" s="2">
        <f t="shared" si="57"/>
        <v>0</v>
      </c>
      <c r="Z218" s="2">
        <f t="shared" si="58"/>
        <v>0</v>
      </c>
      <c r="AA218" s="2">
        <f t="shared" si="59"/>
        <v>0</v>
      </c>
      <c r="AB218" s="2">
        <f t="shared" si="60"/>
        <v>0</v>
      </c>
      <c r="AC218" s="2">
        <f t="shared" si="61"/>
        <v>477.37762000000004</v>
      </c>
      <c r="AD218" s="2">
        <f t="shared" si="62"/>
        <v>0</v>
      </c>
      <c r="AE218" s="2">
        <f t="shared" si="63"/>
        <v>477.37762000000004</v>
      </c>
    </row>
    <row r="219" spans="1:31">
      <c r="A219" s="1" t="s">
        <v>17</v>
      </c>
      <c r="B219">
        <v>68</v>
      </c>
      <c r="C219" s="5">
        <v>99.999639900899993</v>
      </c>
      <c r="D219" s="5">
        <v>2.4296081278899999</v>
      </c>
      <c r="E219" s="11">
        <v>0</v>
      </c>
      <c r="F219" s="15">
        <v>0</v>
      </c>
      <c r="G219" s="15">
        <v>48.361469999999997</v>
      </c>
      <c r="H219" s="15">
        <v>0</v>
      </c>
      <c r="I219" s="15">
        <v>0</v>
      </c>
      <c r="J219" s="11">
        <v>0</v>
      </c>
      <c r="K219" s="15">
        <v>0</v>
      </c>
      <c r="L219" s="15">
        <v>0</v>
      </c>
      <c r="M219" s="15">
        <v>0</v>
      </c>
      <c r="N219" s="16">
        <v>0</v>
      </c>
      <c r="O219" s="2">
        <f t="shared" si="49"/>
        <v>48.361469999999997</v>
      </c>
      <c r="P219" s="2">
        <f t="shared" si="50"/>
        <v>0</v>
      </c>
      <c r="Q219" s="2">
        <f t="shared" si="51"/>
        <v>48.361469999999997</v>
      </c>
      <c r="S219" s="2">
        <f t="shared" si="64"/>
        <v>0</v>
      </c>
      <c r="T219" s="2">
        <f t="shared" si="52"/>
        <v>0</v>
      </c>
      <c r="U219" s="2">
        <f t="shared" si="53"/>
        <v>48.361295850781779</v>
      </c>
      <c r="V219" s="2">
        <f t="shared" si="54"/>
        <v>0</v>
      </c>
      <c r="W219" s="2">
        <f t="shared" si="55"/>
        <v>0</v>
      </c>
      <c r="X219" s="2">
        <f t="shared" si="56"/>
        <v>0</v>
      </c>
      <c r="Y219" s="2">
        <f t="shared" si="57"/>
        <v>0</v>
      </c>
      <c r="Z219" s="2">
        <f t="shared" si="58"/>
        <v>0</v>
      </c>
      <c r="AA219" s="2">
        <f t="shared" si="59"/>
        <v>0</v>
      </c>
      <c r="AB219" s="2">
        <f t="shared" si="60"/>
        <v>0</v>
      </c>
      <c r="AC219" s="2">
        <f t="shared" si="61"/>
        <v>48.361295850781779</v>
      </c>
      <c r="AD219" s="2">
        <f t="shared" si="62"/>
        <v>0</v>
      </c>
      <c r="AE219" s="2">
        <f t="shared" si="63"/>
        <v>48.361295850781779</v>
      </c>
    </row>
    <row r="220" spans="1:31">
      <c r="A220" s="1" t="s">
        <v>17</v>
      </c>
      <c r="B220">
        <v>69</v>
      </c>
      <c r="C220" s="5">
        <v>99.999781855199998</v>
      </c>
      <c r="D220" s="5">
        <v>2.2824523244899999</v>
      </c>
      <c r="E220" s="11">
        <v>0</v>
      </c>
      <c r="F220" s="15">
        <v>0</v>
      </c>
      <c r="G220" s="15">
        <v>3.797612</v>
      </c>
      <c r="H220" s="15">
        <v>0.8</v>
      </c>
      <c r="I220" s="15">
        <v>0</v>
      </c>
      <c r="J220" s="11">
        <v>0</v>
      </c>
      <c r="K220" s="15">
        <v>0</v>
      </c>
      <c r="L220" s="15">
        <v>0</v>
      </c>
      <c r="M220" s="15">
        <v>0</v>
      </c>
      <c r="N220" s="16">
        <v>0</v>
      </c>
      <c r="O220" s="2">
        <f t="shared" si="49"/>
        <v>4.5976119999999998</v>
      </c>
      <c r="P220" s="2">
        <f t="shared" si="50"/>
        <v>0</v>
      </c>
      <c r="Q220" s="2">
        <f t="shared" si="51"/>
        <v>4.5976119999999998</v>
      </c>
      <c r="S220" s="2">
        <f t="shared" si="64"/>
        <v>0</v>
      </c>
      <c r="T220" s="2">
        <f t="shared" si="52"/>
        <v>0</v>
      </c>
      <c r="U220" s="2">
        <f t="shared" si="53"/>
        <v>3.7976037157068974</v>
      </c>
      <c r="V220" s="2">
        <f t="shared" si="54"/>
        <v>0.79999825484160003</v>
      </c>
      <c r="W220" s="2">
        <f t="shared" si="55"/>
        <v>0</v>
      </c>
      <c r="X220" s="2">
        <f t="shared" si="56"/>
        <v>0</v>
      </c>
      <c r="Y220" s="2">
        <f t="shared" si="57"/>
        <v>0</v>
      </c>
      <c r="Z220" s="2">
        <f t="shared" si="58"/>
        <v>0</v>
      </c>
      <c r="AA220" s="2">
        <f t="shared" si="59"/>
        <v>0</v>
      </c>
      <c r="AB220" s="2">
        <f t="shared" si="60"/>
        <v>0</v>
      </c>
      <c r="AC220" s="2">
        <f t="shared" si="61"/>
        <v>4.5976019705484976</v>
      </c>
      <c r="AD220" s="2">
        <f t="shared" si="62"/>
        <v>0</v>
      </c>
      <c r="AE220" s="2">
        <f t="shared" si="63"/>
        <v>4.5976019705484976</v>
      </c>
    </row>
    <row r="221" spans="1:31">
      <c r="A221" s="1" t="s">
        <v>17</v>
      </c>
      <c r="B221">
        <v>70</v>
      </c>
      <c r="C221" s="5">
        <v>99.999999844599998</v>
      </c>
      <c r="D221" s="5">
        <v>6.8321375944299998</v>
      </c>
      <c r="E221" s="11">
        <v>0</v>
      </c>
      <c r="F221" s="15">
        <v>0</v>
      </c>
      <c r="G221" s="15">
        <v>0</v>
      </c>
      <c r="H221" s="15">
        <v>593.41553599999997</v>
      </c>
      <c r="I221" s="15">
        <v>1087.0999569999999</v>
      </c>
      <c r="J221" s="11">
        <v>0</v>
      </c>
      <c r="K221" s="15">
        <v>0</v>
      </c>
      <c r="L221" s="15">
        <v>0</v>
      </c>
      <c r="M221" s="15">
        <v>0</v>
      </c>
      <c r="N221" s="16">
        <v>0</v>
      </c>
      <c r="O221" s="2">
        <f t="shared" si="49"/>
        <v>1680.5154929999999</v>
      </c>
      <c r="P221" s="2">
        <f t="shared" si="50"/>
        <v>0</v>
      </c>
      <c r="Q221" s="2">
        <f t="shared" si="51"/>
        <v>1680.5154929999999</v>
      </c>
      <c r="S221" s="2">
        <f t="shared" si="64"/>
        <v>0</v>
      </c>
      <c r="T221" s="2">
        <f t="shared" si="52"/>
        <v>0</v>
      </c>
      <c r="U221" s="2">
        <f t="shared" si="53"/>
        <v>0</v>
      </c>
      <c r="V221" s="2">
        <f t="shared" si="54"/>
        <v>593.41553507783226</v>
      </c>
      <c r="W221" s="2">
        <f t="shared" si="55"/>
        <v>1087.0999553106467</v>
      </c>
      <c r="X221" s="2">
        <f t="shared" si="56"/>
        <v>0</v>
      </c>
      <c r="Y221" s="2">
        <f t="shared" si="57"/>
        <v>0</v>
      </c>
      <c r="Z221" s="2">
        <f t="shared" si="58"/>
        <v>0</v>
      </c>
      <c r="AA221" s="2">
        <f t="shared" si="59"/>
        <v>0</v>
      </c>
      <c r="AB221" s="2">
        <f t="shared" si="60"/>
        <v>0</v>
      </c>
      <c r="AC221" s="2">
        <f t="shared" si="61"/>
        <v>1680.5154903884788</v>
      </c>
      <c r="AD221" s="2">
        <f t="shared" si="62"/>
        <v>0</v>
      </c>
      <c r="AE221" s="2">
        <f t="shared" si="63"/>
        <v>1680.5154903884788</v>
      </c>
    </row>
    <row r="222" spans="1:31">
      <c r="A222" s="1" t="s">
        <v>17</v>
      </c>
      <c r="B222">
        <v>71</v>
      </c>
      <c r="C222" s="5">
        <v>99.999818450199996</v>
      </c>
      <c r="D222" s="5">
        <v>5.2970079992799999</v>
      </c>
      <c r="E222" s="11">
        <v>0</v>
      </c>
      <c r="F222" s="15">
        <v>0</v>
      </c>
      <c r="G222" s="15">
        <v>1196.5999999999999</v>
      </c>
      <c r="H222" s="15">
        <v>418.54359800000003</v>
      </c>
      <c r="I222" s="15">
        <v>42.099997000000002</v>
      </c>
      <c r="J222" s="11">
        <v>0</v>
      </c>
      <c r="K222" s="15">
        <v>0</v>
      </c>
      <c r="L222" s="15">
        <v>0</v>
      </c>
      <c r="M222" s="15">
        <v>0</v>
      </c>
      <c r="N222" s="16">
        <v>0</v>
      </c>
      <c r="O222" s="2">
        <f t="shared" si="49"/>
        <v>1657.2435949999999</v>
      </c>
      <c r="P222" s="2">
        <f t="shared" si="50"/>
        <v>0</v>
      </c>
      <c r="Q222" s="2">
        <f t="shared" si="51"/>
        <v>1657.2435949999999</v>
      </c>
      <c r="S222" s="2">
        <f t="shared" si="64"/>
        <v>0</v>
      </c>
      <c r="T222" s="2">
        <f t="shared" si="52"/>
        <v>0</v>
      </c>
      <c r="U222" s="2">
        <f t="shared" si="53"/>
        <v>1196.5978275750931</v>
      </c>
      <c r="V222" s="2">
        <f t="shared" si="54"/>
        <v>418.54283813493493</v>
      </c>
      <c r="W222" s="2">
        <f t="shared" si="55"/>
        <v>42.099920567539648</v>
      </c>
      <c r="X222" s="2">
        <f t="shared" si="56"/>
        <v>0</v>
      </c>
      <c r="Y222" s="2">
        <f t="shared" si="57"/>
        <v>0</v>
      </c>
      <c r="Z222" s="2">
        <f t="shared" si="58"/>
        <v>0</v>
      </c>
      <c r="AA222" s="2">
        <f t="shared" si="59"/>
        <v>0</v>
      </c>
      <c r="AB222" s="2">
        <f t="shared" si="60"/>
        <v>0</v>
      </c>
      <c r="AC222" s="2">
        <f t="shared" si="61"/>
        <v>1657.2405862775674</v>
      </c>
      <c r="AD222" s="2">
        <f t="shared" si="62"/>
        <v>0</v>
      </c>
      <c r="AE222" s="2">
        <f t="shared" si="63"/>
        <v>1657.2405862775674</v>
      </c>
    </row>
    <row r="223" spans="1:31">
      <c r="A223" s="1" t="s">
        <v>17</v>
      </c>
      <c r="B223">
        <v>72</v>
      </c>
      <c r="C223" s="5">
        <v>99.9999939028</v>
      </c>
      <c r="D223" s="5">
        <v>1.6432089699400001</v>
      </c>
      <c r="E223" s="11">
        <v>0</v>
      </c>
      <c r="F223" s="15">
        <v>0</v>
      </c>
      <c r="G223" s="15">
        <v>0</v>
      </c>
      <c r="H223" s="15">
        <v>0</v>
      </c>
      <c r="I223" s="15">
        <v>110.80000000000001</v>
      </c>
      <c r="J223" s="11">
        <v>0</v>
      </c>
      <c r="K223" s="15">
        <v>0</v>
      </c>
      <c r="L223" s="15">
        <v>0</v>
      </c>
      <c r="M223" s="15">
        <v>0</v>
      </c>
      <c r="N223" s="16">
        <v>0</v>
      </c>
      <c r="O223" s="2">
        <f t="shared" si="49"/>
        <v>110.80000000000001</v>
      </c>
      <c r="P223" s="2">
        <f t="shared" si="50"/>
        <v>0</v>
      </c>
      <c r="Q223" s="2">
        <f t="shared" si="51"/>
        <v>110.80000000000001</v>
      </c>
      <c r="S223" s="2">
        <f t="shared" si="64"/>
        <v>0</v>
      </c>
      <c r="T223" s="2">
        <f t="shared" si="52"/>
        <v>0</v>
      </c>
      <c r="U223" s="2">
        <f t="shared" si="53"/>
        <v>0</v>
      </c>
      <c r="V223" s="2">
        <f t="shared" si="54"/>
        <v>0</v>
      </c>
      <c r="W223" s="2">
        <f t="shared" si="55"/>
        <v>110.7999932443024</v>
      </c>
      <c r="X223" s="2">
        <f t="shared" si="56"/>
        <v>0</v>
      </c>
      <c r="Y223" s="2">
        <f t="shared" si="57"/>
        <v>0</v>
      </c>
      <c r="Z223" s="2">
        <f t="shared" si="58"/>
        <v>0</v>
      </c>
      <c r="AA223" s="2">
        <f t="shared" si="59"/>
        <v>0</v>
      </c>
      <c r="AB223" s="2">
        <f t="shared" si="60"/>
        <v>0</v>
      </c>
      <c r="AC223" s="2">
        <f t="shared" si="61"/>
        <v>110.7999932443024</v>
      </c>
      <c r="AD223" s="2">
        <f t="shared" si="62"/>
        <v>0</v>
      </c>
      <c r="AE223" s="2">
        <f t="shared" si="63"/>
        <v>110.7999932443024</v>
      </c>
    </row>
    <row r="224" spans="1:31">
      <c r="A224" s="1" t="s">
        <v>17</v>
      </c>
      <c r="B224">
        <v>73</v>
      </c>
      <c r="C224" s="5">
        <v>76.171000654300002</v>
      </c>
      <c r="D224" s="5">
        <v>1.8811370031800001</v>
      </c>
      <c r="E224" s="11">
        <v>0</v>
      </c>
      <c r="F224" s="15">
        <v>0</v>
      </c>
      <c r="G224" s="15">
        <v>0</v>
      </c>
      <c r="H224" s="15">
        <v>0</v>
      </c>
      <c r="I224" s="15">
        <v>32.1</v>
      </c>
      <c r="J224" s="11">
        <v>0</v>
      </c>
      <c r="K224" s="15">
        <v>0</v>
      </c>
      <c r="L224" s="15">
        <v>0</v>
      </c>
      <c r="M224" s="15">
        <v>0</v>
      </c>
      <c r="N224" s="16">
        <v>0</v>
      </c>
      <c r="O224" s="2">
        <f t="shared" si="49"/>
        <v>32.1</v>
      </c>
      <c r="P224" s="2">
        <f t="shared" si="50"/>
        <v>0</v>
      </c>
      <c r="Q224" s="2">
        <f t="shared" si="51"/>
        <v>32.1</v>
      </c>
      <c r="S224" s="2">
        <f t="shared" si="64"/>
        <v>0</v>
      </c>
      <c r="T224" s="2">
        <f t="shared" si="52"/>
        <v>0</v>
      </c>
      <c r="U224" s="2">
        <f t="shared" si="53"/>
        <v>0</v>
      </c>
      <c r="V224" s="2">
        <f t="shared" si="54"/>
        <v>0</v>
      </c>
      <c r="W224" s="2">
        <f t="shared" si="55"/>
        <v>24.450891210030299</v>
      </c>
      <c r="X224" s="2">
        <f t="shared" si="56"/>
        <v>0</v>
      </c>
      <c r="Y224" s="2">
        <f t="shared" si="57"/>
        <v>0</v>
      </c>
      <c r="Z224" s="2">
        <f t="shared" si="58"/>
        <v>0</v>
      </c>
      <c r="AA224" s="2">
        <f t="shared" si="59"/>
        <v>0</v>
      </c>
      <c r="AB224" s="2">
        <f t="shared" si="60"/>
        <v>0</v>
      </c>
      <c r="AC224" s="2">
        <f t="shared" si="61"/>
        <v>24.450891210030299</v>
      </c>
      <c r="AD224" s="2">
        <f t="shared" si="62"/>
        <v>0</v>
      </c>
      <c r="AE224" s="2">
        <f t="shared" si="63"/>
        <v>24.450891210030299</v>
      </c>
    </row>
    <row r="225" spans="1:31">
      <c r="A225" s="1" t="s">
        <v>17</v>
      </c>
      <c r="B225">
        <v>74</v>
      </c>
      <c r="C225" s="5">
        <v>17.026737952200001</v>
      </c>
      <c r="D225" s="5">
        <v>1.3180978944199999</v>
      </c>
      <c r="E225" s="11">
        <v>0</v>
      </c>
      <c r="F225" s="15">
        <v>0</v>
      </c>
      <c r="G225" s="15">
        <v>0</v>
      </c>
      <c r="H225" s="15">
        <v>140.66</v>
      </c>
      <c r="I225" s="15">
        <v>9147.8565050000016</v>
      </c>
      <c r="J225" s="11">
        <v>0</v>
      </c>
      <c r="K225" s="15">
        <v>0</v>
      </c>
      <c r="L225" s="15">
        <v>0</v>
      </c>
      <c r="M225" s="15">
        <v>0</v>
      </c>
      <c r="N225" s="16">
        <v>0</v>
      </c>
      <c r="O225" s="2">
        <f t="shared" si="49"/>
        <v>9288.5165050000014</v>
      </c>
      <c r="P225" s="2">
        <f t="shared" si="50"/>
        <v>0</v>
      </c>
      <c r="Q225" s="2">
        <f t="shared" si="51"/>
        <v>9288.5165050000014</v>
      </c>
      <c r="S225" s="2">
        <f t="shared" si="64"/>
        <v>0</v>
      </c>
      <c r="T225" s="2">
        <f t="shared" si="52"/>
        <v>0</v>
      </c>
      <c r="U225" s="2">
        <f t="shared" si="53"/>
        <v>0</v>
      </c>
      <c r="V225" s="2">
        <f t="shared" si="54"/>
        <v>23.949809603564521</v>
      </c>
      <c r="W225" s="2">
        <f t="shared" si="55"/>
        <v>1557.5815553496318</v>
      </c>
      <c r="X225" s="2">
        <f t="shared" si="56"/>
        <v>0</v>
      </c>
      <c r="Y225" s="2">
        <f t="shared" si="57"/>
        <v>0</v>
      </c>
      <c r="Z225" s="2">
        <f t="shared" si="58"/>
        <v>0</v>
      </c>
      <c r="AA225" s="2">
        <f t="shared" si="59"/>
        <v>0</v>
      </c>
      <c r="AB225" s="2">
        <f t="shared" si="60"/>
        <v>0</v>
      </c>
      <c r="AC225" s="2">
        <f t="shared" si="61"/>
        <v>1581.5313649531963</v>
      </c>
      <c r="AD225" s="2">
        <f t="shared" si="62"/>
        <v>0</v>
      </c>
      <c r="AE225" s="2">
        <f t="shared" si="63"/>
        <v>1581.5313649531963</v>
      </c>
    </row>
    <row r="226" spans="1:31">
      <c r="A226" s="1" t="s">
        <v>18</v>
      </c>
      <c r="B226">
        <v>341</v>
      </c>
      <c r="C226" s="5">
        <v>10.6376266373</v>
      </c>
      <c r="D226" s="5">
        <v>65.778198993399997</v>
      </c>
      <c r="E226" s="11">
        <v>0</v>
      </c>
      <c r="F226" s="15">
        <v>0</v>
      </c>
      <c r="G226" s="15">
        <v>0</v>
      </c>
      <c r="H226" s="15">
        <v>0</v>
      </c>
      <c r="I226" s="15">
        <v>0</v>
      </c>
      <c r="J226" s="11">
        <v>0</v>
      </c>
      <c r="K226" s="15">
        <v>0</v>
      </c>
      <c r="L226" s="15">
        <v>0</v>
      </c>
      <c r="M226" s="15">
        <v>0</v>
      </c>
      <c r="N226" s="16">
        <v>0</v>
      </c>
      <c r="O226" s="2">
        <f t="shared" si="49"/>
        <v>0</v>
      </c>
      <c r="P226" s="2">
        <f t="shared" si="50"/>
        <v>0</v>
      </c>
      <c r="Q226" s="2">
        <f t="shared" si="51"/>
        <v>0</v>
      </c>
      <c r="S226" s="2">
        <f t="shared" si="64"/>
        <v>0</v>
      </c>
      <c r="T226" s="2">
        <f t="shared" si="52"/>
        <v>0</v>
      </c>
      <c r="U226" s="2">
        <f t="shared" si="53"/>
        <v>0</v>
      </c>
      <c r="V226" s="2">
        <f t="shared" si="54"/>
        <v>0</v>
      </c>
      <c r="W226" s="2">
        <f t="shared" si="55"/>
        <v>0</v>
      </c>
      <c r="X226" s="2">
        <f t="shared" si="56"/>
        <v>0</v>
      </c>
      <c r="Y226" s="2">
        <f t="shared" si="57"/>
        <v>0</v>
      </c>
      <c r="Z226" s="2">
        <f t="shared" si="58"/>
        <v>0</v>
      </c>
      <c r="AA226" s="2">
        <f t="shared" si="59"/>
        <v>0</v>
      </c>
      <c r="AB226" s="2">
        <f t="shared" si="60"/>
        <v>0</v>
      </c>
      <c r="AC226" s="2">
        <f t="shared" si="61"/>
        <v>0</v>
      </c>
      <c r="AD226" s="2">
        <f t="shared" si="62"/>
        <v>0</v>
      </c>
      <c r="AE226" s="2">
        <f t="shared" si="63"/>
        <v>0</v>
      </c>
    </row>
    <row r="227" spans="1:31">
      <c r="A227" s="1" t="s">
        <v>19</v>
      </c>
      <c r="B227">
        <v>1</v>
      </c>
      <c r="C227" s="5">
        <v>100</v>
      </c>
      <c r="D227" s="5">
        <v>3.2514195190900002</v>
      </c>
      <c r="E227" s="11">
        <v>0</v>
      </c>
      <c r="F227" s="15">
        <v>299.000022</v>
      </c>
      <c r="G227" s="15">
        <v>82.599989999999991</v>
      </c>
      <c r="H227" s="15">
        <v>41.5</v>
      </c>
      <c r="I227" s="15">
        <v>18.8</v>
      </c>
      <c r="J227" s="11">
        <v>0</v>
      </c>
      <c r="K227" s="15">
        <v>0</v>
      </c>
      <c r="L227" s="15">
        <v>0</v>
      </c>
      <c r="M227" s="15">
        <v>0</v>
      </c>
      <c r="N227" s="16">
        <v>0</v>
      </c>
      <c r="O227" s="2">
        <f t="shared" si="49"/>
        <v>441.900012</v>
      </c>
      <c r="P227" s="2">
        <f t="shared" si="50"/>
        <v>0</v>
      </c>
      <c r="Q227" s="2">
        <f t="shared" si="51"/>
        <v>441.900012</v>
      </c>
      <c r="S227" s="2">
        <f t="shared" si="64"/>
        <v>0</v>
      </c>
      <c r="T227" s="2">
        <f t="shared" si="52"/>
        <v>299.000022</v>
      </c>
      <c r="U227" s="2">
        <f t="shared" si="53"/>
        <v>82.599989999999991</v>
      </c>
      <c r="V227" s="2">
        <f t="shared" si="54"/>
        <v>41.5</v>
      </c>
      <c r="W227" s="2">
        <f t="shared" si="55"/>
        <v>18.8</v>
      </c>
      <c r="X227" s="2">
        <f t="shared" si="56"/>
        <v>0</v>
      </c>
      <c r="Y227" s="2">
        <f t="shared" si="57"/>
        <v>0</v>
      </c>
      <c r="Z227" s="2">
        <f t="shared" si="58"/>
        <v>0</v>
      </c>
      <c r="AA227" s="2">
        <f t="shared" si="59"/>
        <v>0</v>
      </c>
      <c r="AB227" s="2">
        <f t="shared" si="60"/>
        <v>0</v>
      </c>
      <c r="AC227" s="2">
        <f t="shared" si="61"/>
        <v>441.900012</v>
      </c>
      <c r="AD227" s="2">
        <f t="shared" si="62"/>
        <v>0</v>
      </c>
      <c r="AE227" s="2">
        <f t="shared" si="63"/>
        <v>441.900012</v>
      </c>
    </row>
    <row r="228" spans="1:31">
      <c r="A228" s="1" t="s">
        <v>19</v>
      </c>
      <c r="B228">
        <v>2</v>
      </c>
      <c r="C228" s="5">
        <v>99.999166275199997</v>
      </c>
      <c r="D228" s="5">
        <v>1.7227726891999999</v>
      </c>
      <c r="E228" s="11">
        <v>0</v>
      </c>
      <c r="F228" s="15">
        <v>69</v>
      </c>
      <c r="G228" s="15">
        <v>43.7</v>
      </c>
      <c r="H228" s="15">
        <v>43.7</v>
      </c>
      <c r="I228" s="15">
        <v>16.7</v>
      </c>
      <c r="J228" s="11">
        <v>0</v>
      </c>
      <c r="K228" s="15">
        <v>0</v>
      </c>
      <c r="L228" s="15">
        <v>0</v>
      </c>
      <c r="M228" s="15">
        <v>0</v>
      </c>
      <c r="N228" s="16">
        <v>0</v>
      </c>
      <c r="O228" s="2">
        <f t="shared" si="49"/>
        <v>173.1</v>
      </c>
      <c r="P228" s="2">
        <f t="shared" si="50"/>
        <v>0</v>
      </c>
      <c r="Q228" s="2">
        <f t="shared" si="51"/>
        <v>173.1</v>
      </c>
      <c r="S228" s="2">
        <f t="shared" si="64"/>
        <v>0</v>
      </c>
      <c r="T228" s="2">
        <f t="shared" si="52"/>
        <v>68.999424729887991</v>
      </c>
      <c r="U228" s="2">
        <f t="shared" si="53"/>
        <v>43.699635662262402</v>
      </c>
      <c r="V228" s="2">
        <f t="shared" si="54"/>
        <v>43.699635662262402</v>
      </c>
      <c r="W228" s="2">
        <f t="shared" si="55"/>
        <v>16.699860767958398</v>
      </c>
      <c r="X228" s="2">
        <f t="shared" si="56"/>
        <v>0</v>
      </c>
      <c r="Y228" s="2">
        <f t="shared" si="57"/>
        <v>0</v>
      </c>
      <c r="Z228" s="2">
        <f t="shared" si="58"/>
        <v>0</v>
      </c>
      <c r="AA228" s="2">
        <f t="shared" si="59"/>
        <v>0</v>
      </c>
      <c r="AB228" s="2">
        <f t="shared" si="60"/>
        <v>0</v>
      </c>
      <c r="AC228" s="2">
        <f t="shared" si="61"/>
        <v>173.09855682237117</v>
      </c>
      <c r="AD228" s="2">
        <f t="shared" si="62"/>
        <v>0</v>
      </c>
      <c r="AE228" s="2">
        <f t="shared" si="63"/>
        <v>173.09855682237117</v>
      </c>
    </row>
    <row r="229" spans="1:31">
      <c r="A229" s="1" t="s">
        <v>19</v>
      </c>
      <c r="B229">
        <v>3</v>
      </c>
      <c r="C229" s="5">
        <v>100</v>
      </c>
      <c r="D229" s="5">
        <v>3.0973791177400001</v>
      </c>
      <c r="E229" s="11">
        <v>0</v>
      </c>
      <c r="F229" s="15">
        <v>0</v>
      </c>
      <c r="G229" s="15">
        <v>126.9</v>
      </c>
      <c r="H229" s="15">
        <v>119</v>
      </c>
      <c r="I229" s="15">
        <v>67.600000000000009</v>
      </c>
      <c r="J229" s="11">
        <v>0</v>
      </c>
      <c r="K229" s="15">
        <v>0</v>
      </c>
      <c r="L229" s="15">
        <v>0</v>
      </c>
      <c r="M229" s="15">
        <v>0</v>
      </c>
      <c r="N229" s="16">
        <v>0</v>
      </c>
      <c r="O229" s="2">
        <f t="shared" si="49"/>
        <v>313.5</v>
      </c>
      <c r="P229" s="2">
        <f t="shared" si="50"/>
        <v>0</v>
      </c>
      <c r="Q229" s="2">
        <f t="shared" si="51"/>
        <v>313.5</v>
      </c>
      <c r="S229" s="2">
        <f t="shared" si="64"/>
        <v>0</v>
      </c>
      <c r="T229" s="2">
        <f t="shared" si="52"/>
        <v>0</v>
      </c>
      <c r="U229" s="2">
        <f t="shared" si="53"/>
        <v>126.9</v>
      </c>
      <c r="V229" s="2">
        <f t="shared" si="54"/>
        <v>119</v>
      </c>
      <c r="W229" s="2">
        <f t="shared" si="55"/>
        <v>67.600000000000009</v>
      </c>
      <c r="X229" s="2">
        <f t="shared" si="56"/>
        <v>0</v>
      </c>
      <c r="Y229" s="2">
        <f t="shared" si="57"/>
        <v>0</v>
      </c>
      <c r="Z229" s="2">
        <f t="shared" si="58"/>
        <v>0</v>
      </c>
      <c r="AA229" s="2">
        <f t="shared" si="59"/>
        <v>0</v>
      </c>
      <c r="AB229" s="2">
        <f t="shared" si="60"/>
        <v>0</v>
      </c>
      <c r="AC229" s="2">
        <f t="shared" si="61"/>
        <v>313.5</v>
      </c>
      <c r="AD229" s="2">
        <f t="shared" si="62"/>
        <v>0</v>
      </c>
      <c r="AE229" s="2">
        <f t="shared" si="63"/>
        <v>313.5</v>
      </c>
    </row>
    <row r="230" spans="1:31">
      <c r="A230" s="1" t="s">
        <v>19</v>
      </c>
      <c r="B230">
        <v>4</v>
      </c>
      <c r="C230" s="5">
        <v>100</v>
      </c>
      <c r="D230" s="5">
        <v>2.2499508005700002</v>
      </c>
      <c r="E230" s="11">
        <v>567.54319999999996</v>
      </c>
      <c r="F230" s="15">
        <v>2110.8003899999999</v>
      </c>
      <c r="G230" s="15">
        <v>497.29996499999993</v>
      </c>
      <c r="H230" s="15">
        <v>87.7</v>
      </c>
      <c r="I230" s="15">
        <v>5.4</v>
      </c>
      <c r="J230" s="11">
        <v>0</v>
      </c>
      <c r="K230" s="15">
        <v>0</v>
      </c>
      <c r="L230" s="15">
        <v>0</v>
      </c>
      <c r="M230" s="15">
        <v>0</v>
      </c>
      <c r="N230" s="16">
        <v>0</v>
      </c>
      <c r="O230" s="2">
        <f t="shared" si="49"/>
        <v>3268.7435549999996</v>
      </c>
      <c r="P230" s="2">
        <f t="shared" si="50"/>
        <v>0</v>
      </c>
      <c r="Q230" s="2">
        <f t="shared" si="51"/>
        <v>3268.7435549999996</v>
      </c>
      <c r="S230" s="2">
        <f t="shared" si="64"/>
        <v>567.54319999999996</v>
      </c>
      <c r="T230" s="2">
        <f t="shared" si="52"/>
        <v>2110.8003899999999</v>
      </c>
      <c r="U230" s="2">
        <f t="shared" si="53"/>
        <v>497.29996499999993</v>
      </c>
      <c r="V230" s="2">
        <f t="shared" si="54"/>
        <v>87.7</v>
      </c>
      <c r="W230" s="2">
        <f t="shared" si="55"/>
        <v>5.4</v>
      </c>
      <c r="X230" s="2">
        <f t="shared" si="56"/>
        <v>0</v>
      </c>
      <c r="Y230" s="2">
        <f t="shared" si="57"/>
        <v>0</v>
      </c>
      <c r="Z230" s="2">
        <f t="shared" si="58"/>
        <v>0</v>
      </c>
      <c r="AA230" s="2">
        <f t="shared" si="59"/>
        <v>0</v>
      </c>
      <c r="AB230" s="2">
        <f t="shared" si="60"/>
        <v>0</v>
      </c>
      <c r="AC230" s="2">
        <f t="shared" si="61"/>
        <v>3268.7435549999996</v>
      </c>
      <c r="AD230" s="2">
        <f t="shared" si="62"/>
        <v>0</v>
      </c>
      <c r="AE230" s="2">
        <f t="shared" si="63"/>
        <v>3268.7435549999996</v>
      </c>
    </row>
    <row r="231" spans="1:31">
      <c r="A231" s="1" t="s">
        <v>19</v>
      </c>
      <c r="B231">
        <v>5</v>
      </c>
      <c r="C231" s="5">
        <v>100</v>
      </c>
      <c r="D231" s="5">
        <v>5.13554672285</v>
      </c>
      <c r="E231" s="11">
        <v>0</v>
      </c>
      <c r="F231" s="15">
        <v>2549.10025</v>
      </c>
      <c r="G231" s="15">
        <v>550.70000000000005</v>
      </c>
      <c r="H231" s="15">
        <v>268.60000000000002</v>
      </c>
      <c r="I231" s="15">
        <v>61.4</v>
      </c>
      <c r="J231" s="11">
        <v>0</v>
      </c>
      <c r="K231" s="15">
        <v>0</v>
      </c>
      <c r="L231" s="15">
        <v>0</v>
      </c>
      <c r="M231" s="15">
        <v>0</v>
      </c>
      <c r="N231" s="16">
        <v>0</v>
      </c>
      <c r="O231" s="2">
        <f t="shared" si="49"/>
        <v>3429.8002500000002</v>
      </c>
      <c r="P231" s="2">
        <f t="shared" si="50"/>
        <v>0</v>
      </c>
      <c r="Q231" s="2">
        <f t="shared" si="51"/>
        <v>3429.8002500000002</v>
      </c>
      <c r="S231" s="2">
        <f t="shared" si="64"/>
        <v>0</v>
      </c>
      <c r="T231" s="2">
        <f t="shared" si="52"/>
        <v>2549.10025</v>
      </c>
      <c r="U231" s="2">
        <f t="shared" si="53"/>
        <v>550.70000000000005</v>
      </c>
      <c r="V231" s="2">
        <f t="shared" si="54"/>
        <v>268.60000000000002</v>
      </c>
      <c r="W231" s="2">
        <f t="shared" si="55"/>
        <v>61.4</v>
      </c>
      <c r="X231" s="2">
        <f t="shared" si="56"/>
        <v>0</v>
      </c>
      <c r="Y231" s="2">
        <f t="shared" si="57"/>
        <v>0</v>
      </c>
      <c r="Z231" s="2">
        <f t="shared" si="58"/>
        <v>0</v>
      </c>
      <c r="AA231" s="2">
        <f t="shared" si="59"/>
        <v>0</v>
      </c>
      <c r="AB231" s="2">
        <f t="shared" si="60"/>
        <v>0</v>
      </c>
      <c r="AC231" s="2">
        <f t="shared" si="61"/>
        <v>3429.8002500000002</v>
      </c>
      <c r="AD231" s="2">
        <f t="shared" si="62"/>
        <v>0</v>
      </c>
      <c r="AE231" s="2">
        <f t="shared" si="63"/>
        <v>3429.8002500000002</v>
      </c>
    </row>
    <row r="232" spans="1:31">
      <c r="A232" s="1" t="s">
        <v>19</v>
      </c>
      <c r="B232">
        <v>6</v>
      </c>
      <c r="C232" s="5">
        <v>99.999988301800002</v>
      </c>
      <c r="D232" s="5">
        <v>2.2434121307399999</v>
      </c>
      <c r="E232" s="11">
        <v>0</v>
      </c>
      <c r="F232" s="15">
        <v>16.399999999999999</v>
      </c>
      <c r="G232" s="15">
        <v>2.4</v>
      </c>
      <c r="H232" s="15">
        <v>0</v>
      </c>
      <c r="I232" s="15">
        <v>0</v>
      </c>
      <c r="J232" s="11">
        <v>0</v>
      </c>
      <c r="K232" s="15">
        <v>0</v>
      </c>
      <c r="L232" s="15">
        <v>0</v>
      </c>
      <c r="M232" s="15">
        <v>0</v>
      </c>
      <c r="N232" s="16">
        <v>0</v>
      </c>
      <c r="O232" s="2">
        <f t="shared" si="49"/>
        <v>18.799999999999997</v>
      </c>
      <c r="P232" s="2">
        <f t="shared" si="50"/>
        <v>0</v>
      </c>
      <c r="Q232" s="2">
        <f t="shared" si="51"/>
        <v>18.799999999999997</v>
      </c>
      <c r="S232" s="2">
        <f t="shared" si="64"/>
        <v>0</v>
      </c>
      <c r="T232" s="2">
        <f t="shared" si="52"/>
        <v>16.399998081495198</v>
      </c>
      <c r="U232" s="2">
        <f t="shared" si="53"/>
        <v>2.3999997192431999</v>
      </c>
      <c r="V232" s="2">
        <f t="shared" si="54"/>
        <v>0</v>
      </c>
      <c r="W232" s="2">
        <f t="shared" si="55"/>
        <v>0</v>
      </c>
      <c r="X232" s="2">
        <f t="shared" si="56"/>
        <v>0</v>
      </c>
      <c r="Y232" s="2">
        <f t="shared" si="57"/>
        <v>0</v>
      </c>
      <c r="Z232" s="2">
        <f t="shared" si="58"/>
        <v>0</v>
      </c>
      <c r="AA232" s="2">
        <f t="shared" si="59"/>
        <v>0</v>
      </c>
      <c r="AB232" s="2">
        <f t="shared" si="60"/>
        <v>0</v>
      </c>
      <c r="AC232" s="2">
        <f t="shared" si="61"/>
        <v>18.799997800738396</v>
      </c>
      <c r="AD232" s="2">
        <f t="shared" si="62"/>
        <v>0</v>
      </c>
      <c r="AE232" s="2">
        <f t="shared" si="63"/>
        <v>18.799997800738396</v>
      </c>
    </row>
    <row r="233" spans="1:31">
      <c r="A233" s="1" t="s">
        <v>19</v>
      </c>
      <c r="B233">
        <v>7</v>
      </c>
      <c r="C233" s="5">
        <v>100</v>
      </c>
      <c r="D233" s="5">
        <v>1.95985747513</v>
      </c>
      <c r="E233" s="11">
        <v>0</v>
      </c>
      <c r="F233" s="15">
        <v>187.10000000000002</v>
      </c>
      <c r="G233" s="15">
        <v>30.2</v>
      </c>
      <c r="H233" s="15">
        <v>3.8</v>
      </c>
      <c r="I233" s="15">
        <v>0</v>
      </c>
      <c r="J233" s="11">
        <v>0</v>
      </c>
      <c r="K233" s="15">
        <v>0</v>
      </c>
      <c r="L233" s="15">
        <v>0</v>
      </c>
      <c r="M233" s="15">
        <v>0</v>
      </c>
      <c r="N233" s="16">
        <v>0</v>
      </c>
      <c r="O233" s="2">
        <f t="shared" si="49"/>
        <v>221.10000000000002</v>
      </c>
      <c r="P233" s="2">
        <f t="shared" si="50"/>
        <v>0</v>
      </c>
      <c r="Q233" s="2">
        <f t="shared" si="51"/>
        <v>221.10000000000002</v>
      </c>
      <c r="S233" s="2">
        <f t="shared" si="64"/>
        <v>0</v>
      </c>
      <c r="T233" s="2">
        <f t="shared" si="52"/>
        <v>187.10000000000002</v>
      </c>
      <c r="U233" s="2">
        <f t="shared" si="53"/>
        <v>30.2</v>
      </c>
      <c r="V233" s="2">
        <f t="shared" si="54"/>
        <v>3.8</v>
      </c>
      <c r="W233" s="2">
        <f t="shared" si="55"/>
        <v>0</v>
      </c>
      <c r="X233" s="2">
        <f t="shared" si="56"/>
        <v>0</v>
      </c>
      <c r="Y233" s="2">
        <f t="shared" si="57"/>
        <v>0</v>
      </c>
      <c r="Z233" s="2">
        <f t="shared" si="58"/>
        <v>0</v>
      </c>
      <c r="AA233" s="2">
        <f t="shared" si="59"/>
        <v>0</v>
      </c>
      <c r="AB233" s="2">
        <f t="shared" si="60"/>
        <v>0</v>
      </c>
      <c r="AC233" s="2">
        <f t="shared" si="61"/>
        <v>221.10000000000002</v>
      </c>
      <c r="AD233" s="2">
        <f t="shared" si="62"/>
        <v>0</v>
      </c>
      <c r="AE233" s="2">
        <f t="shared" si="63"/>
        <v>221.10000000000002</v>
      </c>
    </row>
    <row r="234" spans="1:31">
      <c r="A234" s="1" t="s">
        <v>19</v>
      </c>
      <c r="B234">
        <v>8</v>
      </c>
      <c r="C234" s="5">
        <v>99.9999924241</v>
      </c>
      <c r="D234" s="5">
        <v>6.6370429101299999</v>
      </c>
      <c r="E234" s="11">
        <v>0</v>
      </c>
      <c r="F234" s="15">
        <v>138</v>
      </c>
      <c r="G234" s="15">
        <v>58.9</v>
      </c>
      <c r="H234" s="15">
        <v>25.9</v>
      </c>
      <c r="I234" s="15">
        <v>2.2999999999999998</v>
      </c>
      <c r="J234" s="11">
        <v>0</v>
      </c>
      <c r="K234" s="15">
        <v>0</v>
      </c>
      <c r="L234" s="15">
        <v>0</v>
      </c>
      <c r="M234" s="15">
        <v>0</v>
      </c>
      <c r="N234" s="16">
        <v>0</v>
      </c>
      <c r="O234" s="2">
        <f t="shared" si="49"/>
        <v>225.10000000000002</v>
      </c>
      <c r="P234" s="2">
        <f t="shared" si="50"/>
        <v>0</v>
      </c>
      <c r="Q234" s="2">
        <f t="shared" si="51"/>
        <v>225.10000000000002</v>
      </c>
      <c r="S234" s="2">
        <f t="shared" si="64"/>
        <v>0</v>
      </c>
      <c r="T234" s="2">
        <f t="shared" si="52"/>
        <v>137.99998954525799</v>
      </c>
      <c r="U234" s="2">
        <f t="shared" si="53"/>
        <v>58.899995537794901</v>
      </c>
      <c r="V234" s="2">
        <f t="shared" si="54"/>
        <v>25.899998037841897</v>
      </c>
      <c r="W234" s="2">
        <f t="shared" si="55"/>
        <v>2.2999998257542997</v>
      </c>
      <c r="X234" s="2">
        <f t="shared" si="56"/>
        <v>0</v>
      </c>
      <c r="Y234" s="2">
        <f t="shared" si="57"/>
        <v>0</v>
      </c>
      <c r="Z234" s="2">
        <f t="shared" si="58"/>
        <v>0</v>
      </c>
      <c r="AA234" s="2">
        <f t="shared" si="59"/>
        <v>0</v>
      </c>
      <c r="AB234" s="2">
        <f t="shared" si="60"/>
        <v>0</v>
      </c>
      <c r="AC234" s="2">
        <f t="shared" si="61"/>
        <v>225.09998294664911</v>
      </c>
      <c r="AD234" s="2">
        <f t="shared" si="62"/>
        <v>0</v>
      </c>
      <c r="AE234" s="2">
        <f t="shared" si="63"/>
        <v>225.09998294664911</v>
      </c>
    </row>
    <row r="235" spans="1:31">
      <c r="A235" s="1" t="s">
        <v>19</v>
      </c>
      <c r="B235">
        <v>9</v>
      </c>
      <c r="C235" s="5">
        <v>100</v>
      </c>
      <c r="D235" s="5">
        <v>2.2351645847400001</v>
      </c>
      <c r="E235" s="11">
        <v>0</v>
      </c>
      <c r="F235" s="15">
        <v>1540.3</v>
      </c>
      <c r="G235" s="15">
        <v>208.60000000000002</v>
      </c>
      <c r="H235" s="15">
        <v>21.6</v>
      </c>
      <c r="I235" s="15">
        <v>3.3</v>
      </c>
      <c r="J235" s="11">
        <v>0</v>
      </c>
      <c r="K235" s="15">
        <v>0</v>
      </c>
      <c r="L235" s="15">
        <v>0</v>
      </c>
      <c r="M235" s="15">
        <v>0</v>
      </c>
      <c r="N235" s="16">
        <v>0</v>
      </c>
      <c r="O235" s="2">
        <f t="shared" si="49"/>
        <v>1773.8</v>
      </c>
      <c r="P235" s="2">
        <f t="shared" si="50"/>
        <v>0</v>
      </c>
      <c r="Q235" s="2">
        <f t="shared" si="51"/>
        <v>1773.8</v>
      </c>
      <c r="S235" s="2">
        <f t="shared" si="64"/>
        <v>0</v>
      </c>
      <c r="T235" s="2">
        <f t="shared" si="52"/>
        <v>1540.3</v>
      </c>
      <c r="U235" s="2">
        <f t="shared" si="53"/>
        <v>208.60000000000002</v>
      </c>
      <c r="V235" s="2">
        <f t="shared" si="54"/>
        <v>21.6</v>
      </c>
      <c r="W235" s="2">
        <f t="shared" si="55"/>
        <v>3.3</v>
      </c>
      <c r="X235" s="2">
        <f t="shared" si="56"/>
        <v>0</v>
      </c>
      <c r="Y235" s="2">
        <f t="shared" si="57"/>
        <v>0</v>
      </c>
      <c r="Z235" s="2">
        <f t="shared" si="58"/>
        <v>0</v>
      </c>
      <c r="AA235" s="2">
        <f t="shared" si="59"/>
        <v>0</v>
      </c>
      <c r="AB235" s="2">
        <f t="shared" si="60"/>
        <v>0</v>
      </c>
      <c r="AC235" s="2">
        <f t="shared" si="61"/>
        <v>1773.8</v>
      </c>
      <c r="AD235" s="2">
        <f t="shared" si="62"/>
        <v>0</v>
      </c>
      <c r="AE235" s="2">
        <f t="shared" si="63"/>
        <v>1773.8</v>
      </c>
    </row>
    <row r="236" spans="1:31">
      <c r="A236" s="1" t="s">
        <v>19</v>
      </c>
      <c r="B236">
        <v>10</v>
      </c>
      <c r="C236" s="5">
        <v>100</v>
      </c>
      <c r="D236" s="5">
        <v>1.1013322325199999</v>
      </c>
      <c r="E236" s="11">
        <v>0</v>
      </c>
      <c r="F236" s="15">
        <v>372.78111999999999</v>
      </c>
      <c r="G236" s="15">
        <v>156.70001000000002</v>
      </c>
      <c r="H236" s="15">
        <v>87.4</v>
      </c>
      <c r="I236" s="15">
        <v>14.6</v>
      </c>
      <c r="J236" s="11">
        <v>0</v>
      </c>
      <c r="K236" s="15">
        <v>0</v>
      </c>
      <c r="L236" s="15">
        <v>0</v>
      </c>
      <c r="M236" s="15">
        <v>0</v>
      </c>
      <c r="N236" s="16">
        <v>0</v>
      </c>
      <c r="O236" s="2">
        <f t="shared" si="49"/>
        <v>631.48113000000001</v>
      </c>
      <c r="P236" s="2">
        <f t="shared" si="50"/>
        <v>0</v>
      </c>
      <c r="Q236" s="2">
        <f t="shared" si="51"/>
        <v>631.48113000000001</v>
      </c>
      <c r="S236" s="2">
        <f t="shared" si="64"/>
        <v>0</v>
      </c>
      <c r="T236" s="2">
        <f t="shared" si="52"/>
        <v>372.78111999999999</v>
      </c>
      <c r="U236" s="2">
        <f t="shared" si="53"/>
        <v>156.70001000000002</v>
      </c>
      <c r="V236" s="2">
        <f t="shared" si="54"/>
        <v>87.4</v>
      </c>
      <c r="W236" s="2">
        <f t="shared" si="55"/>
        <v>14.6</v>
      </c>
      <c r="X236" s="2">
        <f t="shared" si="56"/>
        <v>0</v>
      </c>
      <c r="Y236" s="2">
        <f t="shared" si="57"/>
        <v>0</v>
      </c>
      <c r="Z236" s="2">
        <f t="shared" si="58"/>
        <v>0</v>
      </c>
      <c r="AA236" s="2">
        <f t="shared" si="59"/>
        <v>0</v>
      </c>
      <c r="AB236" s="2">
        <f t="shared" si="60"/>
        <v>0</v>
      </c>
      <c r="AC236" s="2">
        <f t="shared" si="61"/>
        <v>631.48113000000001</v>
      </c>
      <c r="AD236" s="2">
        <f t="shared" si="62"/>
        <v>0</v>
      </c>
      <c r="AE236" s="2">
        <f t="shared" si="63"/>
        <v>631.48113000000001</v>
      </c>
    </row>
    <row r="237" spans="1:31">
      <c r="A237" s="1" t="s">
        <v>19</v>
      </c>
      <c r="B237">
        <v>11</v>
      </c>
      <c r="C237" s="5">
        <v>100</v>
      </c>
      <c r="D237" s="5">
        <v>0.503497068725</v>
      </c>
      <c r="E237" s="11">
        <v>0</v>
      </c>
      <c r="F237" s="15">
        <v>0</v>
      </c>
      <c r="G237" s="15">
        <v>0</v>
      </c>
      <c r="H237" s="15">
        <v>0</v>
      </c>
      <c r="I237" s="15">
        <v>0</v>
      </c>
      <c r="J237" s="11">
        <v>0</v>
      </c>
      <c r="K237" s="15">
        <v>0</v>
      </c>
      <c r="L237" s="15">
        <v>0</v>
      </c>
      <c r="M237" s="15">
        <v>0</v>
      </c>
      <c r="N237" s="16">
        <v>0</v>
      </c>
      <c r="O237" s="2">
        <f t="shared" si="49"/>
        <v>0</v>
      </c>
      <c r="P237" s="2">
        <f t="shared" si="50"/>
        <v>0</v>
      </c>
      <c r="Q237" s="2">
        <f t="shared" si="51"/>
        <v>0</v>
      </c>
      <c r="S237" s="2">
        <f t="shared" si="64"/>
        <v>0</v>
      </c>
      <c r="T237" s="2">
        <f t="shared" si="52"/>
        <v>0</v>
      </c>
      <c r="U237" s="2">
        <f t="shared" si="53"/>
        <v>0</v>
      </c>
      <c r="V237" s="2">
        <f t="shared" si="54"/>
        <v>0</v>
      </c>
      <c r="W237" s="2">
        <f t="shared" si="55"/>
        <v>0</v>
      </c>
      <c r="X237" s="2">
        <f t="shared" si="56"/>
        <v>0</v>
      </c>
      <c r="Y237" s="2">
        <f t="shared" si="57"/>
        <v>0</v>
      </c>
      <c r="Z237" s="2">
        <f t="shared" si="58"/>
        <v>0</v>
      </c>
      <c r="AA237" s="2">
        <f t="shared" si="59"/>
        <v>0</v>
      </c>
      <c r="AB237" s="2">
        <f t="shared" si="60"/>
        <v>0</v>
      </c>
      <c r="AC237" s="2">
        <f t="shared" si="61"/>
        <v>0</v>
      </c>
      <c r="AD237" s="2">
        <f t="shared" si="62"/>
        <v>0</v>
      </c>
      <c r="AE237" s="2">
        <f t="shared" si="63"/>
        <v>0</v>
      </c>
    </row>
    <row r="238" spans="1:31">
      <c r="A238" s="1" t="s">
        <v>19</v>
      </c>
      <c r="B238">
        <v>12</v>
      </c>
      <c r="C238" s="5">
        <v>100</v>
      </c>
      <c r="D238" s="5">
        <v>1.60190494452</v>
      </c>
      <c r="E238" s="11">
        <v>0</v>
      </c>
      <c r="F238" s="15">
        <v>136.19999999999999</v>
      </c>
      <c r="G238" s="15">
        <v>39.799999999999997</v>
      </c>
      <c r="H238" s="15">
        <v>26.2</v>
      </c>
      <c r="I238" s="15">
        <v>8.6999999999999993</v>
      </c>
      <c r="J238" s="11">
        <v>0</v>
      </c>
      <c r="K238" s="15">
        <v>0</v>
      </c>
      <c r="L238" s="15">
        <v>0</v>
      </c>
      <c r="M238" s="15">
        <v>0</v>
      </c>
      <c r="N238" s="16">
        <v>0</v>
      </c>
      <c r="O238" s="2">
        <f t="shared" si="49"/>
        <v>210.89999999999998</v>
      </c>
      <c r="P238" s="2">
        <f t="shared" si="50"/>
        <v>0</v>
      </c>
      <c r="Q238" s="2">
        <f t="shared" si="51"/>
        <v>210.89999999999998</v>
      </c>
      <c r="S238" s="2">
        <f t="shared" si="64"/>
        <v>0</v>
      </c>
      <c r="T238" s="2">
        <f t="shared" si="52"/>
        <v>136.19999999999999</v>
      </c>
      <c r="U238" s="2">
        <f t="shared" si="53"/>
        <v>39.799999999999997</v>
      </c>
      <c r="V238" s="2">
        <f t="shared" si="54"/>
        <v>26.2</v>
      </c>
      <c r="W238" s="2">
        <f t="shared" si="55"/>
        <v>8.6999999999999993</v>
      </c>
      <c r="X238" s="2">
        <f t="shared" si="56"/>
        <v>0</v>
      </c>
      <c r="Y238" s="2">
        <f t="shared" si="57"/>
        <v>0</v>
      </c>
      <c r="Z238" s="2">
        <f t="shared" si="58"/>
        <v>0</v>
      </c>
      <c r="AA238" s="2">
        <f t="shared" si="59"/>
        <v>0</v>
      </c>
      <c r="AB238" s="2">
        <f t="shared" si="60"/>
        <v>0</v>
      </c>
      <c r="AC238" s="2">
        <f t="shared" si="61"/>
        <v>210.89999999999998</v>
      </c>
      <c r="AD238" s="2">
        <f t="shared" si="62"/>
        <v>0</v>
      </c>
      <c r="AE238" s="2">
        <f t="shared" si="63"/>
        <v>210.89999999999998</v>
      </c>
    </row>
    <row r="239" spans="1:31">
      <c r="A239" s="1" t="s">
        <v>19</v>
      </c>
      <c r="B239">
        <v>13</v>
      </c>
      <c r="C239" s="5">
        <v>100</v>
      </c>
      <c r="D239" s="5">
        <v>3.9431059413499998</v>
      </c>
      <c r="E239" s="11">
        <v>0</v>
      </c>
      <c r="F239" s="15">
        <v>296.7</v>
      </c>
      <c r="G239" s="15">
        <v>132</v>
      </c>
      <c r="H239" s="15">
        <v>69</v>
      </c>
      <c r="I239" s="15">
        <v>5.9</v>
      </c>
      <c r="J239" s="11">
        <v>0</v>
      </c>
      <c r="K239" s="15">
        <v>0</v>
      </c>
      <c r="L239" s="15">
        <v>0</v>
      </c>
      <c r="M239" s="15">
        <v>0</v>
      </c>
      <c r="N239" s="16">
        <v>0</v>
      </c>
      <c r="O239" s="2">
        <f t="shared" si="49"/>
        <v>503.59999999999997</v>
      </c>
      <c r="P239" s="2">
        <f t="shared" si="50"/>
        <v>0</v>
      </c>
      <c r="Q239" s="2">
        <f t="shared" si="51"/>
        <v>503.59999999999997</v>
      </c>
      <c r="S239" s="2">
        <f t="shared" si="64"/>
        <v>0</v>
      </c>
      <c r="T239" s="2">
        <f t="shared" si="52"/>
        <v>296.7</v>
      </c>
      <c r="U239" s="2">
        <f t="shared" si="53"/>
        <v>132</v>
      </c>
      <c r="V239" s="2">
        <f t="shared" si="54"/>
        <v>69</v>
      </c>
      <c r="W239" s="2">
        <f t="shared" si="55"/>
        <v>5.9</v>
      </c>
      <c r="X239" s="2">
        <f t="shared" si="56"/>
        <v>0</v>
      </c>
      <c r="Y239" s="2">
        <f t="shared" si="57"/>
        <v>0</v>
      </c>
      <c r="Z239" s="2">
        <f t="shared" si="58"/>
        <v>0</v>
      </c>
      <c r="AA239" s="2">
        <f t="shared" si="59"/>
        <v>0</v>
      </c>
      <c r="AB239" s="2">
        <f t="shared" si="60"/>
        <v>0</v>
      </c>
      <c r="AC239" s="2">
        <f t="shared" si="61"/>
        <v>503.6</v>
      </c>
      <c r="AD239" s="2">
        <f t="shared" si="62"/>
        <v>0</v>
      </c>
      <c r="AE239" s="2">
        <f t="shared" si="63"/>
        <v>503.6</v>
      </c>
    </row>
    <row r="240" spans="1:31">
      <c r="A240" s="1" t="s">
        <v>19</v>
      </c>
      <c r="B240">
        <v>14</v>
      </c>
      <c r="C240" s="5">
        <v>100</v>
      </c>
      <c r="D240" s="5">
        <v>2.0634759860299998</v>
      </c>
      <c r="E240" s="11">
        <v>0</v>
      </c>
      <c r="F240" s="15">
        <v>630.00006000000008</v>
      </c>
      <c r="G240" s="15">
        <v>301.3</v>
      </c>
      <c r="H240" s="15">
        <v>194.49999999999997</v>
      </c>
      <c r="I240" s="15">
        <v>39</v>
      </c>
      <c r="J240" s="11">
        <v>0</v>
      </c>
      <c r="K240" s="15">
        <v>0</v>
      </c>
      <c r="L240" s="15">
        <v>0</v>
      </c>
      <c r="M240" s="15">
        <v>0</v>
      </c>
      <c r="N240" s="16">
        <v>72.289789999999996</v>
      </c>
      <c r="O240" s="2">
        <f t="shared" si="49"/>
        <v>1164.80006</v>
      </c>
      <c r="P240" s="2">
        <f t="shared" si="50"/>
        <v>72.289789999999996</v>
      </c>
      <c r="Q240" s="2">
        <f t="shared" si="51"/>
        <v>1237.0898500000001</v>
      </c>
      <c r="S240" s="2">
        <f t="shared" si="64"/>
        <v>0</v>
      </c>
      <c r="T240" s="2">
        <f t="shared" si="52"/>
        <v>630.00006000000008</v>
      </c>
      <c r="U240" s="2">
        <f t="shared" si="53"/>
        <v>301.3</v>
      </c>
      <c r="V240" s="2">
        <f t="shared" si="54"/>
        <v>194.49999999999997</v>
      </c>
      <c r="W240" s="2">
        <f t="shared" si="55"/>
        <v>39</v>
      </c>
      <c r="X240" s="2">
        <f t="shared" si="56"/>
        <v>0</v>
      </c>
      <c r="Y240" s="2">
        <f t="shared" si="57"/>
        <v>0</v>
      </c>
      <c r="Z240" s="2">
        <f t="shared" si="58"/>
        <v>0</v>
      </c>
      <c r="AA240" s="2">
        <f t="shared" si="59"/>
        <v>0</v>
      </c>
      <c r="AB240" s="2">
        <f t="shared" si="60"/>
        <v>72.289789999999996</v>
      </c>
      <c r="AC240" s="2">
        <f t="shared" si="61"/>
        <v>1164.80006</v>
      </c>
      <c r="AD240" s="2">
        <f t="shared" si="62"/>
        <v>72.289789999999996</v>
      </c>
      <c r="AE240" s="2">
        <f t="shared" si="63"/>
        <v>1237.0898500000001</v>
      </c>
    </row>
    <row r="241" spans="1:31">
      <c r="A241" s="1" t="s">
        <v>19</v>
      </c>
      <c r="B241">
        <v>15</v>
      </c>
      <c r="C241" s="5">
        <v>100</v>
      </c>
      <c r="D241" s="5">
        <v>5.9165685580499998</v>
      </c>
      <c r="E241" s="11">
        <v>168.893</v>
      </c>
      <c r="F241" s="15">
        <v>252.1</v>
      </c>
      <c r="G241" s="15">
        <v>82.8</v>
      </c>
      <c r="H241" s="15">
        <v>41.9</v>
      </c>
      <c r="I241" s="15">
        <v>11.2</v>
      </c>
      <c r="J241" s="11">
        <v>0</v>
      </c>
      <c r="K241" s="15">
        <v>0</v>
      </c>
      <c r="L241" s="15">
        <v>0</v>
      </c>
      <c r="M241" s="15">
        <v>0</v>
      </c>
      <c r="N241" s="16">
        <v>0</v>
      </c>
      <c r="O241" s="2">
        <f t="shared" si="49"/>
        <v>556.89300000000003</v>
      </c>
      <c r="P241" s="2">
        <f t="shared" si="50"/>
        <v>0</v>
      </c>
      <c r="Q241" s="2">
        <f t="shared" si="51"/>
        <v>556.89300000000003</v>
      </c>
      <c r="S241" s="2">
        <f t="shared" si="64"/>
        <v>168.893</v>
      </c>
      <c r="T241" s="2">
        <f t="shared" si="52"/>
        <v>252.1</v>
      </c>
      <c r="U241" s="2">
        <f t="shared" si="53"/>
        <v>82.8</v>
      </c>
      <c r="V241" s="2">
        <f t="shared" si="54"/>
        <v>41.9</v>
      </c>
      <c r="W241" s="2">
        <f t="shared" si="55"/>
        <v>11.2</v>
      </c>
      <c r="X241" s="2">
        <f t="shared" si="56"/>
        <v>0</v>
      </c>
      <c r="Y241" s="2">
        <f t="shared" si="57"/>
        <v>0</v>
      </c>
      <c r="Z241" s="2">
        <f t="shared" si="58"/>
        <v>0</v>
      </c>
      <c r="AA241" s="2">
        <f t="shared" si="59"/>
        <v>0</v>
      </c>
      <c r="AB241" s="2">
        <f t="shared" si="60"/>
        <v>0</v>
      </c>
      <c r="AC241" s="2">
        <f t="shared" si="61"/>
        <v>556.89300000000003</v>
      </c>
      <c r="AD241" s="2">
        <f t="shared" si="62"/>
        <v>0</v>
      </c>
      <c r="AE241" s="2">
        <f t="shared" si="63"/>
        <v>556.89300000000003</v>
      </c>
    </row>
    <row r="242" spans="1:31">
      <c r="A242" s="1" t="s">
        <v>19</v>
      </c>
      <c r="B242">
        <v>16</v>
      </c>
      <c r="C242" s="5">
        <v>100</v>
      </c>
      <c r="D242" s="5">
        <v>6.5271651788399998</v>
      </c>
      <c r="E242" s="11">
        <v>0</v>
      </c>
      <c r="F242" s="15">
        <v>2187.1970099999999</v>
      </c>
      <c r="G242" s="15">
        <v>467.86605999999995</v>
      </c>
      <c r="H242" s="15">
        <v>159.69999999999999</v>
      </c>
      <c r="I242" s="15">
        <v>24.2</v>
      </c>
      <c r="J242" s="11">
        <v>0</v>
      </c>
      <c r="K242" s="15">
        <v>0</v>
      </c>
      <c r="L242" s="15">
        <v>0</v>
      </c>
      <c r="M242" s="15">
        <v>0</v>
      </c>
      <c r="N242" s="16">
        <v>0</v>
      </c>
      <c r="O242" s="2">
        <f t="shared" si="49"/>
        <v>2838.9630699999993</v>
      </c>
      <c r="P242" s="2">
        <f t="shared" si="50"/>
        <v>0</v>
      </c>
      <c r="Q242" s="2">
        <f t="shared" si="51"/>
        <v>2838.9630699999993</v>
      </c>
      <c r="S242" s="2">
        <f t="shared" si="64"/>
        <v>0</v>
      </c>
      <c r="T242" s="2">
        <f t="shared" si="52"/>
        <v>2187.1970099999999</v>
      </c>
      <c r="U242" s="2">
        <f t="shared" si="53"/>
        <v>467.86605999999995</v>
      </c>
      <c r="V242" s="2">
        <f t="shared" si="54"/>
        <v>159.69999999999999</v>
      </c>
      <c r="W242" s="2">
        <f t="shared" si="55"/>
        <v>24.2</v>
      </c>
      <c r="X242" s="2">
        <f t="shared" si="56"/>
        <v>0</v>
      </c>
      <c r="Y242" s="2">
        <f t="shared" si="57"/>
        <v>0</v>
      </c>
      <c r="Z242" s="2">
        <f t="shared" si="58"/>
        <v>0</v>
      </c>
      <c r="AA242" s="2">
        <f t="shared" si="59"/>
        <v>0</v>
      </c>
      <c r="AB242" s="2">
        <f t="shared" si="60"/>
        <v>0</v>
      </c>
      <c r="AC242" s="2">
        <f t="shared" si="61"/>
        <v>2838.9630699999993</v>
      </c>
      <c r="AD242" s="2">
        <f t="shared" si="62"/>
        <v>0</v>
      </c>
      <c r="AE242" s="2">
        <f t="shared" si="63"/>
        <v>2838.9630699999993</v>
      </c>
    </row>
    <row r="243" spans="1:31">
      <c r="A243" s="1" t="s">
        <v>19</v>
      </c>
      <c r="B243">
        <v>17</v>
      </c>
      <c r="C243" s="5">
        <v>100</v>
      </c>
      <c r="D243" s="5">
        <v>5.9464166599599997</v>
      </c>
      <c r="E243" s="11">
        <v>0</v>
      </c>
      <c r="F243" s="15">
        <v>36.12753</v>
      </c>
      <c r="G243" s="15">
        <v>46.4</v>
      </c>
      <c r="H243" s="15">
        <v>27.2</v>
      </c>
      <c r="I243" s="15">
        <v>6.6</v>
      </c>
      <c r="J243" s="11">
        <v>0</v>
      </c>
      <c r="K243" s="15">
        <v>0</v>
      </c>
      <c r="L243" s="15">
        <v>0</v>
      </c>
      <c r="M243" s="15">
        <v>0</v>
      </c>
      <c r="N243" s="16">
        <v>0</v>
      </c>
      <c r="O243" s="2">
        <f t="shared" si="49"/>
        <v>116.32753</v>
      </c>
      <c r="P243" s="2">
        <f t="shared" si="50"/>
        <v>0</v>
      </c>
      <c r="Q243" s="2">
        <f t="shared" si="51"/>
        <v>116.32753</v>
      </c>
      <c r="S243" s="2">
        <f t="shared" si="64"/>
        <v>0</v>
      </c>
      <c r="T243" s="2">
        <f t="shared" si="52"/>
        <v>36.12753</v>
      </c>
      <c r="U243" s="2">
        <f t="shared" si="53"/>
        <v>46.4</v>
      </c>
      <c r="V243" s="2">
        <f t="shared" si="54"/>
        <v>27.2</v>
      </c>
      <c r="W243" s="2">
        <f t="shared" si="55"/>
        <v>6.6</v>
      </c>
      <c r="X243" s="2">
        <f t="shared" si="56"/>
        <v>0</v>
      </c>
      <c r="Y243" s="2">
        <f t="shared" si="57"/>
        <v>0</v>
      </c>
      <c r="Z243" s="2">
        <f t="shared" si="58"/>
        <v>0</v>
      </c>
      <c r="AA243" s="2">
        <f t="shared" si="59"/>
        <v>0</v>
      </c>
      <c r="AB243" s="2">
        <f t="shared" si="60"/>
        <v>0</v>
      </c>
      <c r="AC243" s="2">
        <f t="shared" si="61"/>
        <v>116.32752999999998</v>
      </c>
      <c r="AD243" s="2">
        <f t="shared" si="62"/>
        <v>0</v>
      </c>
      <c r="AE243" s="2">
        <f t="shared" si="63"/>
        <v>116.32752999999998</v>
      </c>
    </row>
    <row r="244" spans="1:31">
      <c r="A244" s="1" t="s">
        <v>19</v>
      </c>
      <c r="B244">
        <v>18</v>
      </c>
      <c r="C244" s="5">
        <v>99.999994292099998</v>
      </c>
      <c r="D244" s="5">
        <v>7.8501235127299998</v>
      </c>
      <c r="E244" s="11">
        <v>0</v>
      </c>
      <c r="F244" s="15">
        <v>715.02206699999999</v>
      </c>
      <c r="G244" s="15">
        <v>174.760684</v>
      </c>
      <c r="H244" s="15">
        <v>106.9</v>
      </c>
      <c r="I244" s="15">
        <v>20</v>
      </c>
      <c r="J244" s="11">
        <v>0</v>
      </c>
      <c r="K244" s="15">
        <v>0</v>
      </c>
      <c r="L244" s="15">
        <v>0</v>
      </c>
      <c r="M244" s="15">
        <v>0</v>
      </c>
      <c r="N244" s="16">
        <v>0</v>
      </c>
      <c r="O244" s="2">
        <f t="shared" si="49"/>
        <v>1016.6827509999999</v>
      </c>
      <c r="P244" s="2">
        <f t="shared" si="50"/>
        <v>0</v>
      </c>
      <c r="Q244" s="2">
        <f t="shared" si="51"/>
        <v>1016.6827509999999</v>
      </c>
      <c r="S244" s="2">
        <f t="shared" si="64"/>
        <v>0</v>
      </c>
      <c r="T244" s="2">
        <f t="shared" si="52"/>
        <v>715.02202618725539</v>
      </c>
      <c r="U244" s="2">
        <f t="shared" si="53"/>
        <v>174.76067402483491</v>
      </c>
      <c r="V244" s="2">
        <f t="shared" si="54"/>
        <v>106.89999389825491</v>
      </c>
      <c r="W244" s="2">
        <f t="shared" si="55"/>
        <v>19.99999885842</v>
      </c>
      <c r="X244" s="2">
        <f t="shared" si="56"/>
        <v>0</v>
      </c>
      <c r="Y244" s="2">
        <f t="shared" si="57"/>
        <v>0</v>
      </c>
      <c r="Z244" s="2">
        <f t="shared" si="58"/>
        <v>0</v>
      </c>
      <c r="AA244" s="2">
        <f t="shared" si="59"/>
        <v>0</v>
      </c>
      <c r="AB244" s="2">
        <f t="shared" si="60"/>
        <v>0</v>
      </c>
      <c r="AC244" s="2">
        <f t="shared" si="61"/>
        <v>1016.6826929687652</v>
      </c>
      <c r="AD244" s="2">
        <f t="shared" si="62"/>
        <v>0</v>
      </c>
      <c r="AE244" s="2">
        <f t="shared" si="63"/>
        <v>1016.6826929687652</v>
      </c>
    </row>
    <row r="245" spans="1:31">
      <c r="A245" s="1" t="s">
        <v>19</v>
      </c>
      <c r="B245">
        <v>19</v>
      </c>
      <c r="C245" s="5">
        <v>99.999615980000002</v>
      </c>
      <c r="D245" s="5">
        <v>5.4987742377700002</v>
      </c>
      <c r="E245" s="11">
        <v>0</v>
      </c>
      <c r="F245" s="15">
        <v>765.49998900000003</v>
      </c>
      <c r="G245" s="15">
        <v>87.2</v>
      </c>
      <c r="H245" s="15">
        <v>22.8</v>
      </c>
      <c r="I245" s="15">
        <v>3.2</v>
      </c>
      <c r="J245" s="11">
        <v>0</v>
      </c>
      <c r="K245" s="15">
        <v>0</v>
      </c>
      <c r="L245" s="15">
        <v>0</v>
      </c>
      <c r="M245" s="15">
        <v>0</v>
      </c>
      <c r="N245" s="16">
        <v>0</v>
      </c>
      <c r="O245" s="2">
        <f t="shared" si="49"/>
        <v>878.69998900000007</v>
      </c>
      <c r="P245" s="2">
        <f t="shared" si="50"/>
        <v>0</v>
      </c>
      <c r="Q245" s="2">
        <f t="shared" si="51"/>
        <v>878.69998900000007</v>
      </c>
      <c r="S245" s="2">
        <f t="shared" si="64"/>
        <v>0</v>
      </c>
      <c r="T245" s="2">
        <f t="shared" si="52"/>
        <v>765.49704932694226</v>
      </c>
      <c r="U245" s="2">
        <f t="shared" si="53"/>
        <v>87.199665134560007</v>
      </c>
      <c r="V245" s="2">
        <f t="shared" si="54"/>
        <v>22.799912443440004</v>
      </c>
      <c r="W245" s="2">
        <f t="shared" si="55"/>
        <v>3.1999877113600004</v>
      </c>
      <c r="X245" s="2">
        <f t="shared" si="56"/>
        <v>0</v>
      </c>
      <c r="Y245" s="2">
        <f t="shared" si="57"/>
        <v>0</v>
      </c>
      <c r="Z245" s="2">
        <f t="shared" si="58"/>
        <v>0</v>
      </c>
      <c r="AA245" s="2">
        <f t="shared" si="59"/>
        <v>0</v>
      </c>
      <c r="AB245" s="2">
        <f t="shared" si="60"/>
        <v>0</v>
      </c>
      <c r="AC245" s="2">
        <f t="shared" si="61"/>
        <v>878.69661461630244</v>
      </c>
      <c r="AD245" s="2">
        <f t="shared" si="62"/>
        <v>0</v>
      </c>
      <c r="AE245" s="2">
        <f t="shared" si="63"/>
        <v>878.69661461630244</v>
      </c>
    </row>
    <row r="246" spans="1:31">
      <c r="A246" s="1" t="s">
        <v>19</v>
      </c>
      <c r="B246">
        <v>20</v>
      </c>
      <c r="C246" s="5">
        <v>5.5950510535499998</v>
      </c>
      <c r="D246" s="5">
        <v>0.42849745894199998</v>
      </c>
      <c r="E246" s="11">
        <v>0</v>
      </c>
      <c r="F246" s="15">
        <v>423.60003</v>
      </c>
      <c r="G246" s="15">
        <v>160.60000000000002</v>
      </c>
      <c r="H246" s="15">
        <v>123.19999999999999</v>
      </c>
      <c r="I246" s="15">
        <v>52.699996999999996</v>
      </c>
      <c r="J246" s="11">
        <v>0</v>
      </c>
      <c r="K246" s="15">
        <v>0</v>
      </c>
      <c r="L246" s="15">
        <v>0</v>
      </c>
      <c r="M246" s="15">
        <v>0</v>
      </c>
      <c r="N246" s="16">
        <v>7</v>
      </c>
      <c r="O246" s="2">
        <f t="shared" si="49"/>
        <v>760.10002699999995</v>
      </c>
      <c r="P246" s="2">
        <f t="shared" si="50"/>
        <v>7</v>
      </c>
      <c r="Q246" s="2">
        <f t="shared" si="51"/>
        <v>767.10002699999995</v>
      </c>
      <c r="S246" s="2">
        <f t="shared" si="64"/>
        <v>0</v>
      </c>
      <c r="T246" s="2">
        <f t="shared" si="52"/>
        <v>23.700637941353115</v>
      </c>
      <c r="U246" s="2">
        <f t="shared" si="53"/>
        <v>8.9856519920013014</v>
      </c>
      <c r="V246" s="2">
        <f t="shared" si="54"/>
        <v>6.8931028979735993</v>
      </c>
      <c r="W246" s="2">
        <f t="shared" si="55"/>
        <v>2.948591737369318</v>
      </c>
      <c r="X246" s="2">
        <f t="shared" si="56"/>
        <v>0</v>
      </c>
      <c r="Y246" s="2">
        <f t="shared" si="57"/>
        <v>0</v>
      </c>
      <c r="Z246" s="2">
        <f t="shared" si="58"/>
        <v>0</v>
      </c>
      <c r="AA246" s="2">
        <f t="shared" si="59"/>
        <v>0</v>
      </c>
      <c r="AB246" s="2">
        <f t="shared" si="60"/>
        <v>0.39165357374849996</v>
      </c>
      <c r="AC246" s="2">
        <f t="shared" si="61"/>
        <v>42.527984568697327</v>
      </c>
      <c r="AD246" s="2">
        <f t="shared" si="62"/>
        <v>0.39165357374849996</v>
      </c>
      <c r="AE246" s="2">
        <f t="shared" si="63"/>
        <v>42.919638142445827</v>
      </c>
    </row>
    <row r="247" spans="1:31">
      <c r="A247" s="1" t="s">
        <v>19</v>
      </c>
      <c r="B247">
        <v>21</v>
      </c>
      <c r="C247" s="5">
        <v>69.089417611100004</v>
      </c>
      <c r="D247" s="5">
        <v>4.4565400283700001</v>
      </c>
      <c r="E247" s="11">
        <v>0</v>
      </c>
      <c r="F247" s="15">
        <v>430.10001</v>
      </c>
      <c r="G247" s="15">
        <v>66.95187</v>
      </c>
      <c r="H247" s="15">
        <v>78</v>
      </c>
      <c r="I247" s="15">
        <v>27.900000000000002</v>
      </c>
      <c r="J247" s="11">
        <v>0</v>
      </c>
      <c r="K247" s="15">
        <v>0</v>
      </c>
      <c r="L247" s="15">
        <v>0</v>
      </c>
      <c r="M247" s="15">
        <v>0</v>
      </c>
      <c r="N247" s="16">
        <v>0</v>
      </c>
      <c r="O247" s="2">
        <f t="shared" si="49"/>
        <v>602.95187999999996</v>
      </c>
      <c r="P247" s="2">
        <f t="shared" si="50"/>
        <v>0</v>
      </c>
      <c r="Q247" s="2">
        <f t="shared" si="51"/>
        <v>602.95187999999996</v>
      </c>
      <c r="S247" s="2">
        <f t="shared" si="64"/>
        <v>0</v>
      </c>
      <c r="T247" s="2">
        <f t="shared" si="52"/>
        <v>297.15359205428291</v>
      </c>
      <c r="U247" s="2">
        <f t="shared" si="53"/>
        <v>46.256657062740778</v>
      </c>
      <c r="V247" s="2">
        <f t="shared" si="54"/>
        <v>53.889745736658007</v>
      </c>
      <c r="W247" s="2">
        <f t="shared" si="55"/>
        <v>19.275947513496902</v>
      </c>
      <c r="X247" s="2">
        <f t="shared" si="56"/>
        <v>0</v>
      </c>
      <c r="Y247" s="2">
        <f t="shared" si="57"/>
        <v>0</v>
      </c>
      <c r="Z247" s="2">
        <f t="shared" si="58"/>
        <v>0</v>
      </c>
      <c r="AA247" s="2">
        <f t="shared" si="59"/>
        <v>0</v>
      </c>
      <c r="AB247" s="2">
        <f t="shared" si="60"/>
        <v>0</v>
      </c>
      <c r="AC247" s="2">
        <f t="shared" si="61"/>
        <v>416.57594236717853</v>
      </c>
      <c r="AD247" s="2">
        <f t="shared" si="62"/>
        <v>0</v>
      </c>
      <c r="AE247" s="2">
        <f t="shared" si="63"/>
        <v>416.57594236717853</v>
      </c>
    </row>
    <row r="248" spans="1:31">
      <c r="A248" s="1" t="s">
        <v>19</v>
      </c>
      <c r="B248">
        <v>41</v>
      </c>
      <c r="C248" s="5">
        <v>99.998572530999994</v>
      </c>
      <c r="D248" s="5">
        <v>3.25624838361</v>
      </c>
      <c r="E248" s="11">
        <v>0</v>
      </c>
      <c r="F248" s="15">
        <v>0</v>
      </c>
      <c r="G248" s="15">
        <v>106.2</v>
      </c>
      <c r="H248" s="15">
        <v>95.1</v>
      </c>
      <c r="I248" s="15">
        <v>41</v>
      </c>
      <c r="J248" s="11">
        <v>0</v>
      </c>
      <c r="K248" s="15">
        <v>0</v>
      </c>
      <c r="L248" s="15">
        <v>0</v>
      </c>
      <c r="M248" s="15">
        <v>0</v>
      </c>
      <c r="N248" s="16">
        <v>0</v>
      </c>
      <c r="O248" s="2">
        <f t="shared" si="49"/>
        <v>242.3</v>
      </c>
      <c r="P248" s="2">
        <f t="shared" si="50"/>
        <v>0</v>
      </c>
      <c r="Q248" s="2">
        <f t="shared" si="51"/>
        <v>242.3</v>
      </c>
      <c r="S248" s="2">
        <f t="shared" si="64"/>
        <v>0</v>
      </c>
      <c r="T248" s="2">
        <f t="shared" si="52"/>
        <v>0</v>
      </c>
      <c r="U248" s="2">
        <f t="shared" si="53"/>
        <v>106.19848402792201</v>
      </c>
      <c r="V248" s="2">
        <f t="shared" si="54"/>
        <v>95.098642476980984</v>
      </c>
      <c r="W248" s="2">
        <f t="shared" si="55"/>
        <v>40.999414737709998</v>
      </c>
      <c r="X248" s="2">
        <f t="shared" si="56"/>
        <v>0</v>
      </c>
      <c r="Y248" s="2">
        <f t="shared" si="57"/>
        <v>0</v>
      </c>
      <c r="Z248" s="2">
        <f t="shared" si="58"/>
        <v>0</v>
      </c>
      <c r="AA248" s="2">
        <f t="shared" si="59"/>
        <v>0</v>
      </c>
      <c r="AB248" s="2">
        <f t="shared" si="60"/>
        <v>0</v>
      </c>
      <c r="AC248" s="2">
        <f t="shared" si="61"/>
        <v>242.29654124261299</v>
      </c>
      <c r="AD248" s="2">
        <f t="shared" si="62"/>
        <v>0</v>
      </c>
      <c r="AE248" s="2">
        <f t="shared" si="63"/>
        <v>242.29654124261299</v>
      </c>
    </row>
    <row r="249" spans="1:31">
      <c r="A249" s="1" t="s">
        <v>19</v>
      </c>
      <c r="B249">
        <v>42</v>
      </c>
      <c r="C249" s="5">
        <v>99.999758400999994</v>
      </c>
      <c r="D249" s="5">
        <v>9.7513881793300001</v>
      </c>
      <c r="E249" s="11">
        <v>0</v>
      </c>
      <c r="F249" s="15">
        <v>29.89227</v>
      </c>
      <c r="G249" s="15">
        <v>78.300000999999995</v>
      </c>
      <c r="H249" s="15">
        <v>69.8</v>
      </c>
      <c r="I249" s="15">
        <v>15.3</v>
      </c>
      <c r="J249" s="11">
        <v>0</v>
      </c>
      <c r="K249" s="15">
        <v>0</v>
      </c>
      <c r="L249" s="15">
        <v>0</v>
      </c>
      <c r="M249" s="15">
        <v>0</v>
      </c>
      <c r="N249" s="16">
        <v>0</v>
      </c>
      <c r="O249" s="2">
        <f t="shared" si="49"/>
        <v>193.292271</v>
      </c>
      <c r="P249" s="2">
        <f t="shared" si="50"/>
        <v>0</v>
      </c>
      <c r="Q249" s="2">
        <f t="shared" si="51"/>
        <v>193.292271</v>
      </c>
      <c r="S249" s="2">
        <f t="shared" si="64"/>
        <v>0</v>
      </c>
      <c r="T249" s="2">
        <f t="shared" si="52"/>
        <v>29.892197780574602</v>
      </c>
      <c r="U249" s="2">
        <f t="shared" si="53"/>
        <v>78.299811827980577</v>
      </c>
      <c r="V249" s="2">
        <f t="shared" si="54"/>
        <v>69.799831363897994</v>
      </c>
      <c r="W249" s="2">
        <f t="shared" si="55"/>
        <v>15.299963035353001</v>
      </c>
      <c r="X249" s="2">
        <f t="shared" si="56"/>
        <v>0</v>
      </c>
      <c r="Y249" s="2">
        <f t="shared" si="57"/>
        <v>0</v>
      </c>
      <c r="Z249" s="2">
        <f t="shared" si="58"/>
        <v>0</v>
      </c>
      <c r="AA249" s="2">
        <f t="shared" si="59"/>
        <v>0</v>
      </c>
      <c r="AB249" s="2">
        <f t="shared" si="60"/>
        <v>0</v>
      </c>
      <c r="AC249" s="2">
        <f t="shared" si="61"/>
        <v>193.29180400780618</v>
      </c>
      <c r="AD249" s="2">
        <f t="shared" si="62"/>
        <v>0</v>
      </c>
      <c r="AE249" s="2">
        <f t="shared" si="63"/>
        <v>193.29180400780618</v>
      </c>
    </row>
    <row r="250" spans="1:31">
      <c r="A250" s="1" t="s">
        <v>19</v>
      </c>
      <c r="B250">
        <v>44</v>
      </c>
      <c r="C250" s="5">
        <v>99.999968631000002</v>
      </c>
      <c r="D250" s="5">
        <v>5.5734391099199998</v>
      </c>
      <c r="E250" s="11">
        <v>0</v>
      </c>
      <c r="F250" s="15">
        <v>899.3</v>
      </c>
      <c r="G250" s="15">
        <v>226.00000999999997</v>
      </c>
      <c r="H250" s="15">
        <v>78.400000000000006</v>
      </c>
      <c r="I250" s="15">
        <v>3.8</v>
      </c>
      <c r="J250" s="11">
        <v>0</v>
      </c>
      <c r="K250" s="15">
        <v>0</v>
      </c>
      <c r="L250" s="15">
        <v>0</v>
      </c>
      <c r="M250" s="15">
        <v>0</v>
      </c>
      <c r="N250" s="16">
        <v>0</v>
      </c>
      <c r="O250" s="2">
        <f t="shared" si="49"/>
        <v>1207.50001</v>
      </c>
      <c r="P250" s="2">
        <f t="shared" si="50"/>
        <v>0</v>
      </c>
      <c r="Q250" s="2">
        <f t="shared" si="51"/>
        <v>1207.50001</v>
      </c>
      <c r="S250" s="2">
        <f t="shared" si="64"/>
        <v>0</v>
      </c>
      <c r="T250" s="2">
        <f t="shared" si="52"/>
        <v>899.29971789858303</v>
      </c>
      <c r="U250" s="2">
        <f t="shared" si="53"/>
        <v>225.99993910605684</v>
      </c>
      <c r="V250" s="2">
        <f t="shared" si="54"/>
        <v>78.399975406704002</v>
      </c>
      <c r="W250" s="2">
        <f t="shared" si="55"/>
        <v>3.7999988079779996</v>
      </c>
      <c r="X250" s="2">
        <f t="shared" si="56"/>
        <v>0</v>
      </c>
      <c r="Y250" s="2">
        <f t="shared" si="57"/>
        <v>0</v>
      </c>
      <c r="Z250" s="2">
        <f t="shared" si="58"/>
        <v>0</v>
      </c>
      <c r="AA250" s="2">
        <f t="shared" si="59"/>
        <v>0</v>
      </c>
      <c r="AB250" s="2">
        <f t="shared" si="60"/>
        <v>0</v>
      </c>
      <c r="AC250" s="2">
        <f t="shared" si="61"/>
        <v>1207.4996312193218</v>
      </c>
      <c r="AD250" s="2">
        <f t="shared" si="62"/>
        <v>0</v>
      </c>
      <c r="AE250" s="2">
        <f t="shared" si="63"/>
        <v>1207.4996312193218</v>
      </c>
    </row>
    <row r="251" spans="1:31">
      <c r="A251" s="1" t="s">
        <v>19</v>
      </c>
      <c r="B251">
        <v>45</v>
      </c>
      <c r="C251" s="5">
        <v>26.638836048999998</v>
      </c>
      <c r="D251" s="5">
        <v>0.71005198624700006</v>
      </c>
      <c r="E251" s="11">
        <v>0</v>
      </c>
      <c r="F251" s="15">
        <v>12.8</v>
      </c>
      <c r="G251" s="15">
        <v>4.5999999999999996</v>
      </c>
      <c r="H251" s="15">
        <v>11.2</v>
      </c>
      <c r="I251" s="15">
        <v>2.4</v>
      </c>
      <c r="J251" s="11">
        <v>0</v>
      </c>
      <c r="K251" s="15">
        <v>0</v>
      </c>
      <c r="L251" s="15">
        <v>0</v>
      </c>
      <c r="M251" s="15">
        <v>0</v>
      </c>
      <c r="N251" s="16">
        <v>0</v>
      </c>
      <c r="O251" s="2">
        <f t="shared" si="49"/>
        <v>30.999999999999996</v>
      </c>
      <c r="P251" s="2">
        <f t="shared" si="50"/>
        <v>0</v>
      </c>
      <c r="Q251" s="2">
        <f t="shared" si="51"/>
        <v>30.999999999999996</v>
      </c>
      <c r="S251" s="2">
        <f t="shared" si="64"/>
        <v>0</v>
      </c>
      <c r="T251" s="2">
        <f t="shared" si="52"/>
        <v>3.4097710142720001</v>
      </c>
      <c r="U251" s="2">
        <f t="shared" si="53"/>
        <v>1.2253864582539997</v>
      </c>
      <c r="V251" s="2">
        <f t="shared" si="54"/>
        <v>2.9835496374879993</v>
      </c>
      <c r="W251" s="2">
        <f t="shared" si="55"/>
        <v>0.63933206517599994</v>
      </c>
      <c r="X251" s="2">
        <f t="shared" si="56"/>
        <v>0</v>
      </c>
      <c r="Y251" s="2">
        <f t="shared" si="57"/>
        <v>0</v>
      </c>
      <c r="Z251" s="2">
        <f t="shared" si="58"/>
        <v>0</v>
      </c>
      <c r="AA251" s="2">
        <f t="shared" si="59"/>
        <v>0</v>
      </c>
      <c r="AB251" s="2">
        <f t="shared" si="60"/>
        <v>0</v>
      </c>
      <c r="AC251" s="2">
        <f t="shared" si="61"/>
        <v>8.2580391751899977</v>
      </c>
      <c r="AD251" s="2">
        <f t="shared" si="62"/>
        <v>0</v>
      </c>
      <c r="AE251" s="2">
        <f t="shared" si="63"/>
        <v>8.2580391751899977</v>
      </c>
    </row>
    <row r="252" spans="1:31">
      <c r="A252" s="1" t="s">
        <v>19</v>
      </c>
      <c r="B252">
        <v>46</v>
      </c>
      <c r="C252" s="5">
        <v>23.233197518400001</v>
      </c>
      <c r="D252" s="5">
        <v>0.81455771819099998</v>
      </c>
      <c r="E252" s="11">
        <v>0</v>
      </c>
      <c r="F252" s="15">
        <v>824.59996000000012</v>
      </c>
      <c r="G252" s="15">
        <v>202.99995999999999</v>
      </c>
      <c r="H252" s="15">
        <v>64.099999999999994</v>
      </c>
      <c r="I252" s="15">
        <v>11.2</v>
      </c>
      <c r="J252" s="11">
        <v>0</v>
      </c>
      <c r="K252" s="15">
        <v>0</v>
      </c>
      <c r="L252" s="15">
        <v>0</v>
      </c>
      <c r="M252" s="15">
        <v>0</v>
      </c>
      <c r="N252" s="16">
        <v>0</v>
      </c>
      <c r="O252" s="2">
        <f t="shared" si="49"/>
        <v>1102.8999200000001</v>
      </c>
      <c r="P252" s="2">
        <f t="shared" si="50"/>
        <v>0</v>
      </c>
      <c r="Q252" s="2">
        <f t="shared" si="51"/>
        <v>1102.8999200000001</v>
      </c>
      <c r="S252" s="2">
        <f t="shared" si="64"/>
        <v>0</v>
      </c>
      <c r="T252" s="2">
        <f t="shared" si="52"/>
        <v>191.58093744344743</v>
      </c>
      <c r="U252" s="2">
        <f t="shared" si="53"/>
        <v>47.16338166907299</v>
      </c>
      <c r="V252" s="2">
        <f t="shared" si="54"/>
        <v>14.892479609294398</v>
      </c>
      <c r="W252" s="2">
        <f t="shared" si="55"/>
        <v>2.6021181220607996</v>
      </c>
      <c r="X252" s="2">
        <f t="shared" si="56"/>
        <v>0</v>
      </c>
      <c r="Y252" s="2">
        <f t="shared" si="57"/>
        <v>0</v>
      </c>
      <c r="Z252" s="2">
        <f t="shared" si="58"/>
        <v>0</v>
      </c>
      <c r="AA252" s="2">
        <f t="shared" si="59"/>
        <v>0</v>
      </c>
      <c r="AB252" s="2">
        <f t="shared" si="60"/>
        <v>0</v>
      </c>
      <c r="AC252" s="2">
        <f t="shared" si="61"/>
        <v>256.23891684387559</v>
      </c>
      <c r="AD252" s="2">
        <f t="shared" si="62"/>
        <v>0</v>
      </c>
      <c r="AE252" s="2">
        <f t="shared" si="63"/>
        <v>256.23891684387559</v>
      </c>
    </row>
    <row r="253" spans="1:31">
      <c r="A253" s="1" t="s">
        <v>19</v>
      </c>
      <c r="B253">
        <v>60</v>
      </c>
      <c r="C253" s="5">
        <v>41.136309738100003</v>
      </c>
      <c r="D253" s="5">
        <v>1.55105124472</v>
      </c>
      <c r="E253" s="11">
        <v>0</v>
      </c>
      <c r="F253" s="15">
        <v>0</v>
      </c>
      <c r="G253" s="15">
        <v>64.400000000000006</v>
      </c>
      <c r="H253" s="15">
        <v>47.4</v>
      </c>
      <c r="I253" s="15">
        <v>21.1</v>
      </c>
      <c r="J253" s="11">
        <v>0</v>
      </c>
      <c r="K253" s="15">
        <v>0</v>
      </c>
      <c r="L253" s="15">
        <v>0</v>
      </c>
      <c r="M253" s="15">
        <v>0</v>
      </c>
      <c r="N253" s="16">
        <v>0</v>
      </c>
      <c r="O253" s="2">
        <f t="shared" si="49"/>
        <v>132.9</v>
      </c>
      <c r="P253" s="2">
        <f t="shared" si="50"/>
        <v>0</v>
      </c>
      <c r="Q253" s="2">
        <f t="shared" si="51"/>
        <v>132.9</v>
      </c>
      <c r="S253" s="2">
        <f t="shared" si="64"/>
        <v>0</v>
      </c>
      <c r="T253" s="2">
        <f t="shared" si="52"/>
        <v>0</v>
      </c>
      <c r="U253" s="2">
        <f t="shared" si="53"/>
        <v>26.491783471336404</v>
      </c>
      <c r="V253" s="2">
        <f t="shared" si="54"/>
        <v>19.498610815859401</v>
      </c>
      <c r="W253" s="2">
        <f t="shared" si="55"/>
        <v>8.6797613547391013</v>
      </c>
      <c r="X253" s="2">
        <f t="shared" si="56"/>
        <v>0</v>
      </c>
      <c r="Y253" s="2">
        <f t="shared" si="57"/>
        <v>0</v>
      </c>
      <c r="Z253" s="2">
        <f t="shared" si="58"/>
        <v>0</v>
      </c>
      <c r="AA253" s="2">
        <f t="shared" si="59"/>
        <v>0</v>
      </c>
      <c r="AB253" s="2">
        <f t="shared" si="60"/>
        <v>0</v>
      </c>
      <c r="AC253" s="2">
        <f t="shared" si="61"/>
        <v>54.670155641934905</v>
      </c>
      <c r="AD253" s="2">
        <f t="shared" si="62"/>
        <v>0</v>
      </c>
      <c r="AE253" s="2">
        <f t="shared" si="63"/>
        <v>54.670155641934905</v>
      </c>
    </row>
    <row r="254" spans="1:31">
      <c r="A254" s="1" t="s">
        <v>19</v>
      </c>
      <c r="B254">
        <v>61</v>
      </c>
      <c r="C254" s="5">
        <v>70.817749147300006</v>
      </c>
      <c r="D254" s="5">
        <v>1.6951542744300001</v>
      </c>
      <c r="E254" s="11">
        <v>0</v>
      </c>
      <c r="F254" s="15">
        <v>0</v>
      </c>
      <c r="G254" s="15">
        <v>55.3</v>
      </c>
      <c r="H254" s="15">
        <v>36.700000000000003</v>
      </c>
      <c r="I254" s="15">
        <v>22.6</v>
      </c>
      <c r="J254" s="11">
        <v>0</v>
      </c>
      <c r="K254" s="15">
        <v>0</v>
      </c>
      <c r="L254" s="15">
        <v>0</v>
      </c>
      <c r="M254" s="15">
        <v>0</v>
      </c>
      <c r="N254" s="16">
        <v>0</v>
      </c>
      <c r="O254" s="2">
        <f t="shared" si="49"/>
        <v>114.6</v>
      </c>
      <c r="P254" s="2">
        <f t="shared" si="50"/>
        <v>0</v>
      </c>
      <c r="Q254" s="2">
        <f t="shared" si="51"/>
        <v>114.6</v>
      </c>
      <c r="S254" s="2">
        <f t="shared" si="64"/>
        <v>0</v>
      </c>
      <c r="T254" s="2">
        <f t="shared" si="52"/>
        <v>0</v>
      </c>
      <c r="U254" s="2">
        <f t="shared" si="53"/>
        <v>39.162215278456898</v>
      </c>
      <c r="V254" s="2">
        <f t="shared" si="54"/>
        <v>25.990113937059103</v>
      </c>
      <c r="W254" s="2">
        <f t="shared" si="55"/>
        <v>16.004811307289803</v>
      </c>
      <c r="X254" s="2">
        <f t="shared" si="56"/>
        <v>0</v>
      </c>
      <c r="Y254" s="2">
        <f t="shared" si="57"/>
        <v>0</v>
      </c>
      <c r="Z254" s="2">
        <f t="shared" si="58"/>
        <v>0</v>
      </c>
      <c r="AA254" s="2">
        <f t="shared" si="59"/>
        <v>0</v>
      </c>
      <c r="AB254" s="2">
        <f t="shared" si="60"/>
        <v>0</v>
      </c>
      <c r="AC254" s="2">
        <f t="shared" si="61"/>
        <v>81.157140522805804</v>
      </c>
      <c r="AD254" s="2">
        <f t="shared" si="62"/>
        <v>0</v>
      </c>
      <c r="AE254" s="2">
        <f t="shared" si="63"/>
        <v>81.157140522805804</v>
      </c>
    </row>
    <row r="255" spans="1:31">
      <c r="A255" s="1" t="s">
        <v>20</v>
      </c>
      <c r="B255">
        <v>213</v>
      </c>
      <c r="C255" s="5">
        <v>57.221578841400003</v>
      </c>
      <c r="D255" s="5">
        <v>2.3815010138199999</v>
      </c>
      <c r="E255" s="11">
        <v>1937.5331000000001</v>
      </c>
      <c r="F255" s="15">
        <v>7.6</v>
      </c>
      <c r="G255" s="15">
        <v>0</v>
      </c>
      <c r="H255" s="15">
        <v>0</v>
      </c>
      <c r="I255" s="15">
        <v>0</v>
      </c>
      <c r="J255" s="11">
        <v>0</v>
      </c>
      <c r="K255" s="15">
        <v>0</v>
      </c>
      <c r="L255" s="15">
        <v>0</v>
      </c>
      <c r="M255" s="15">
        <v>0</v>
      </c>
      <c r="N255" s="16">
        <v>0</v>
      </c>
      <c r="O255" s="2">
        <f t="shared" si="49"/>
        <v>1945.1331</v>
      </c>
      <c r="P255" s="2">
        <f t="shared" si="50"/>
        <v>0</v>
      </c>
      <c r="Q255" s="2">
        <f t="shared" si="51"/>
        <v>1945.1331</v>
      </c>
      <c r="S255" s="2">
        <f t="shared" si="64"/>
        <v>1108.6870303947217</v>
      </c>
      <c r="T255" s="2">
        <f t="shared" si="52"/>
        <v>4.3488399919464005</v>
      </c>
      <c r="U255" s="2">
        <f t="shared" si="53"/>
        <v>0</v>
      </c>
      <c r="V255" s="2">
        <f t="shared" si="54"/>
        <v>0</v>
      </c>
      <c r="W255" s="2">
        <f t="shared" si="55"/>
        <v>0</v>
      </c>
      <c r="X255" s="2">
        <f t="shared" si="56"/>
        <v>0</v>
      </c>
      <c r="Y255" s="2">
        <f t="shared" si="57"/>
        <v>0</v>
      </c>
      <c r="Z255" s="2">
        <f t="shared" si="58"/>
        <v>0</v>
      </c>
      <c r="AA255" s="2">
        <f t="shared" si="59"/>
        <v>0</v>
      </c>
      <c r="AB255" s="2">
        <f t="shared" si="60"/>
        <v>0</v>
      </c>
      <c r="AC255" s="2">
        <f t="shared" si="61"/>
        <v>1113.035870386668</v>
      </c>
      <c r="AD255" s="2">
        <f t="shared" si="62"/>
        <v>0</v>
      </c>
      <c r="AE255" s="2">
        <f t="shared" si="63"/>
        <v>1113.035870386668</v>
      </c>
    </row>
    <row r="256" spans="1:31">
      <c r="A256" s="1" t="s">
        <v>20</v>
      </c>
      <c r="B256">
        <v>219</v>
      </c>
      <c r="C256" s="5">
        <v>99.995780378999996</v>
      </c>
      <c r="D256" s="5">
        <v>2.2567477792499999</v>
      </c>
      <c r="E256" s="11">
        <v>0</v>
      </c>
      <c r="F256" s="15">
        <v>0</v>
      </c>
      <c r="G256" s="15">
        <v>0</v>
      </c>
      <c r="H256" s="15">
        <v>0</v>
      </c>
      <c r="I256" s="15">
        <v>0</v>
      </c>
      <c r="J256" s="11">
        <v>0</v>
      </c>
      <c r="K256" s="15">
        <v>0</v>
      </c>
      <c r="L256" s="15">
        <v>0</v>
      </c>
      <c r="M256" s="15">
        <v>0</v>
      </c>
      <c r="N256" s="16">
        <v>0</v>
      </c>
      <c r="O256" s="2">
        <f t="shared" si="49"/>
        <v>0</v>
      </c>
      <c r="P256" s="2">
        <f t="shared" si="50"/>
        <v>0</v>
      </c>
      <c r="Q256" s="2">
        <f t="shared" si="51"/>
        <v>0</v>
      </c>
      <c r="S256" s="2">
        <f t="shared" si="64"/>
        <v>0</v>
      </c>
      <c r="T256" s="2">
        <f t="shared" si="52"/>
        <v>0</v>
      </c>
      <c r="U256" s="2">
        <f t="shared" si="53"/>
        <v>0</v>
      </c>
      <c r="V256" s="2">
        <f t="shared" si="54"/>
        <v>0</v>
      </c>
      <c r="W256" s="2">
        <f t="shared" si="55"/>
        <v>0</v>
      </c>
      <c r="X256" s="2">
        <f t="shared" si="56"/>
        <v>0</v>
      </c>
      <c r="Y256" s="2">
        <f t="shared" si="57"/>
        <v>0</v>
      </c>
      <c r="Z256" s="2">
        <f t="shared" si="58"/>
        <v>0</v>
      </c>
      <c r="AA256" s="2">
        <f t="shared" si="59"/>
        <v>0</v>
      </c>
      <c r="AB256" s="2">
        <f t="shared" si="60"/>
        <v>0</v>
      </c>
      <c r="AC256" s="2">
        <f t="shared" si="61"/>
        <v>0</v>
      </c>
      <c r="AD256" s="2">
        <f t="shared" si="62"/>
        <v>0</v>
      </c>
      <c r="AE256" s="2">
        <f t="shared" si="63"/>
        <v>0</v>
      </c>
    </row>
    <row r="257" spans="1:31">
      <c r="A257" s="1" t="s">
        <v>20</v>
      </c>
      <c r="B257">
        <v>220</v>
      </c>
      <c r="C257" s="5">
        <v>100</v>
      </c>
      <c r="D257" s="5">
        <v>1.3740767967900001</v>
      </c>
      <c r="E257" s="11">
        <v>0</v>
      </c>
      <c r="F257" s="15">
        <v>0</v>
      </c>
      <c r="G257" s="15">
        <v>0</v>
      </c>
      <c r="H257" s="15">
        <v>0</v>
      </c>
      <c r="I257" s="15">
        <v>0</v>
      </c>
      <c r="J257" s="11">
        <v>0</v>
      </c>
      <c r="K257" s="15">
        <v>0</v>
      </c>
      <c r="L257" s="15">
        <v>0</v>
      </c>
      <c r="M257" s="15">
        <v>0</v>
      </c>
      <c r="N257" s="16">
        <v>0</v>
      </c>
      <c r="O257" s="2">
        <f t="shared" si="49"/>
        <v>0</v>
      </c>
      <c r="P257" s="2">
        <f t="shared" si="50"/>
        <v>0</v>
      </c>
      <c r="Q257" s="2">
        <f t="shared" si="51"/>
        <v>0</v>
      </c>
      <c r="S257" s="2">
        <f t="shared" si="64"/>
        <v>0</v>
      </c>
      <c r="T257" s="2">
        <f t="shared" si="52"/>
        <v>0</v>
      </c>
      <c r="U257" s="2">
        <f t="shared" si="53"/>
        <v>0</v>
      </c>
      <c r="V257" s="2">
        <f t="shared" si="54"/>
        <v>0</v>
      </c>
      <c r="W257" s="2">
        <f t="shared" si="55"/>
        <v>0</v>
      </c>
      <c r="X257" s="2">
        <f t="shared" si="56"/>
        <v>0</v>
      </c>
      <c r="Y257" s="2">
        <f t="shared" si="57"/>
        <v>0</v>
      </c>
      <c r="Z257" s="2">
        <f t="shared" si="58"/>
        <v>0</v>
      </c>
      <c r="AA257" s="2">
        <f t="shared" si="59"/>
        <v>0</v>
      </c>
      <c r="AB257" s="2">
        <f t="shared" si="60"/>
        <v>0</v>
      </c>
      <c r="AC257" s="2">
        <f t="shared" si="61"/>
        <v>0</v>
      </c>
      <c r="AD257" s="2">
        <f t="shared" si="62"/>
        <v>0</v>
      </c>
      <c r="AE257" s="2">
        <f t="shared" si="63"/>
        <v>0</v>
      </c>
    </row>
    <row r="258" spans="1:31">
      <c r="A258" s="1" t="s">
        <v>20</v>
      </c>
      <c r="B258">
        <v>221</v>
      </c>
      <c r="C258" s="5">
        <v>99.995824338399999</v>
      </c>
      <c r="D258" s="5">
        <v>9.9559076030899991</v>
      </c>
      <c r="E258" s="11">
        <v>5509.2668199999998</v>
      </c>
      <c r="F258" s="15">
        <v>1</v>
      </c>
      <c r="G258" s="15">
        <v>0</v>
      </c>
      <c r="H258" s="15">
        <v>0</v>
      </c>
      <c r="I258" s="15">
        <v>0</v>
      </c>
      <c r="J258" s="11">
        <v>0</v>
      </c>
      <c r="K258" s="15">
        <v>0</v>
      </c>
      <c r="L258" s="15">
        <v>0</v>
      </c>
      <c r="M258" s="15">
        <v>0</v>
      </c>
      <c r="N258" s="16">
        <v>0</v>
      </c>
      <c r="O258" s="2">
        <f t="shared" si="49"/>
        <v>5510.2668199999998</v>
      </c>
      <c r="P258" s="2">
        <f t="shared" si="50"/>
        <v>0</v>
      </c>
      <c r="Q258" s="2">
        <f t="shared" si="51"/>
        <v>5510.2668199999998</v>
      </c>
      <c r="S258" s="2">
        <f t="shared" si="64"/>
        <v>5509.0367716609562</v>
      </c>
      <c r="T258" s="2">
        <f t="shared" si="52"/>
        <v>0.99995824338399997</v>
      </c>
      <c r="U258" s="2">
        <f t="shared" si="53"/>
        <v>0</v>
      </c>
      <c r="V258" s="2">
        <f t="shared" si="54"/>
        <v>0</v>
      </c>
      <c r="W258" s="2">
        <f t="shared" si="55"/>
        <v>0</v>
      </c>
      <c r="X258" s="2">
        <f t="shared" si="56"/>
        <v>0</v>
      </c>
      <c r="Y258" s="2">
        <f t="shared" si="57"/>
        <v>0</v>
      </c>
      <c r="Z258" s="2">
        <f t="shared" si="58"/>
        <v>0</v>
      </c>
      <c r="AA258" s="2">
        <f t="shared" si="59"/>
        <v>0</v>
      </c>
      <c r="AB258" s="2">
        <f t="shared" si="60"/>
        <v>0</v>
      </c>
      <c r="AC258" s="2">
        <f t="shared" si="61"/>
        <v>5510.0367299043401</v>
      </c>
      <c r="AD258" s="2">
        <f t="shared" si="62"/>
        <v>0</v>
      </c>
      <c r="AE258" s="2">
        <f t="shared" si="63"/>
        <v>5510.0367299043401</v>
      </c>
    </row>
    <row r="259" spans="1:31">
      <c r="A259" s="1" t="s">
        <v>20</v>
      </c>
      <c r="B259">
        <v>222</v>
      </c>
      <c r="C259" s="5">
        <v>100</v>
      </c>
      <c r="D259" s="5">
        <v>2.52486305036</v>
      </c>
      <c r="E259" s="11">
        <v>763.4</v>
      </c>
      <c r="F259" s="15">
        <v>0</v>
      </c>
      <c r="G259" s="15">
        <v>0</v>
      </c>
      <c r="H259" s="15">
        <v>0</v>
      </c>
      <c r="I259" s="15">
        <v>0</v>
      </c>
      <c r="J259" s="11">
        <v>0</v>
      </c>
      <c r="K259" s="15">
        <v>0</v>
      </c>
      <c r="L259" s="15">
        <v>0</v>
      </c>
      <c r="M259" s="15">
        <v>0</v>
      </c>
      <c r="N259" s="16">
        <v>0</v>
      </c>
      <c r="O259" s="2">
        <f t="shared" ref="O259:O322" si="65">SUM(E259:I259)</f>
        <v>763.4</v>
      </c>
      <c r="P259" s="2">
        <f t="shared" ref="P259:P322" si="66">SUM(J259:N259)</f>
        <v>0</v>
      </c>
      <c r="Q259" s="2">
        <f t="shared" ref="Q259:Q322" si="67">SUM(O259:P259)</f>
        <v>763.4</v>
      </c>
      <c r="S259" s="2">
        <f t="shared" si="64"/>
        <v>763.4</v>
      </c>
      <c r="T259" s="2">
        <f t="shared" ref="T259:T322" si="68">F259*$C259/100</f>
        <v>0</v>
      </c>
      <c r="U259" s="2">
        <f t="shared" ref="U259:U322" si="69">G259*$C259/100</f>
        <v>0</v>
      </c>
      <c r="V259" s="2">
        <f t="shared" ref="V259:V322" si="70">H259*$C259/100</f>
        <v>0</v>
      </c>
      <c r="W259" s="2">
        <f t="shared" ref="W259:W322" si="71">I259*$C259/100</f>
        <v>0</v>
      </c>
      <c r="X259" s="2">
        <f t="shared" ref="X259:X322" si="72">J259*$C259/100</f>
        <v>0</v>
      </c>
      <c r="Y259" s="2">
        <f t="shared" ref="Y259:Y322" si="73">K259*$C259/100</f>
        <v>0</v>
      </c>
      <c r="Z259" s="2">
        <f t="shared" ref="Z259:Z322" si="74">L259*$C259/100</f>
        <v>0</v>
      </c>
      <c r="AA259" s="2">
        <f t="shared" ref="AA259:AA322" si="75">M259*$C259/100</f>
        <v>0</v>
      </c>
      <c r="AB259" s="2">
        <f t="shared" ref="AB259:AB322" si="76">N259*$C259/100</f>
        <v>0</v>
      </c>
      <c r="AC259" s="2">
        <f t="shared" ref="AC259:AC322" si="77">O259*$C259/100</f>
        <v>763.4</v>
      </c>
      <c r="AD259" s="2">
        <f t="shared" ref="AD259:AD322" si="78">P259*$C259/100</f>
        <v>0</v>
      </c>
      <c r="AE259" s="2">
        <f t="shared" ref="AE259:AE322" si="79">Q259*$C259/100</f>
        <v>763.4</v>
      </c>
    </row>
    <row r="260" spans="1:31">
      <c r="A260" s="1" t="s">
        <v>20</v>
      </c>
      <c r="B260">
        <v>223</v>
      </c>
      <c r="C260" s="5">
        <v>100</v>
      </c>
      <c r="D260" s="5">
        <v>1.1920576465999999</v>
      </c>
      <c r="E260" s="11">
        <v>0</v>
      </c>
      <c r="F260" s="15">
        <v>0</v>
      </c>
      <c r="G260" s="15">
        <v>0</v>
      </c>
      <c r="H260" s="15">
        <v>0</v>
      </c>
      <c r="I260" s="15">
        <v>0</v>
      </c>
      <c r="J260" s="11">
        <v>0</v>
      </c>
      <c r="K260" s="15">
        <v>0</v>
      </c>
      <c r="L260" s="15">
        <v>0</v>
      </c>
      <c r="M260" s="15">
        <v>0</v>
      </c>
      <c r="N260" s="16">
        <v>0</v>
      </c>
      <c r="O260" s="2">
        <f t="shared" si="65"/>
        <v>0</v>
      </c>
      <c r="P260" s="2">
        <f t="shared" si="66"/>
        <v>0</v>
      </c>
      <c r="Q260" s="2">
        <f t="shared" si="67"/>
        <v>0</v>
      </c>
      <c r="S260" s="2">
        <f t="shared" ref="S260:S323" si="80">E260*$C260/100</f>
        <v>0</v>
      </c>
      <c r="T260" s="2">
        <f t="shared" si="68"/>
        <v>0</v>
      </c>
      <c r="U260" s="2">
        <f t="shared" si="69"/>
        <v>0</v>
      </c>
      <c r="V260" s="2">
        <f t="shared" si="70"/>
        <v>0</v>
      </c>
      <c r="W260" s="2">
        <f t="shared" si="71"/>
        <v>0</v>
      </c>
      <c r="X260" s="2">
        <f t="shared" si="72"/>
        <v>0</v>
      </c>
      <c r="Y260" s="2">
        <f t="shared" si="73"/>
        <v>0</v>
      </c>
      <c r="Z260" s="2">
        <f t="shared" si="74"/>
        <v>0</v>
      </c>
      <c r="AA260" s="2">
        <f t="shared" si="75"/>
        <v>0</v>
      </c>
      <c r="AB260" s="2">
        <f t="shared" si="76"/>
        <v>0</v>
      </c>
      <c r="AC260" s="2">
        <f t="shared" si="77"/>
        <v>0</v>
      </c>
      <c r="AD260" s="2">
        <f t="shared" si="78"/>
        <v>0</v>
      </c>
      <c r="AE260" s="2">
        <f t="shared" si="79"/>
        <v>0</v>
      </c>
    </row>
    <row r="261" spans="1:31">
      <c r="A261" s="1" t="s">
        <v>20</v>
      </c>
      <c r="B261">
        <v>224</v>
      </c>
      <c r="C261" s="5">
        <v>99.989766379100004</v>
      </c>
      <c r="D261" s="5">
        <v>23.673511772099999</v>
      </c>
      <c r="E261" s="11">
        <v>498.99995200000001</v>
      </c>
      <c r="F261" s="15">
        <v>0</v>
      </c>
      <c r="G261" s="15">
        <v>0</v>
      </c>
      <c r="H261" s="15">
        <v>0</v>
      </c>
      <c r="I261" s="15">
        <v>0</v>
      </c>
      <c r="J261" s="11">
        <v>0</v>
      </c>
      <c r="K261" s="15">
        <v>0</v>
      </c>
      <c r="L261" s="15">
        <v>0</v>
      </c>
      <c r="M261" s="15">
        <v>0</v>
      </c>
      <c r="N261" s="16">
        <v>0</v>
      </c>
      <c r="O261" s="2">
        <f t="shared" si="65"/>
        <v>498.99995200000001</v>
      </c>
      <c r="P261" s="2">
        <f t="shared" si="66"/>
        <v>0</v>
      </c>
      <c r="Q261" s="2">
        <f t="shared" si="67"/>
        <v>498.99995200000001</v>
      </c>
      <c r="S261" s="2">
        <f t="shared" si="80"/>
        <v>498.94888623662121</v>
      </c>
      <c r="T261" s="2">
        <f t="shared" si="68"/>
        <v>0</v>
      </c>
      <c r="U261" s="2">
        <f t="shared" si="69"/>
        <v>0</v>
      </c>
      <c r="V261" s="2">
        <f t="shared" si="70"/>
        <v>0</v>
      </c>
      <c r="W261" s="2">
        <f t="shared" si="71"/>
        <v>0</v>
      </c>
      <c r="X261" s="2">
        <f t="shared" si="72"/>
        <v>0</v>
      </c>
      <c r="Y261" s="2">
        <f t="shared" si="73"/>
        <v>0</v>
      </c>
      <c r="Z261" s="2">
        <f t="shared" si="74"/>
        <v>0</v>
      </c>
      <c r="AA261" s="2">
        <f t="shared" si="75"/>
        <v>0</v>
      </c>
      <c r="AB261" s="2">
        <f t="shared" si="76"/>
        <v>0</v>
      </c>
      <c r="AC261" s="2">
        <f t="shared" si="77"/>
        <v>498.94888623662121</v>
      </c>
      <c r="AD261" s="2">
        <f t="shared" si="78"/>
        <v>0</v>
      </c>
      <c r="AE261" s="2">
        <f t="shared" si="79"/>
        <v>498.94888623662121</v>
      </c>
    </row>
    <row r="262" spans="1:31">
      <c r="A262" s="1" t="s">
        <v>20</v>
      </c>
      <c r="B262">
        <v>225</v>
      </c>
      <c r="C262" s="5">
        <v>99.997069709900003</v>
      </c>
      <c r="D262" s="5">
        <v>3.5251474305400001</v>
      </c>
      <c r="E262" s="11">
        <v>0</v>
      </c>
      <c r="F262" s="15">
        <v>0</v>
      </c>
      <c r="G262" s="15">
        <v>0</v>
      </c>
      <c r="H262" s="15">
        <v>0</v>
      </c>
      <c r="I262" s="15">
        <v>0</v>
      </c>
      <c r="J262" s="11">
        <v>0</v>
      </c>
      <c r="K262" s="15">
        <v>0</v>
      </c>
      <c r="L262" s="15">
        <v>0</v>
      </c>
      <c r="M262" s="15">
        <v>0</v>
      </c>
      <c r="N262" s="16">
        <v>0</v>
      </c>
      <c r="O262" s="2">
        <f t="shared" si="65"/>
        <v>0</v>
      </c>
      <c r="P262" s="2">
        <f t="shared" si="66"/>
        <v>0</v>
      </c>
      <c r="Q262" s="2">
        <f t="shared" si="67"/>
        <v>0</v>
      </c>
      <c r="S262" s="2">
        <f t="shared" si="80"/>
        <v>0</v>
      </c>
      <c r="T262" s="2">
        <f t="shared" si="68"/>
        <v>0</v>
      </c>
      <c r="U262" s="2">
        <f t="shared" si="69"/>
        <v>0</v>
      </c>
      <c r="V262" s="2">
        <f t="shared" si="70"/>
        <v>0</v>
      </c>
      <c r="W262" s="2">
        <f t="shared" si="71"/>
        <v>0</v>
      </c>
      <c r="X262" s="2">
        <f t="shared" si="72"/>
        <v>0</v>
      </c>
      <c r="Y262" s="2">
        <f t="shared" si="73"/>
        <v>0</v>
      </c>
      <c r="Z262" s="2">
        <f t="shared" si="74"/>
        <v>0</v>
      </c>
      <c r="AA262" s="2">
        <f t="shared" si="75"/>
        <v>0</v>
      </c>
      <c r="AB262" s="2">
        <f t="shared" si="76"/>
        <v>0</v>
      </c>
      <c r="AC262" s="2">
        <f t="shared" si="77"/>
        <v>0</v>
      </c>
      <c r="AD262" s="2">
        <f t="shared" si="78"/>
        <v>0</v>
      </c>
      <c r="AE262" s="2">
        <f t="shared" si="79"/>
        <v>0</v>
      </c>
    </row>
    <row r="263" spans="1:31">
      <c r="A263" s="1" t="s">
        <v>20</v>
      </c>
      <c r="B263">
        <v>226</v>
      </c>
      <c r="C263" s="5">
        <v>100</v>
      </c>
      <c r="D263" s="5">
        <v>9.0227607962699992</v>
      </c>
      <c r="E263" s="11">
        <v>0</v>
      </c>
      <c r="F263" s="15">
        <v>0</v>
      </c>
      <c r="G263" s="15">
        <v>0</v>
      </c>
      <c r="H263" s="15">
        <v>0</v>
      </c>
      <c r="I263" s="15">
        <v>0</v>
      </c>
      <c r="J263" s="11">
        <v>0</v>
      </c>
      <c r="K263" s="15">
        <v>0</v>
      </c>
      <c r="L263" s="15">
        <v>0</v>
      </c>
      <c r="M263" s="15">
        <v>0</v>
      </c>
      <c r="N263" s="16">
        <v>0</v>
      </c>
      <c r="O263" s="2">
        <f t="shared" si="65"/>
        <v>0</v>
      </c>
      <c r="P263" s="2">
        <f t="shared" si="66"/>
        <v>0</v>
      </c>
      <c r="Q263" s="2">
        <f t="shared" si="67"/>
        <v>0</v>
      </c>
      <c r="S263" s="2">
        <f t="shared" si="80"/>
        <v>0</v>
      </c>
      <c r="T263" s="2">
        <f t="shared" si="68"/>
        <v>0</v>
      </c>
      <c r="U263" s="2">
        <f t="shared" si="69"/>
        <v>0</v>
      </c>
      <c r="V263" s="2">
        <f t="shared" si="70"/>
        <v>0</v>
      </c>
      <c r="W263" s="2">
        <f t="shared" si="71"/>
        <v>0</v>
      </c>
      <c r="X263" s="2">
        <f t="shared" si="72"/>
        <v>0</v>
      </c>
      <c r="Y263" s="2">
        <f t="shared" si="73"/>
        <v>0</v>
      </c>
      <c r="Z263" s="2">
        <f t="shared" si="74"/>
        <v>0</v>
      </c>
      <c r="AA263" s="2">
        <f t="shared" si="75"/>
        <v>0</v>
      </c>
      <c r="AB263" s="2">
        <f t="shared" si="76"/>
        <v>0</v>
      </c>
      <c r="AC263" s="2">
        <f t="shared" si="77"/>
        <v>0</v>
      </c>
      <c r="AD263" s="2">
        <f t="shared" si="78"/>
        <v>0</v>
      </c>
      <c r="AE263" s="2">
        <f t="shared" si="79"/>
        <v>0</v>
      </c>
    </row>
    <row r="264" spans="1:31">
      <c r="A264" s="1" t="s">
        <v>20</v>
      </c>
      <c r="B264">
        <v>227</v>
      </c>
      <c r="C264" s="5">
        <v>99.999298510800003</v>
      </c>
      <c r="D264" s="5">
        <v>3.0365491764199999</v>
      </c>
      <c r="E264" s="11">
        <v>0</v>
      </c>
      <c r="F264" s="15">
        <v>7.2</v>
      </c>
      <c r="G264" s="15">
        <v>0</v>
      </c>
      <c r="H264" s="15">
        <v>0</v>
      </c>
      <c r="I264" s="15">
        <v>0</v>
      </c>
      <c r="J264" s="11">
        <v>0</v>
      </c>
      <c r="K264" s="15">
        <v>0</v>
      </c>
      <c r="L264" s="15">
        <v>0</v>
      </c>
      <c r="M264" s="15">
        <v>0</v>
      </c>
      <c r="N264" s="16">
        <v>0</v>
      </c>
      <c r="O264" s="2">
        <f t="shared" si="65"/>
        <v>7.2</v>
      </c>
      <c r="P264" s="2">
        <f t="shared" si="66"/>
        <v>0</v>
      </c>
      <c r="Q264" s="2">
        <f t="shared" si="67"/>
        <v>7.2</v>
      </c>
      <c r="S264" s="2">
        <f t="shared" si="80"/>
        <v>0</v>
      </c>
      <c r="T264" s="2">
        <f t="shared" si="68"/>
        <v>7.1999494927776002</v>
      </c>
      <c r="U264" s="2">
        <f t="shared" si="69"/>
        <v>0</v>
      </c>
      <c r="V264" s="2">
        <f t="shared" si="70"/>
        <v>0</v>
      </c>
      <c r="W264" s="2">
        <f t="shared" si="71"/>
        <v>0</v>
      </c>
      <c r="X264" s="2">
        <f t="shared" si="72"/>
        <v>0</v>
      </c>
      <c r="Y264" s="2">
        <f t="shared" si="73"/>
        <v>0</v>
      </c>
      <c r="Z264" s="2">
        <f t="shared" si="74"/>
        <v>0</v>
      </c>
      <c r="AA264" s="2">
        <f t="shared" si="75"/>
        <v>0</v>
      </c>
      <c r="AB264" s="2">
        <f t="shared" si="76"/>
        <v>0</v>
      </c>
      <c r="AC264" s="2">
        <f t="shared" si="77"/>
        <v>7.1999494927776002</v>
      </c>
      <c r="AD264" s="2">
        <f t="shared" si="78"/>
        <v>0</v>
      </c>
      <c r="AE264" s="2">
        <f t="shared" si="79"/>
        <v>7.1999494927776002</v>
      </c>
    </row>
    <row r="265" spans="1:31">
      <c r="A265" s="1" t="s">
        <v>20</v>
      </c>
      <c r="B265">
        <v>228</v>
      </c>
      <c r="C265" s="5">
        <v>76.876375175500002</v>
      </c>
      <c r="D265" s="5">
        <v>11.3315641965</v>
      </c>
      <c r="E265" s="11">
        <v>0</v>
      </c>
      <c r="F265" s="15">
        <v>1.6</v>
      </c>
      <c r="G265" s="15">
        <v>0</v>
      </c>
      <c r="H265" s="15">
        <v>0</v>
      </c>
      <c r="I265" s="15">
        <v>0</v>
      </c>
      <c r="J265" s="11">
        <v>0</v>
      </c>
      <c r="K265" s="15">
        <v>0</v>
      </c>
      <c r="L265" s="15">
        <v>0</v>
      </c>
      <c r="M265" s="15">
        <v>0</v>
      </c>
      <c r="N265" s="16">
        <v>0</v>
      </c>
      <c r="O265" s="2">
        <f t="shared" si="65"/>
        <v>1.6</v>
      </c>
      <c r="P265" s="2">
        <f t="shared" si="66"/>
        <v>0</v>
      </c>
      <c r="Q265" s="2">
        <f t="shared" si="67"/>
        <v>1.6</v>
      </c>
      <c r="S265" s="2">
        <f t="shared" si="80"/>
        <v>0</v>
      </c>
      <c r="T265" s="2">
        <f t="shared" si="68"/>
        <v>1.230022002808</v>
      </c>
      <c r="U265" s="2">
        <f t="shared" si="69"/>
        <v>0</v>
      </c>
      <c r="V265" s="2">
        <f t="shared" si="70"/>
        <v>0</v>
      </c>
      <c r="W265" s="2">
        <f t="shared" si="71"/>
        <v>0</v>
      </c>
      <c r="X265" s="2">
        <f t="shared" si="72"/>
        <v>0</v>
      </c>
      <c r="Y265" s="2">
        <f t="shared" si="73"/>
        <v>0</v>
      </c>
      <c r="Z265" s="2">
        <f t="shared" si="74"/>
        <v>0</v>
      </c>
      <c r="AA265" s="2">
        <f t="shared" si="75"/>
        <v>0</v>
      </c>
      <c r="AB265" s="2">
        <f t="shared" si="76"/>
        <v>0</v>
      </c>
      <c r="AC265" s="2">
        <f t="shared" si="77"/>
        <v>1.230022002808</v>
      </c>
      <c r="AD265" s="2">
        <f t="shared" si="78"/>
        <v>0</v>
      </c>
      <c r="AE265" s="2">
        <f t="shared" si="79"/>
        <v>1.230022002808</v>
      </c>
    </row>
    <row r="266" spans="1:31">
      <c r="A266" s="1" t="s">
        <v>20</v>
      </c>
      <c r="B266">
        <v>230</v>
      </c>
      <c r="C266" s="5">
        <v>62.236562665199997</v>
      </c>
      <c r="D266" s="5">
        <v>3.1352206728600001</v>
      </c>
      <c r="E266" s="11">
        <v>0</v>
      </c>
      <c r="F266" s="15">
        <v>0</v>
      </c>
      <c r="G266" s="15">
        <v>0</v>
      </c>
      <c r="H266" s="15">
        <v>0</v>
      </c>
      <c r="I266" s="15">
        <v>0</v>
      </c>
      <c r="J266" s="11">
        <v>0</v>
      </c>
      <c r="K266" s="15">
        <v>0</v>
      </c>
      <c r="L266" s="15">
        <v>0</v>
      </c>
      <c r="M266" s="15">
        <v>0</v>
      </c>
      <c r="N266" s="16">
        <v>0</v>
      </c>
      <c r="O266" s="2">
        <f t="shared" si="65"/>
        <v>0</v>
      </c>
      <c r="P266" s="2">
        <f t="shared" si="66"/>
        <v>0</v>
      </c>
      <c r="Q266" s="2">
        <f t="shared" si="67"/>
        <v>0</v>
      </c>
      <c r="S266" s="2">
        <f t="shared" si="80"/>
        <v>0</v>
      </c>
      <c r="T266" s="2">
        <f t="shared" si="68"/>
        <v>0</v>
      </c>
      <c r="U266" s="2">
        <f t="shared" si="69"/>
        <v>0</v>
      </c>
      <c r="V266" s="2">
        <f t="shared" si="70"/>
        <v>0</v>
      </c>
      <c r="W266" s="2">
        <f t="shared" si="71"/>
        <v>0</v>
      </c>
      <c r="X266" s="2">
        <f t="shared" si="72"/>
        <v>0</v>
      </c>
      <c r="Y266" s="2">
        <f t="shared" si="73"/>
        <v>0</v>
      </c>
      <c r="Z266" s="2">
        <f t="shared" si="74"/>
        <v>0</v>
      </c>
      <c r="AA266" s="2">
        <f t="shared" si="75"/>
        <v>0</v>
      </c>
      <c r="AB266" s="2">
        <f t="shared" si="76"/>
        <v>0</v>
      </c>
      <c r="AC266" s="2">
        <f t="shared" si="77"/>
        <v>0</v>
      </c>
      <c r="AD266" s="2">
        <f t="shared" si="78"/>
        <v>0</v>
      </c>
      <c r="AE266" s="2">
        <f t="shared" si="79"/>
        <v>0</v>
      </c>
    </row>
    <row r="267" spans="1:31">
      <c r="A267" s="1" t="s">
        <v>20</v>
      </c>
      <c r="B267">
        <v>231</v>
      </c>
      <c r="C267" s="5">
        <v>77.955902355500001</v>
      </c>
      <c r="D267" s="5">
        <v>2.5868189237000001</v>
      </c>
      <c r="E267" s="11">
        <v>0</v>
      </c>
      <c r="F267" s="15">
        <v>0</v>
      </c>
      <c r="G267" s="15">
        <v>0</v>
      </c>
      <c r="H267" s="15">
        <v>0</v>
      </c>
      <c r="I267" s="15">
        <v>0</v>
      </c>
      <c r="J267" s="11">
        <v>0</v>
      </c>
      <c r="K267" s="15">
        <v>0</v>
      </c>
      <c r="L267" s="15">
        <v>0</v>
      </c>
      <c r="M267" s="15">
        <v>0</v>
      </c>
      <c r="N267" s="16">
        <v>0</v>
      </c>
      <c r="O267" s="2">
        <f t="shared" si="65"/>
        <v>0</v>
      </c>
      <c r="P267" s="2">
        <f t="shared" si="66"/>
        <v>0</v>
      </c>
      <c r="Q267" s="2">
        <f t="shared" si="67"/>
        <v>0</v>
      </c>
      <c r="S267" s="2">
        <f t="shared" si="80"/>
        <v>0</v>
      </c>
      <c r="T267" s="2">
        <f t="shared" si="68"/>
        <v>0</v>
      </c>
      <c r="U267" s="2">
        <f t="shared" si="69"/>
        <v>0</v>
      </c>
      <c r="V267" s="2">
        <f t="shared" si="70"/>
        <v>0</v>
      </c>
      <c r="W267" s="2">
        <f t="shared" si="71"/>
        <v>0</v>
      </c>
      <c r="X267" s="2">
        <f t="shared" si="72"/>
        <v>0</v>
      </c>
      <c r="Y267" s="2">
        <f t="shared" si="73"/>
        <v>0</v>
      </c>
      <c r="Z267" s="2">
        <f t="shared" si="74"/>
        <v>0</v>
      </c>
      <c r="AA267" s="2">
        <f t="shared" si="75"/>
        <v>0</v>
      </c>
      <c r="AB267" s="2">
        <f t="shared" si="76"/>
        <v>0</v>
      </c>
      <c r="AC267" s="2">
        <f t="shared" si="77"/>
        <v>0</v>
      </c>
      <c r="AD267" s="2">
        <f t="shared" si="78"/>
        <v>0</v>
      </c>
      <c r="AE267" s="2">
        <f t="shared" si="79"/>
        <v>0</v>
      </c>
    </row>
    <row r="268" spans="1:31">
      <c r="A268" s="1" t="s">
        <v>20</v>
      </c>
      <c r="B268">
        <v>233</v>
      </c>
      <c r="C268" s="5">
        <v>99.988548801099995</v>
      </c>
      <c r="D268" s="5">
        <v>1.37150763889</v>
      </c>
      <c r="E268" s="11">
        <v>0</v>
      </c>
      <c r="F268" s="15">
        <v>0</v>
      </c>
      <c r="G268" s="15">
        <v>0</v>
      </c>
      <c r="H268" s="15">
        <v>0</v>
      </c>
      <c r="I268" s="15">
        <v>0</v>
      </c>
      <c r="J268" s="11">
        <v>0</v>
      </c>
      <c r="K268" s="15">
        <v>0</v>
      </c>
      <c r="L268" s="15">
        <v>0</v>
      </c>
      <c r="M268" s="15">
        <v>0</v>
      </c>
      <c r="N268" s="16">
        <v>0</v>
      </c>
      <c r="O268" s="2">
        <f t="shared" si="65"/>
        <v>0</v>
      </c>
      <c r="P268" s="2">
        <f t="shared" si="66"/>
        <v>0</v>
      </c>
      <c r="Q268" s="2">
        <f t="shared" si="67"/>
        <v>0</v>
      </c>
      <c r="S268" s="2">
        <f t="shared" si="80"/>
        <v>0</v>
      </c>
      <c r="T268" s="2">
        <f t="shared" si="68"/>
        <v>0</v>
      </c>
      <c r="U268" s="2">
        <f t="shared" si="69"/>
        <v>0</v>
      </c>
      <c r="V268" s="2">
        <f t="shared" si="70"/>
        <v>0</v>
      </c>
      <c r="W268" s="2">
        <f t="shared" si="71"/>
        <v>0</v>
      </c>
      <c r="X268" s="2">
        <f t="shared" si="72"/>
        <v>0</v>
      </c>
      <c r="Y268" s="2">
        <f t="shared" si="73"/>
        <v>0</v>
      </c>
      <c r="Z268" s="2">
        <f t="shared" si="74"/>
        <v>0</v>
      </c>
      <c r="AA268" s="2">
        <f t="shared" si="75"/>
        <v>0</v>
      </c>
      <c r="AB268" s="2">
        <f t="shared" si="76"/>
        <v>0</v>
      </c>
      <c r="AC268" s="2">
        <f t="shared" si="77"/>
        <v>0</v>
      </c>
      <c r="AD268" s="2">
        <f t="shared" si="78"/>
        <v>0</v>
      </c>
      <c r="AE268" s="2">
        <f t="shared" si="79"/>
        <v>0</v>
      </c>
    </row>
    <row r="269" spans="1:31">
      <c r="A269" s="1" t="s">
        <v>20</v>
      </c>
      <c r="B269">
        <v>234</v>
      </c>
      <c r="C269" s="5">
        <v>99.998487976999996</v>
      </c>
      <c r="D269" s="5">
        <v>9.0009391282200006</v>
      </c>
      <c r="E269" s="11">
        <v>0</v>
      </c>
      <c r="F269" s="15">
        <v>0</v>
      </c>
      <c r="G269" s="15">
        <v>0</v>
      </c>
      <c r="H269" s="15">
        <v>0</v>
      </c>
      <c r="I269" s="15">
        <v>0</v>
      </c>
      <c r="J269" s="11">
        <v>0</v>
      </c>
      <c r="K269" s="15">
        <v>0</v>
      </c>
      <c r="L269" s="15">
        <v>0</v>
      </c>
      <c r="M269" s="15">
        <v>0</v>
      </c>
      <c r="N269" s="16">
        <v>0</v>
      </c>
      <c r="O269" s="2">
        <f t="shared" si="65"/>
        <v>0</v>
      </c>
      <c r="P269" s="2">
        <f t="shared" si="66"/>
        <v>0</v>
      </c>
      <c r="Q269" s="2">
        <f t="shared" si="67"/>
        <v>0</v>
      </c>
      <c r="S269" s="2">
        <f t="shared" si="80"/>
        <v>0</v>
      </c>
      <c r="T269" s="2">
        <f t="shared" si="68"/>
        <v>0</v>
      </c>
      <c r="U269" s="2">
        <f t="shared" si="69"/>
        <v>0</v>
      </c>
      <c r="V269" s="2">
        <f t="shared" si="70"/>
        <v>0</v>
      </c>
      <c r="W269" s="2">
        <f t="shared" si="71"/>
        <v>0</v>
      </c>
      <c r="X269" s="2">
        <f t="shared" si="72"/>
        <v>0</v>
      </c>
      <c r="Y269" s="2">
        <f t="shared" si="73"/>
        <v>0</v>
      </c>
      <c r="Z269" s="2">
        <f t="shared" si="74"/>
        <v>0</v>
      </c>
      <c r="AA269" s="2">
        <f t="shared" si="75"/>
        <v>0</v>
      </c>
      <c r="AB269" s="2">
        <f t="shared" si="76"/>
        <v>0</v>
      </c>
      <c r="AC269" s="2">
        <f t="shared" si="77"/>
        <v>0</v>
      </c>
      <c r="AD269" s="2">
        <f t="shared" si="78"/>
        <v>0</v>
      </c>
      <c r="AE269" s="2">
        <f t="shared" si="79"/>
        <v>0</v>
      </c>
    </row>
    <row r="270" spans="1:31">
      <c r="A270" s="1" t="s">
        <v>20</v>
      </c>
      <c r="B270">
        <v>235</v>
      </c>
      <c r="C270" s="5">
        <v>45.118155712499998</v>
      </c>
      <c r="D270" s="5">
        <v>4.9520274502800001</v>
      </c>
      <c r="E270" s="11">
        <v>0</v>
      </c>
      <c r="F270" s="15">
        <v>0</v>
      </c>
      <c r="G270" s="15">
        <v>0</v>
      </c>
      <c r="H270" s="15">
        <v>0</v>
      </c>
      <c r="I270" s="15">
        <v>0</v>
      </c>
      <c r="J270" s="11">
        <v>0</v>
      </c>
      <c r="K270" s="15">
        <v>0</v>
      </c>
      <c r="L270" s="15">
        <v>0</v>
      </c>
      <c r="M270" s="15">
        <v>0</v>
      </c>
      <c r="N270" s="16">
        <v>0</v>
      </c>
      <c r="O270" s="2">
        <f t="shared" si="65"/>
        <v>0</v>
      </c>
      <c r="P270" s="2">
        <f t="shared" si="66"/>
        <v>0</v>
      </c>
      <c r="Q270" s="2">
        <f t="shared" si="67"/>
        <v>0</v>
      </c>
      <c r="S270" s="2">
        <f t="shared" si="80"/>
        <v>0</v>
      </c>
      <c r="T270" s="2">
        <f t="shared" si="68"/>
        <v>0</v>
      </c>
      <c r="U270" s="2">
        <f t="shared" si="69"/>
        <v>0</v>
      </c>
      <c r="V270" s="2">
        <f t="shared" si="70"/>
        <v>0</v>
      </c>
      <c r="W270" s="2">
        <f t="shared" si="71"/>
        <v>0</v>
      </c>
      <c r="X270" s="2">
        <f t="shared" si="72"/>
        <v>0</v>
      </c>
      <c r="Y270" s="2">
        <f t="shared" si="73"/>
        <v>0</v>
      </c>
      <c r="Z270" s="2">
        <f t="shared" si="74"/>
        <v>0</v>
      </c>
      <c r="AA270" s="2">
        <f t="shared" si="75"/>
        <v>0</v>
      </c>
      <c r="AB270" s="2">
        <f t="shared" si="76"/>
        <v>0</v>
      </c>
      <c r="AC270" s="2">
        <f t="shared" si="77"/>
        <v>0</v>
      </c>
      <c r="AD270" s="2">
        <f t="shared" si="78"/>
        <v>0</v>
      </c>
      <c r="AE270" s="2">
        <f t="shared" si="79"/>
        <v>0</v>
      </c>
    </row>
    <row r="271" spans="1:31">
      <c r="A271" s="1" t="s">
        <v>20</v>
      </c>
      <c r="B271">
        <v>238</v>
      </c>
      <c r="C271" s="5">
        <v>3.7364360913499999</v>
      </c>
      <c r="D271" s="5">
        <v>0.380138715929</v>
      </c>
      <c r="E271" s="11">
        <v>0</v>
      </c>
      <c r="F271" s="15">
        <v>0</v>
      </c>
      <c r="G271" s="15">
        <v>0</v>
      </c>
      <c r="H271" s="15">
        <v>0</v>
      </c>
      <c r="I271" s="15">
        <v>0</v>
      </c>
      <c r="J271" s="11">
        <v>0</v>
      </c>
      <c r="K271" s="15">
        <v>0</v>
      </c>
      <c r="L271" s="15">
        <v>0</v>
      </c>
      <c r="M271" s="15">
        <v>0</v>
      </c>
      <c r="N271" s="16">
        <v>0</v>
      </c>
      <c r="O271" s="2">
        <f t="shared" si="65"/>
        <v>0</v>
      </c>
      <c r="P271" s="2">
        <f t="shared" si="66"/>
        <v>0</v>
      </c>
      <c r="Q271" s="2">
        <f t="shared" si="67"/>
        <v>0</v>
      </c>
      <c r="S271" s="2">
        <f t="shared" si="80"/>
        <v>0</v>
      </c>
      <c r="T271" s="2">
        <f t="shared" si="68"/>
        <v>0</v>
      </c>
      <c r="U271" s="2">
        <f t="shared" si="69"/>
        <v>0</v>
      </c>
      <c r="V271" s="2">
        <f t="shared" si="70"/>
        <v>0</v>
      </c>
      <c r="W271" s="2">
        <f t="shared" si="71"/>
        <v>0</v>
      </c>
      <c r="X271" s="2">
        <f t="shared" si="72"/>
        <v>0</v>
      </c>
      <c r="Y271" s="2">
        <f t="shared" si="73"/>
        <v>0</v>
      </c>
      <c r="Z271" s="2">
        <f t="shared" si="74"/>
        <v>0</v>
      </c>
      <c r="AA271" s="2">
        <f t="shared" si="75"/>
        <v>0</v>
      </c>
      <c r="AB271" s="2">
        <f t="shared" si="76"/>
        <v>0</v>
      </c>
      <c r="AC271" s="2">
        <f t="shared" si="77"/>
        <v>0</v>
      </c>
      <c r="AD271" s="2">
        <f t="shared" si="78"/>
        <v>0</v>
      </c>
      <c r="AE271" s="2">
        <f t="shared" si="79"/>
        <v>0</v>
      </c>
    </row>
    <row r="272" spans="1:31">
      <c r="A272" s="1" t="s">
        <v>20</v>
      </c>
      <c r="B272">
        <v>251</v>
      </c>
      <c r="C272" s="5">
        <v>37.353767130400001</v>
      </c>
      <c r="D272" s="5">
        <v>0.656860731029</v>
      </c>
      <c r="E272" s="11">
        <v>0</v>
      </c>
      <c r="F272" s="15">
        <v>0</v>
      </c>
      <c r="G272" s="15">
        <v>0</v>
      </c>
      <c r="H272" s="15">
        <v>0</v>
      </c>
      <c r="I272" s="15">
        <v>0</v>
      </c>
      <c r="J272" s="11">
        <v>0</v>
      </c>
      <c r="K272" s="15">
        <v>0</v>
      </c>
      <c r="L272" s="15">
        <v>0</v>
      </c>
      <c r="M272" s="15">
        <v>0</v>
      </c>
      <c r="N272" s="16">
        <v>0</v>
      </c>
      <c r="O272" s="2">
        <f t="shared" si="65"/>
        <v>0</v>
      </c>
      <c r="P272" s="2">
        <f t="shared" si="66"/>
        <v>0</v>
      </c>
      <c r="Q272" s="2">
        <f t="shared" si="67"/>
        <v>0</v>
      </c>
      <c r="S272" s="2">
        <f t="shared" si="80"/>
        <v>0</v>
      </c>
      <c r="T272" s="2">
        <f t="shared" si="68"/>
        <v>0</v>
      </c>
      <c r="U272" s="2">
        <f t="shared" si="69"/>
        <v>0</v>
      </c>
      <c r="V272" s="2">
        <f t="shared" si="70"/>
        <v>0</v>
      </c>
      <c r="W272" s="2">
        <f t="shared" si="71"/>
        <v>0</v>
      </c>
      <c r="X272" s="2">
        <f t="shared" si="72"/>
        <v>0</v>
      </c>
      <c r="Y272" s="2">
        <f t="shared" si="73"/>
        <v>0</v>
      </c>
      <c r="Z272" s="2">
        <f t="shared" si="74"/>
        <v>0</v>
      </c>
      <c r="AA272" s="2">
        <f t="shared" si="75"/>
        <v>0</v>
      </c>
      <c r="AB272" s="2">
        <f t="shared" si="76"/>
        <v>0</v>
      </c>
      <c r="AC272" s="2">
        <f t="shared" si="77"/>
        <v>0</v>
      </c>
      <c r="AD272" s="2">
        <f t="shared" si="78"/>
        <v>0</v>
      </c>
      <c r="AE272" s="2">
        <f t="shared" si="79"/>
        <v>0</v>
      </c>
    </row>
    <row r="273" spans="1:31">
      <c r="A273" s="1" t="s">
        <v>20</v>
      </c>
      <c r="B273">
        <v>321</v>
      </c>
      <c r="C273" s="5">
        <v>6.0281898114099999</v>
      </c>
      <c r="D273" s="5">
        <v>0.53687201141399998</v>
      </c>
      <c r="E273" s="11">
        <v>0</v>
      </c>
      <c r="F273" s="15">
        <v>1.5</v>
      </c>
      <c r="G273" s="15">
        <v>0.1</v>
      </c>
      <c r="H273" s="15">
        <v>0</v>
      </c>
      <c r="I273" s="15">
        <v>0</v>
      </c>
      <c r="J273" s="11">
        <v>0</v>
      </c>
      <c r="K273" s="15">
        <v>0</v>
      </c>
      <c r="L273" s="15">
        <v>0</v>
      </c>
      <c r="M273" s="15">
        <v>0</v>
      </c>
      <c r="N273" s="16">
        <v>0</v>
      </c>
      <c r="O273" s="2">
        <f t="shared" si="65"/>
        <v>1.6</v>
      </c>
      <c r="P273" s="2">
        <f t="shared" si="66"/>
        <v>0</v>
      </c>
      <c r="Q273" s="2">
        <f t="shared" si="67"/>
        <v>1.6</v>
      </c>
      <c r="S273" s="2">
        <f t="shared" si="80"/>
        <v>0</v>
      </c>
      <c r="T273" s="2">
        <f t="shared" si="68"/>
        <v>9.0422847171149984E-2</v>
      </c>
      <c r="U273" s="2">
        <f t="shared" si="69"/>
        <v>6.0281898114100006E-3</v>
      </c>
      <c r="V273" s="2">
        <f t="shared" si="70"/>
        <v>0</v>
      </c>
      <c r="W273" s="2">
        <f t="shared" si="71"/>
        <v>0</v>
      </c>
      <c r="X273" s="2">
        <f t="shared" si="72"/>
        <v>0</v>
      </c>
      <c r="Y273" s="2">
        <f t="shared" si="73"/>
        <v>0</v>
      </c>
      <c r="Z273" s="2">
        <f t="shared" si="74"/>
        <v>0</v>
      </c>
      <c r="AA273" s="2">
        <f t="shared" si="75"/>
        <v>0</v>
      </c>
      <c r="AB273" s="2">
        <f t="shared" si="76"/>
        <v>0</v>
      </c>
      <c r="AC273" s="2">
        <f t="shared" si="77"/>
        <v>9.6451036982560009E-2</v>
      </c>
      <c r="AD273" s="2">
        <f t="shared" si="78"/>
        <v>0</v>
      </c>
      <c r="AE273" s="2">
        <f t="shared" si="79"/>
        <v>9.6451036982560009E-2</v>
      </c>
    </row>
    <row r="274" spans="1:31">
      <c r="A274" s="1" t="s">
        <v>21</v>
      </c>
      <c r="B274">
        <v>228</v>
      </c>
      <c r="C274" s="5">
        <v>23.123540783199999</v>
      </c>
      <c r="D274" s="5">
        <v>4.1791828198500003</v>
      </c>
      <c r="E274" s="11">
        <v>0</v>
      </c>
      <c r="F274" s="15">
        <v>1.6</v>
      </c>
      <c r="G274" s="15">
        <v>0</v>
      </c>
      <c r="H274" s="15">
        <v>0</v>
      </c>
      <c r="I274" s="15">
        <v>0</v>
      </c>
      <c r="J274" s="11">
        <v>0</v>
      </c>
      <c r="K274" s="15">
        <v>0</v>
      </c>
      <c r="L274" s="15">
        <v>0</v>
      </c>
      <c r="M274" s="15">
        <v>0</v>
      </c>
      <c r="N274" s="16">
        <v>0</v>
      </c>
      <c r="O274" s="2">
        <f t="shared" si="65"/>
        <v>1.6</v>
      </c>
      <c r="P274" s="2">
        <f t="shared" si="66"/>
        <v>0</v>
      </c>
      <c r="Q274" s="2">
        <f t="shared" si="67"/>
        <v>1.6</v>
      </c>
      <c r="S274" s="2">
        <f t="shared" si="80"/>
        <v>0</v>
      </c>
      <c r="T274" s="2">
        <f t="shared" si="68"/>
        <v>0.36997665253119999</v>
      </c>
      <c r="U274" s="2">
        <f t="shared" si="69"/>
        <v>0</v>
      </c>
      <c r="V274" s="2">
        <f t="shared" si="70"/>
        <v>0</v>
      </c>
      <c r="W274" s="2">
        <f t="shared" si="71"/>
        <v>0</v>
      </c>
      <c r="X274" s="2">
        <f t="shared" si="72"/>
        <v>0</v>
      </c>
      <c r="Y274" s="2">
        <f t="shared" si="73"/>
        <v>0</v>
      </c>
      <c r="Z274" s="2">
        <f t="shared" si="74"/>
        <v>0</v>
      </c>
      <c r="AA274" s="2">
        <f t="shared" si="75"/>
        <v>0</v>
      </c>
      <c r="AB274" s="2">
        <f t="shared" si="76"/>
        <v>0</v>
      </c>
      <c r="AC274" s="2">
        <f t="shared" si="77"/>
        <v>0.36997665253119999</v>
      </c>
      <c r="AD274" s="2">
        <f t="shared" si="78"/>
        <v>0</v>
      </c>
      <c r="AE274" s="2">
        <f t="shared" si="79"/>
        <v>0.36997665253119999</v>
      </c>
    </row>
    <row r="275" spans="1:31">
      <c r="A275" s="1" t="s">
        <v>21</v>
      </c>
      <c r="B275">
        <v>229</v>
      </c>
      <c r="C275" s="5">
        <v>99.999388137400004</v>
      </c>
      <c r="D275" s="5">
        <v>5.6958539973400004</v>
      </c>
      <c r="E275" s="11">
        <v>0</v>
      </c>
      <c r="F275" s="15">
        <v>0</v>
      </c>
      <c r="G275" s="15">
        <v>0</v>
      </c>
      <c r="H275" s="15">
        <v>0</v>
      </c>
      <c r="I275" s="15">
        <v>0</v>
      </c>
      <c r="J275" s="11">
        <v>0</v>
      </c>
      <c r="K275" s="15">
        <v>0</v>
      </c>
      <c r="L275" s="15">
        <v>0</v>
      </c>
      <c r="M275" s="15">
        <v>0</v>
      </c>
      <c r="N275" s="16">
        <v>0</v>
      </c>
      <c r="O275" s="2">
        <f t="shared" si="65"/>
        <v>0</v>
      </c>
      <c r="P275" s="2">
        <f t="shared" si="66"/>
        <v>0</v>
      </c>
      <c r="Q275" s="2">
        <f t="shared" si="67"/>
        <v>0</v>
      </c>
      <c r="S275" s="2">
        <f t="shared" si="80"/>
        <v>0</v>
      </c>
      <c r="T275" s="2">
        <f t="shared" si="68"/>
        <v>0</v>
      </c>
      <c r="U275" s="2">
        <f t="shared" si="69"/>
        <v>0</v>
      </c>
      <c r="V275" s="2">
        <f t="shared" si="70"/>
        <v>0</v>
      </c>
      <c r="W275" s="2">
        <f t="shared" si="71"/>
        <v>0</v>
      </c>
      <c r="X275" s="2">
        <f t="shared" si="72"/>
        <v>0</v>
      </c>
      <c r="Y275" s="2">
        <f t="shared" si="73"/>
        <v>0</v>
      </c>
      <c r="Z275" s="2">
        <f t="shared" si="74"/>
        <v>0</v>
      </c>
      <c r="AA275" s="2">
        <f t="shared" si="75"/>
        <v>0</v>
      </c>
      <c r="AB275" s="2">
        <f t="shared" si="76"/>
        <v>0</v>
      </c>
      <c r="AC275" s="2">
        <f t="shared" si="77"/>
        <v>0</v>
      </c>
      <c r="AD275" s="2">
        <f t="shared" si="78"/>
        <v>0</v>
      </c>
      <c r="AE275" s="2">
        <f t="shared" si="79"/>
        <v>0</v>
      </c>
    </row>
    <row r="276" spans="1:31">
      <c r="A276" s="1" t="s">
        <v>21</v>
      </c>
      <c r="B276">
        <v>230</v>
      </c>
      <c r="C276" s="5">
        <v>37.763437334800003</v>
      </c>
      <c r="D276" s="5">
        <v>2.3325668633599999</v>
      </c>
      <c r="E276" s="11">
        <v>0</v>
      </c>
      <c r="F276" s="15">
        <v>0</v>
      </c>
      <c r="G276" s="15">
        <v>0</v>
      </c>
      <c r="H276" s="15">
        <v>0</v>
      </c>
      <c r="I276" s="15">
        <v>0</v>
      </c>
      <c r="J276" s="11">
        <v>0</v>
      </c>
      <c r="K276" s="15">
        <v>0</v>
      </c>
      <c r="L276" s="15">
        <v>0</v>
      </c>
      <c r="M276" s="15">
        <v>0</v>
      </c>
      <c r="N276" s="16">
        <v>0</v>
      </c>
      <c r="O276" s="2">
        <f t="shared" si="65"/>
        <v>0</v>
      </c>
      <c r="P276" s="2">
        <f t="shared" si="66"/>
        <v>0</v>
      </c>
      <c r="Q276" s="2">
        <f t="shared" si="67"/>
        <v>0</v>
      </c>
      <c r="S276" s="2">
        <f t="shared" si="80"/>
        <v>0</v>
      </c>
      <c r="T276" s="2">
        <f t="shared" si="68"/>
        <v>0</v>
      </c>
      <c r="U276" s="2">
        <f t="shared" si="69"/>
        <v>0</v>
      </c>
      <c r="V276" s="2">
        <f t="shared" si="70"/>
        <v>0</v>
      </c>
      <c r="W276" s="2">
        <f t="shared" si="71"/>
        <v>0</v>
      </c>
      <c r="X276" s="2">
        <f t="shared" si="72"/>
        <v>0</v>
      </c>
      <c r="Y276" s="2">
        <f t="shared" si="73"/>
        <v>0</v>
      </c>
      <c r="Z276" s="2">
        <f t="shared" si="74"/>
        <v>0</v>
      </c>
      <c r="AA276" s="2">
        <f t="shared" si="75"/>
        <v>0</v>
      </c>
      <c r="AB276" s="2">
        <f t="shared" si="76"/>
        <v>0</v>
      </c>
      <c r="AC276" s="2">
        <f t="shared" si="77"/>
        <v>0</v>
      </c>
      <c r="AD276" s="2">
        <f t="shared" si="78"/>
        <v>0</v>
      </c>
      <c r="AE276" s="2">
        <f t="shared" si="79"/>
        <v>0</v>
      </c>
    </row>
    <row r="277" spans="1:31">
      <c r="A277" s="1" t="s">
        <v>21</v>
      </c>
      <c r="B277">
        <v>231</v>
      </c>
      <c r="C277" s="5">
        <v>22.0413208746</v>
      </c>
      <c r="D277" s="5">
        <v>0.89679816584000005</v>
      </c>
      <c r="E277" s="11">
        <v>0</v>
      </c>
      <c r="F277" s="15">
        <v>0</v>
      </c>
      <c r="G277" s="15">
        <v>0</v>
      </c>
      <c r="H277" s="15">
        <v>0</v>
      </c>
      <c r="I277" s="15">
        <v>0</v>
      </c>
      <c r="J277" s="11">
        <v>0</v>
      </c>
      <c r="K277" s="15">
        <v>0</v>
      </c>
      <c r="L277" s="15">
        <v>0</v>
      </c>
      <c r="M277" s="15">
        <v>0</v>
      </c>
      <c r="N277" s="16">
        <v>0</v>
      </c>
      <c r="O277" s="2">
        <f t="shared" si="65"/>
        <v>0</v>
      </c>
      <c r="P277" s="2">
        <f t="shared" si="66"/>
        <v>0</v>
      </c>
      <c r="Q277" s="2">
        <f t="shared" si="67"/>
        <v>0</v>
      </c>
      <c r="S277" s="2">
        <f t="shared" si="80"/>
        <v>0</v>
      </c>
      <c r="T277" s="2">
        <f t="shared" si="68"/>
        <v>0</v>
      </c>
      <c r="U277" s="2">
        <f t="shared" si="69"/>
        <v>0</v>
      </c>
      <c r="V277" s="2">
        <f t="shared" si="70"/>
        <v>0</v>
      </c>
      <c r="W277" s="2">
        <f t="shared" si="71"/>
        <v>0</v>
      </c>
      <c r="X277" s="2">
        <f t="shared" si="72"/>
        <v>0</v>
      </c>
      <c r="Y277" s="2">
        <f t="shared" si="73"/>
        <v>0</v>
      </c>
      <c r="Z277" s="2">
        <f t="shared" si="74"/>
        <v>0</v>
      </c>
      <c r="AA277" s="2">
        <f t="shared" si="75"/>
        <v>0</v>
      </c>
      <c r="AB277" s="2">
        <f t="shared" si="76"/>
        <v>0</v>
      </c>
      <c r="AC277" s="2">
        <f t="shared" si="77"/>
        <v>0</v>
      </c>
      <c r="AD277" s="2">
        <f t="shared" si="78"/>
        <v>0</v>
      </c>
      <c r="AE277" s="2">
        <f t="shared" si="79"/>
        <v>0</v>
      </c>
    </row>
    <row r="278" spans="1:31">
      <c r="A278" s="1" t="s">
        <v>21</v>
      </c>
      <c r="B278">
        <v>232</v>
      </c>
      <c r="C278" s="5">
        <v>99.999705418900007</v>
      </c>
      <c r="D278" s="5">
        <v>10.930878061</v>
      </c>
      <c r="E278" s="11">
        <v>0</v>
      </c>
      <c r="F278" s="15">
        <v>0</v>
      </c>
      <c r="G278" s="15">
        <v>0</v>
      </c>
      <c r="H278" s="15">
        <v>0</v>
      </c>
      <c r="I278" s="15">
        <v>0</v>
      </c>
      <c r="J278" s="11">
        <v>0</v>
      </c>
      <c r="K278" s="15">
        <v>0</v>
      </c>
      <c r="L278" s="15">
        <v>0</v>
      </c>
      <c r="M278" s="15">
        <v>0</v>
      </c>
      <c r="N278" s="16">
        <v>0</v>
      </c>
      <c r="O278" s="2">
        <f t="shared" si="65"/>
        <v>0</v>
      </c>
      <c r="P278" s="2">
        <f t="shared" si="66"/>
        <v>0</v>
      </c>
      <c r="Q278" s="2">
        <f t="shared" si="67"/>
        <v>0</v>
      </c>
      <c r="S278" s="2">
        <f t="shared" si="80"/>
        <v>0</v>
      </c>
      <c r="T278" s="2">
        <f t="shared" si="68"/>
        <v>0</v>
      </c>
      <c r="U278" s="2">
        <f t="shared" si="69"/>
        <v>0</v>
      </c>
      <c r="V278" s="2">
        <f t="shared" si="70"/>
        <v>0</v>
      </c>
      <c r="W278" s="2">
        <f t="shared" si="71"/>
        <v>0</v>
      </c>
      <c r="X278" s="2">
        <f t="shared" si="72"/>
        <v>0</v>
      </c>
      <c r="Y278" s="2">
        <f t="shared" si="73"/>
        <v>0</v>
      </c>
      <c r="Z278" s="2">
        <f t="shared" si="74"/>
        <v>0</v>
      </c>
      <c r="AA278" s="2">
        <f t="shared" si="75"/>
        <v>0</v>
      </c>
      <c r="AB278" s="2">
        <f t="shared" si="76"/>
        <v>0</v>
      </c>
      <c r="AC278" s="2">
        <f t="shared" si="77"/>
        <v>0</v>
      </c>
      <c r="AD278" s="2">
        <f t="shared" si="78"/>
        <v>0</v>
      </c>
      <c r="AE278" s="2">
        <f t="shared" si="79"/>
        <v>0</v>
      </c>
    </row>
    <row r="279" spans="1:31">
      <c r="A279" s="1" t="s">
        <v>21</v>
      </c>
      <c r="B279">
        <v>235</v>
      </c>
      <c r="C279" s="5">
        <v>54.8818442862</v>
      </c>
      <c r="D279" s="5">
        <v>7.3858497724000003</v>
      </c>
      <c r="E279" s="11">
        <v>0</v>
      </c>
      <c r="F279" s="15">
        <v>0</v>
      </c>
      <c r="G279" s="15">
        <v>0</v>
      </c>
      <c r="H279" s="15">
        <v>0</v>
      </c>
      <c r="I279" s="15">
        <v>0</v>
      </c>
      <c r="J279" s="11">
        <v>0</v>
      </c>
      <c r="K279" s="15">
        <v>0</v>
      </c>
      <c r="L279" s="15">
        <v>0</v>
      </c>
      <c r="M279" s="15">
        <v>0</v>
      </c>
      <c r="N279" s="16">
        <v>0</v>
      </c>
      <c r="O279" s="2">
        <f t="shared" si="65"/>
        <v>0</v>
      </c>
      <c r="P279" s="2">
        <f t="shared" si="66"/>
        <v>0</v>
      </c>
      <c r="Q279" s="2">
        <f t="shared" si="67"/>
        <v>0</v>
      </c>
      <c r="S279" s="2">
        <f t="shared" si="80"/>
        <v>0</v>
      </c>
      <c r="T279" s="2">
        <f t="shared" si="68"/>
        <v>0</v>
      </c>
      <c r="U279" s="2">
        <f t="shared" si="69"/>
        <v>0</v>
      </c>
      <c r="V279" s="2">
        <f t="shared" si="70"/>
        <v>0</v>
      </c>
      <c r="W279" s="2">
        <f t="shared" si="71"/>
        <v>0</v>
      </c>
      <c r="X279" s="2">
        <f t="shared" si="72"/>
        <v>0</v>
      </c>
      <c r="Y279" s="2">
        <f t="shared" si="73"/>
        <v>0</v>
      </c>
      <c r="Z279" s="2">
        <f t="shared" si="74"/>
        <v>0</v>
      </c>
      <c r="AA279" s="2">
        <f t="shared" si="75"/>
        <v>0</v>
      </c>
      <c r="AB279" s="2">
        <f t="shared" si="76"/>
        <v>0</v>
      </c>
      <c r="AC279" s="2">
        <f t="shared" si="77"/>
        <v>0</v>
      </c>
      <c r="AD279" s="2">
        <f t="shared" si="78"/>
        <v>0</v>
      </c>
      <c r="AE279" s="2">
        <f t="shared" si="79"/>
        <v>0</v>
      </c>
    </row>
    <row r="280" spans="1:31">
      <c r="A280" s="1" t="s">
        <v>21</v>
      </c>
      <c r="B280">
        <v>238</v>
      </c>
      <c r="C280" s="5">
        <v>5.1544215703300003</v>
      </c>
      <c r="D280" s="5">
        <v>0.64299048862999997</v>
      </c>
      <c r="E280" s="11">
        <v>0</v>
      </c>
      <c r="F280" s="15">
        <v>0</v>
      </c>
      <c r="G280" s="15">
        <v>0</v>
      </c>
      <c r="H280" s="15">
        <v>0</v>
      </c>
      <c r="I280" s="15">
        <v>0</v>
      </c>
      <c r="J280" s="11">
        <v>0</v>
      </c>
      <c r="K280" s="15">
        <v>0</v>
      </c>
      <c r="L280" s="15">
        <v>0</v>
      </c>
      <c r="M280" s="15">
        <v>0</v>
      </c>
      <c r="N280" s="16">
        <v>0</v>
      </c>
      <c r="O280" s="2">
        <f t="shared" si="65"/>
        <v>0</v>
      </c>
      <c r="P280" s="2">
        <f t="shared" si="66"/>
        <v>0</v>
      </c>
      <c r="Q280" s="2">
        <f t="shared" si="67"/>
        <v>0</v>
      </c>
      <c r="S280" s="2">
        <f t="shared" si="80"/>
        <v>0</v>
      </c>
      <c r="T280" s="2">
        <f t="shared" si="68"/>
        <v>0</v>
      </c>
      <c r="U280" s="2">
        <f t="shared" si="69"/>
        <v>0</v>
      </c>
      <c r="V280" s="2">
        <f t="shared" si="70"/>
        <v>0</v>
      </c>
      <c r="W280" s="2">
        <f t="shared" si="71"/>
        <v>0</v>
      </c>
      <c r="X280" s="2">
        <f t="shared" si="72"/>
        <v>0</v>
      </c>
      <c r="Y280" s="2">
        <f t="shared" si="73"/>
        <v>0</v>
      </c>
      <c r="Z280" s="2">
        <f t="shared" si="74"/>
        <v>0</v>
      </c>
      <c r="AA280" s="2">
        <f t="shared" si="75"/>
        <v>0</v>
      </c>
      <c r="AB280" s="2">
        <f t="shared" si="76"/>
        <v>0</v>
      </c>
      <c r="AC280" s="2">
        <f t="shared" si="77"/>
        <v>0</v>
      </c>
      <c r="AD280" s="2">
        <f t="shared" si="78"/>
        <v>0</v>
      </c>
      <c r="AE280" s="2">
        <f t="shared" si="79"/>
        <v>0</v>
      </c>
    </row>
    <row r="281" spans="1:31">
      <c r="A281" s="1" t="s">
        <v>21</v>
      </c>
      <c r="B281">
        <v>242</v>
      </c>
      <c r="C281" s="5">
        <v>9.6725673101900007</v>
      </c>
      <c r="D281" s="5">
        <v>0.76212033547900004</v>
      </c>
      <c r="E281" s="11">
        <v>96.637</v>
      </c>
      <c r="F281" s="15">
        <v>12.493</v>
      </c>
      <c r="G281" s="15">
        <v>0.5</v>
      </c>
      <c r="H281" s="15">
        <v>0</v>
      </c>
      <c r="I281" s="15">
        <v>0</v>
      </c>
      <c r="J281" s="11">
        <v>0</v>
      </c>
      <c r="K281" s="15">
        <v>0</v>
      </c>
      <c r="L281" s="15">
        <v>0</v>
      </c>
      <c r="M281" s="15">
        <v>0</v>
      </c>
      <c r="N281" s="16">
        <v>0</v>
      </c>
      <c r="O281" s="2">
        <f t="shared" si="65"/>
        <v>109.63</v>
      </c>
      <c r="P281" s="2">
        <f t="shared" si="66"/>
        <v>0</v>
      </c>
      <c r="Q281" s="2">
        <f t="shared" si="67"/>
        <v>109.63</v>
      </c>
      <c r="S281" s="2">
        <f t="shared" si="80"/>
        <v>9.3472788715483119</v>
      </c>
      <c r="T281" s="2">
        <f t="shared" si="68"/>
        <v>1.2083938340620368</v>
      </c>
      <c r="U281" s="2">
        <f t="shared" si="69"/>
        <v>4.836283655095E-2</v>
      </c>
      <c r="V281" s="2">
        <f t="shared" si="70"/>
        <v>0</v>
      </c>
      <c r="W281" s="2">
        <f t="shared" si="71"/>
        <v>0</v>
      </c>
      <c r="X281" s="2">
        <f t="shared" si="72"/>
        <v>0</v>
      </c>
      <c r="Y281" s="2">
        <f t="shared" si="73"/>
        <v>0</v>
      </c>
      <c r="Z281" s="2">
        <f t="shared" si="74"/>
        <v>0</v>
      </c>
      <c r="AA281" s="2">
        <f t="shared" si="75"/>
        <v>0</v>
      </c>
      <c r="AB281" s="2">
        <f t="shared" si="76"/>
        <v>0</v>
      </c>
      <c r="AC281" s="2">
        <f t="shared" si="77"/>
        <v>10.604035542161299</v>
      </c>
      <c r="AD281" s="2">
        <f t="shared" si="78"/>
        <v>0</v>
      </c>
      <c r="AE281" s="2">
        <f t="shared" si="79"/>
        <v>10.604035542161299</v>
      </c>
    </row>
    <row r="282" spans="1:31">
      <c r="A282" s="1" t="s">
        <v>21</v>
      </c>
      <c r="B282">
        <v>243</v>
      </c>
      <c r="C282" s="5">
        <v>99.987049111000005</v>
      </c>
      <c r="D282" s="5">
        <v>9.0215086667200008</v>
      </c>
      <c r="E282" s="11">
        <v>0</v>
      </c>
      <c r="F282" s="15">
        <v>82.34</v>
      </c>
      <c r="G282" s="15">
        <v>22.6</v>
      </c>
      <c r="H282" s="15">
        <v>12.2</v>
      </c>
      <c r="I282" s="15">
        <v>1</v>
      </c>
      <c r="J282" s="11">
        <v>0</v>
      </c>
      <c r="K282" s="15">
        <v>0</v>
      </c>
      <c r="L282" s="15">
        <v>0</v>
      </c>
      <c r="M282" s="15">
        <v>0</v>
      </c>
      <c r="N282" s="16">
        <v>0</v>
      </c>
      <c r="O282" s="2">
        <f t="shared" si="65"/>
        <v>118.14</v>
      </c>
      <c r="P282" s="2">
        <f t="shared" si="66"/>
        <v>0</v>
      </c>
      <c r="Q282" s="2">
        <f t="shared" si="67"/>
        <v>118.14</v>
      </c>
      <c r="S282" s="2">
        <f t="shared" si="80"/>
        <v>0</v>
      </c>
      <c r="T282" s="2">
        <f t="shared" si="68"/>
        <v>82.32933623799741</v>
      </c>
      <c r="U282" s="2">
        <f t="shared" si="69"/>
        <v>22.597073099086</v>
      </c>
      <c r="V282" s="2">
        <f t="shared" si="70"/>
        <v>12.198419991542</v>
      </c>
      <c r="W282" s="2">
        <f t="shared" si="71"/>
        <v>0.99987049111000004</v>
      </c>
      <c r="X282" s="2">
        <f t="shared" si="72"/>
        <v>0</v>
      </c>
      <c r="Y282" s="2">
        <f t="shared" si="73"/>
        <v>0</v>
      </c>
      <c r="Z282" s="2">
        <f t="shared" si="74"/>
        <v>0</v>
      </c>
      <c r="AA282" s="2">
        <f t="shared" si="75"/>
        <v>0</v>
      </c>
      <c r="AB282" s="2">
        <f t="shared" si="76"/>
        <v>0</v>
      </c>
      <c r="AC282" s="2">
        <f t="shared" si="77"/>
        <v>118.12469981973541</v>
      </c>
      <c r="AD282" s="2">
        <f t="shared" si="78"/>
        <v>0</v>
      </c>
      <c r="AE282" s="2">
        <f t="shared" si="79"/>
        <v>118.12469981973541</v>
      </c>
    </row>
    <row r="283" spans="1:31">
      <c r="A283" s="1" t="s">
        <v>21</v>
      </c>
      <c r="B283">
        <v>244</v>
      </c>
      <c r="C283" s="5">
        <v>63.495553569099997</v>
      </c>
      <c r="D283" s="5">
        <v>4.7221066707499997</v>
      </c>
      <c r="E283" s="11">
        <v>0</v>
      </c>
      <c r="F283" s="15">
        <v>28</v>
      </c>
      <c r="G283" s="15">
        <v>8.3000000000000007</v>
      </c>
      <c r="H283" s="15">
        <v>10.199999999999999</v>
      </c>
      <c r="I283" s="15">
        <v>3.8</v>
      </c>
      <c r="J283" s="11">
        <v>0</v>
      </c>
      <c r="K283" s="15">
        <v>0</v>
      </c>
      <c r="L283" s="15">
        <v>0</v>
      </c>
      <c r="M283" s="15">
        <v>0</v>
      </c>
      <c r="N283" s="16">
        <v>0</v>
      </c>
      <c r="O283" s="2">
        <f t="shared" si="65"/>
        <v>50.3</v>
      </c>
      <c r="P283" s="2">
        <f t="shared" si="66"/>
        <v>0</v>
      </c>
      <c r="Q283" s="2">
        <f t="shared" si="67"/>
        <v>50.3</v>
      </c>
      <c r="S283" s="2">
        <f t="shared" si="80"/>
        <v>0</v>
      </c>
      <c r="T283" s="2">
        <f t="shared" si="68"/>
        <v>17.778754999347999</v>
      </c>
      <c r="U283" s="2">
        <f t="shared" si="69"/>
        <v>5.2701309462353008</v>
      </c>
      <c r="V283" s="2">
        <f t="shared" si="70"/>
        <v>6.4765464640481989</v>
      </c>
      <c r="W283" s="2">
        <f t="shared" si="71"/>
        <v>2.4128310356257998</v>
      </c>
      <c r="X283" s="2">
        <f t="shared" si="72"/>
        <v>0</v>
      </c>
      <c r="Y283" s="2">
        <f t="shared" si="73"/>
        <v>0</v>
      </c>
      <c r="Z283" s="2">
        <f t="shared" si="74"/>
        <v>0</v>
      </c>
      <c r="AA283" s="2">
        <f t="shared" si="75"/>
        <v>0</v>
      </c>
      <c r="AB283" s="2">
        <f t="shared" si="76"/>
        <v>0</v>
      </c>
      <c r="AC283" s="2">
        <f t="shared" si="77"/>
        <v>31.938263445257299</v>
      </c>
      <c r="AD283" s="2">
        <f t="shared" si="78"/>
        <v>0</v>
      </c>
      <c r="AE283" s="2">
        <f t="shared" si="79"/>
        <v>31.938263445257299</v>
      </c>
    </row>
    <row r="284" spans="1:31">
      <c r="A284" s="1" t="s">
        <v>21</v>
      </c>
      <c r="B284">
        <v>246</v>
      </c>
      <c r="C284" s="5">
        <v>100</v>
      </c>
      <c r="D284" s="5">
        <v>3.6174241273700001</v>
      </c>
      <c r="E284" s="11">
        <v>0</v>
      </c>
      <c r="F284" s="15">
        <v>0.3</v>
      </c>
      <c r="G284" s="15">
        <v>0</v>
      </c>
      <c r="H284" s="15">
        <v>0</v>
      </c>
      <c r="I284" s="15">
        <v>0</v>
      </c>
      <c r="J284" s="11">
        <v>0</v>
      </c>
      <c r="K284" s="15">
        <v>0</v>
      </c>
      <c r="L284" s="15">
        <v>0</v>
      </c>
      <c r="M284" s="15">
        <v>0</v>
      </c>
      <c r="N284" s="16">
        <v>0</v>
      </c>
      <c r="O284" s="2">
        <f t="shared" si="65"/>
        <v>0.3</v>
      </c>
      <c r="P284" s="2">
        <f t="shared" si="66"/>
        <v>0</v>
      </c>
      <c r="Q284" s="2">
        <f t="shared" si="67"/>
        <v>0.3</v>
      </c>
      <c r="S284" s="2">
        <f t="shared" si="80"/>
        <v>0</v>
      </c>
      <c r="T284" s="2">
        <f t="shared" si="68"/>
        <v>0.3</v>
      </c>
      <c r="U284" s="2">
        <f t="shared" si="69"/>
        <v>0</v>
      </c>
      <c r="V284" s="2">
        <f t="shared" si="70"/>
        <v>0</v>
      </c>
      <c r="W284" s="2">
        <f t="shared" si="71"/>
        <v>0</v>
      </c>
      <c r="X284" s="2">
        <f t="shared" si="72"/>
        <v>0</v>
      </c>
      <c r="Y284" s="2">
        <f t="shared" si="73"/>
        <v>0</v>
      </c>
      <c r="Z284" s="2">
        <f t="shared" si="74"/>
        <v>0</v>
      </c>
      <c r="AA284" s="2">
        <f t="shared" si="75"/>
        <v>0</v>
      </c>
      <c r="AB284" s="2">
        <f t="shared" si="76"/>
        <v>0</v>
      </c>
      <c r="AC284" s="2">
        <f t="shared" si="77"/>
        <v>0.3</v>
      </c>
      <c r="AD284" s="2">
        <f t="shared" si="78"/>
        <v>0</v>
      </c>
      <c r="AE284" s="2">
        <f t="shared" si="79"/>
        <v>0.3</v>
      </c>
    </row>
    <row r="285" spans="1:31">
      <c r="A285" s="1" t="s">
        <v>21</v>
      </c>
      <c r="B285">
        <v>247</v>
      </c>
      <c r="C285" s="5">
        <v>99.999538531499994</v>
      </c>
      <c r="D285" s="5">
        <v>4.2323611185000001</v>
      </c>
      <c r="E285" s="11">
        <v>0</v>
      </c>
      <c r="F285" s="15">
        <v>1.3</v>
      </c>
      <c r="G285" s="15">
        <v>0</v>
      </c>
      <c r="H285" s="15">
        <v>0</v>
      </c>
      <c r="I285" s="15">
        <v>0</v>
      </c>
      <c r="J285" s="11">
        <v>0</v>
      </c>
      <c r="K285" s="15">
        <v>0</v>
      </c>
      <c r="L285" s="15">
        <v>0</v>
      </c>
      <c r="M285" s="15">
        <v>0</v>
      </c>
      <c r="N285" s="16">
        <v>0</v>
      </c>
      <c r="O285" s="2">
        <f t="shared" si="65"/>
        <v>1.3</v>
      </c>
      <c r="P285" s="2">
        <f t="shared" si="66"/>
        <v>0</v>
      </c>
      <c r="Q285" s="2">
        <f t="shared" si="67"/>
        <v>1.3</v>
      </c>
      <c r="S285" s="2">
        <f t="shared" si="80"/>
        <v>0</v>
      </c>
      <c r="T285" s="2">
        <f t="shared" si="68"/>
        <v>1.2999940009094999</v>
      </c>
      <c r="U285" s="2">
        <f t="shared" si="69"/>
        <v>0</v>
      </c>
      <c r="V285" s="2">
        <f t="shared" si="70"/>
        <v>0</v>
      </c>
      <c r="W285" s="2">
        <f t="shared" si="71"/>
        <v>0</v>
      </c>
      <c r="X285" s="2">
        <f t="shared" si="72"/>
        <v>0</v>
      </c>
      <c r="Y285" s="2">
        <f t="shared" si="73"/>
        <v>0</v>
      </c>
      <c r="Z285" s="2">
        <f t="shared" si="74"/>
        <v>0</v>
      </c>
      <c r="AA285" s="2">
        <f t="shared" si="75"/>
        <v>0</v>
      </c>
      <c r="AB285" s="2">
        <f t="shared" si="76"/>
        <v>0</v>
      </c>
      <c r="AC285" s="2">
        <f t="shared" si="77"/>
        <v>1.2999940009094999</v>
      </c>
      <c r="AD285" s="2">
        <f t="shared" si="78"/>
        <v>0</v>
      </c>
      <c r="AE285" s="2">
        <f t="shared" si="79"/>
        <v>1.2999940009094999</v>
      </c>
    </row>
    <row r="286" spans="1:31">
      <c r="A286" s="1" t="s">
        <v>21</v>
      </c>
      <c r="B286">
        <v>248</v>
      </c>
      <c r="C286" s="5">
        <v>100</v>
      </c>
      <c r="D286" s="5">
        <v>4.9614046920900003</v>
      </c>
      <c r="E286" s="11">
        <v>0</v>
      </c>
      <c r="F286" s="15">
        <v>37.200000000000003</v>
      </c>
      <c r="G286" s="15">
        <v>7.6</v>
      </c>
      <c r="H286" s="15">
        <v>3.9</v>
      </c>
      <c r="I286" s="15">
        <v>0.4</v>
      </c>
      <c r="J286" s="11">
        <v>0</v>
      </c>
      <c r="K286" s="15">
        <v>0</v>
      </c>
      <c r="L286" s="15">
        <v>0</v>
      </c>
      <c r="M286" s="15">
        <v>0</v>
      </c>
      <c r="N286" s="16">
        <v>0</v>
      </c>
      <c r="O286" s="2">
        <f t="shared" si="65"/>
        <v>49.1</v>
      </c>
      <c r="P286" s="2">
        <f t="shared" si="66"/>
        <v>0</v>
      </c>
      <c r="Q286" s="2">
        <f t="shared" si="67"/>
        <v>49.1</v>
      </c>
      <c r="S286" s="2">
        <f t="shared" si="80"/>
        <v>0</v>
      </c>
      <c r="T286" s="2">
        <f t="shared" si="68"/>
        <v>37.200000000000003</v>
      </c>
      <c r="U286" s="2">
        <f t="shared" si="69"/>
        <v>7.6</v>
      </c>
      <c r="V286" s="2">
        <f t="shared" si="70"/>
        <v>3.9</v>
      </c>
      <c r="W286" s="2">
        <f t="shared" si="71"/>
        <v>0.4</v>
      </c>
      <c r="X286" s="2">
        <f t="shared" si="72"/>
        <v>0</v>
      </c>
      <c r="Y286" s="2">
        <f t="shared" si="73"/>
        <v>0</v>
      </c>
      <c r="Z286" s="2">
        <f t="shared" si="74"/>
        <v>0</v>
      </c>
      <c r="AA286" s="2">
        <f t="shared" si="75"/>
        <v>0</v>
      </c>
      <c r="AB286" s="2">
        <f t="shared" si="76"/>
        <v>0</v>
      </c>
      <c r="AC286" s="2">
        <f t="shared" si="77"/>
        <v>49.1</v>
      </c>
      <c r="AD286" s="2">
        <f t="shared" si="78"/>
        <v>0</v>
      </c>
      <c r="AE286" s="2">
        <f t="shared" si="79"/>
        <v>49.1</v>
      </c>
    </row>
    <row r="287" spans="1:31">
      <c r="A287" s="1" t="s">
        <v>21</v>
      </c>
      <c r="B287">
        <v>249</v>
      </c>
      <c r="C287" s="5">
        <v>99.999557390899994</v>
      </c>
      <c r="D287" s="5">
        <v>19.252443199199998</v>
      </c>
      <c r="E287" s="11">
        <v>0</v>
      </c>
      <c r="F287" s="15">
        <v>112.6</v>
      </c>
      <c r="G287" s="15">
        <v>25.9</v>
      </c>
      <c r="H287" s="15">
        <v>21.7</v>
      </c>
      <c r="I287" s="15">
        <v>10.8</v>
      </c>
      <c r="J287" s="11">
        <v>0</v>
      </c>
      <c r="K287" s="15">
        <v>0</v>
      </c>
      <c r="L287" s="15">
        <v>0</v>
      </c>
      <c r="M287" s="15">
        <v>0</v>
      </c>
      <c r="N287" s="16">
        <v>0</v>
      </c>
      <c r="O287" s="2">
        <f t="shared" si="65"/>
        <v>171</v>
      </c>
      <c r="P287" s="2">
        <f t="shared" si="66"/>
        <v>0</v>
      </c>
      <c r="Q287" s="2">
        <f t="shared" si="67"/>
        <v>171</v>
      </c>
      <c r="S287" s="2">
        <f t="shared" si="80"/>
        <v>0</v>
      </c>
      <c r="T287" s="2">
        <f t="shared" si="68"/>
        <v>112.59950162215338</v>
      </c>
      <c r="U287" s="2">
        <f t="shared" si="69"/>
        <v>25.899885364243097</v>
      </c>
      <c r="V287" s="2">
        <f t="shared" si="70"/>
        <v>21.699903953825295</v>
      </c>
      <c r="W287" s="2">
        <f t="shared" si="71"/>
        <v>10.7999521982172</v>
      </c>
      <c r="X287" s="2">
        <f t="shared" si="72"/>
        <v>0</v>
      </c>
      <c r="Y287" s="2">
        <f t="shared" si="73"/>
        <v>0</v>
      </c>
      <c r="Z287" s="2">
        <f t="shared" si="74"/>
        <v>0</v>
      </c>
      <c r="AA287" s="2">
        <f t="shared" si="75"/>
        <v>0</v>
      </c>
      <c r="AB287" s="2">
        <f t="shared" si="76"/>
        <v>0</v>
      </c>
      <c r="AC287" s="2">
        <f t="shared" si="77"/>
        <v>170.99924313843897</v>
      </c>
      <c r="AD287" s="2">
        <f t="shared" si="78"/>
        <v>0</v>
      </c>
      <c r="AE287" s="2">
        <f t="shared" si="79"/>
        <v>170.99924313843897</v>
      </c>
    </row>
    <row r="288" spans="1:31">
      <c r="A288" s="1" t="s">
        <v>21</v>
      </c>
      <c r="B288">
        <v>250</v>
      </c>
      <c r="C288" s="5">
        <v>99.998571083399995</v>
      </c>
      <c r="D288" s="5">
        <v>8.2747442078500004</v>
      </c>
      <c r="E288" s="11">
        <v>455.75420000000003</v>
      </c>
      <c r="F288" s="15">
        <v>367.8</v>
      </c>
      <c r="G288" s="15">
        <v>160.4</v>
      </c>
      <c r="H288" s="15">
        <v>137.19999999999999</v>
      </c>
      <c r="I288" s="15">
        <v>40.299999999999997</v>
      </c>
      <c r="J288" s="11">
        <v>0</v>
      </c>
      <c r="K288" s="15">
        <v>0</v>
      </c>
      <c r="L288" s="15">
        <v>0</v>
      </c>
      <c r="M288" s="15">
        <v>0</v>
      </c>
      <c r="N288" s="16">
        <v>0</v>
      </c>
      <c r="O288" s="2">
        <f t="shared" si="65"/>
        <v>1161.4541999999999</v>
      </c>
      <c r="P288" s="2">
        <f t="shared" si="66"/>
        <v>0</v>
      </c>
      <c r="Q288" s="2">
        <f t="shared" si="67"/>
        <v>1161.4541999999999</v>
      </c>
      <c r="S288" s="2">
        <f t="shared" si="80"/>
        <v>455.74768765258102</v>
      </c>
      <c r="T288" s="2">
        <f t="shared" si="68"/>
        <v>367.79474444474516</v>
      </c>
      <c r="U288" s="2">
        <f t="shared" si="69"/>
        <v>160.3977080177736</v>
      </c>
      <c r="V288" s="2">
        <f t="shared" si="70"/>
        <v>137.19803952642479</v>
      </c>
      <c r="W288" s="2">
        <f t="shared" si="71"/>
        <v>40.299424146610193</v>
      </c>
      <c r="X288" s="2">
        <f t="shared" si="72"/>
        <v>0</v>
      </c>
      <c r="Y288" s="2">
        <f t="shared" si="73"/>
        <v>0</v>
      </c>
      <c r="Z288" s="2">
        <f t="shared" si="74"/>
        <v>0</v>
      </c>
      <c r="AA288" s="2">
        <f t="shared" si="75"/>
        <v>0</v>
      </c>
      <c r="AB288" s="2">
        <f t="shared" si="76"/>
        <v>0</v>
      </c>
      <c r="AC288" s="2">
        <f t="shared" si="77"/>
        <v>1161.4376037881345</v>
      </c>
      <c r="AD288" s="2">
        <f t="shared" si="78"/>
        <v>0</v>
      </c>
      <c r="AE288" s="2">
        <f t="shared" si="79"/>
        <v>1161.4376037881345</v>
      </c>
    </row>
    <row r="289" spans="1:31">
      <c r="A289" s="1" t="s">
        <v>21</v>
      </c>
      <c r="B289">
        <v>251</v>
      </c>
      <c r="C289" s="5">
        <v>62.626209763299997</v>
      </c>
      <c r="D289" s="5">
        <v>1.3503149892099999</v>
      </c>
      <c r="E289" s="11">
        <v>0</v>
      </c>
      <c r="F289" s="15">
        <v>0</v>
      </c>
      <c r="G289" s="15">
        <v>0</v>
      </c>
      <c r="H289" s="15">
        <v>0</v>
      </c>
      <c r="I289" s="15">
        <v>0</v>
      </c>
      <c r="J289" s="11">
        <v>0</v>
      </c>
      <c r="K289" s="15">
        <v>0</v>
      </c>
      <c r="L289" s="15">
        <v>0</v>
      </c>
      <c r="M289" s="15">
        <v>0</v>
      </c>
      <c r="N289" s="16">
        <v>0</v>
      </c>
      <c r="O289" s="2">
        <f t="shared" si="65"/>
        <v>0</v>
      </c>
      <c r="P289" s="2">
        <f t="shared" si="66"/>
        <v>0</v>
      </c>
      <c r="Q289" s="2">
        <f t="shared" si="67"/>
        <v>0</v>
      </c>
      <c r="S289" s="2">
        <f t="shared" si="80"/>
        <v>0</v>
      </c>
      <c r="T289" s="2">
        <f t="shared" si="68"/>
        <v>0</v>
      </c>
      <c r="U289" s="2">
        <f t="shared" si="69"/>
        <v>0</v>
      </c>
      <c r="V289" s="2">
        <f t="shared" si="70"/>
        <v>0</v>
      </c>
      <c r="W289" s="2">
        <f t="shared" si="71"/>
        <v>0</v>
      </c>
      <c r="X289" s="2">
        <f t="shared" si="72"/>
        <v>0</v>
      </c>
      <c r="Y289" s="2">
        <f t="shared" si="73"/>
        <v>0</v>
      </c>
      <c r="Z289" s="2">
        <f t="shared" si="74"/>
        <v>0</v>
      </c>
      <c r="AA289" s="2">
        <f t="shared" si="75"/>
        <v>0</v>
      </c>
      <c r="AB289" s="2">
        <f t="shared" si="76"/>
        <v>0</v>
      </c>
      <c r="AC289" s="2">
        <f t="shared" si="77"/>
        <v>0</v>
      </c>
      <c r="AD289" s="2">
        <f t="shared" si="78"/>
        <v>0</v>
      </c>
      <c r="AE289" s="2">
        <f t="shared" si="79"/>
        <v>0</v>
      </c>
    </row>
    <row r="290" spans="1:31">
      <c r="A290" s="1" t="s">
        <v>21</v>
      </c>
      <c r="B290">
        <v>252</v>
      </c>
      <c r="C290" s="5">
        <v>64.059121232899997</v>
      </c>
      <c r="D290" s="5">
        <v>5.4991107380999997</v>
      </c>
      <c r="E290" s="11">
        <v>0</v>
      </c>
      <c r="F290" s="15">
        <v>80.3</v>
      </c>
      <c r="G290" s="15">
        <v>3.7</v>
      </c>
      <c r="H290" s="15">
        <v>0</v>
      </c>
      <c r="I290" s="15">
        <v>0</v>
      </c>
      <c r="J290" s="11">
        <v>0</v>
      </c>
      <c r="K290" s="15">
        <v>0</v>
      </c>
      <c r="L290" s="15">
        <v>0</v>
      </c>
      <c r="M290" s="15">
        <v>0</v>
      </c>
      <c r="N290" s="16">
        <v>0</v>
      </c>
      <c r="O290" s="2">
        <f t="shared" si="65"/>
        <v>84</v>
      </c>
      <c r="P290" s="2">
        <f t="shared" si="66"/>
        <v>0</v>
      </c>
      <c r="Q290" s="2">
        <f t="shared" si="67"/>
        <v>84</v>
      </c>
      <c r="S290" s="2">
        <f t="shared" si="80"/>
        <v>0</v>
      </c>
      <c r="T290" s="2">
        <f t="shared" si="68"/>
        <v>51.439474350018699</v>
      </c>
      <c r="U290" s="2">
        <f t="shared" si="69"/>
        <v>2.3701874856173002</v>
      </c>
      <c r="V290" s="2">
        <f t="shared" si="70"/>
        <v>0</v>
      </c>
      <c r="W290" s="2">
        <f t="shared" si="71"/>
        <v>0</v>
      </c>
      <c r="X290" s="2">
        <f t="shared" si="72"/>
        <v>0</v>
      </c>
      <c r="Y290" s="2">
        <f t="shared" si="73"/>
        <v>0</v>
      </c>
      <c r="Z290" s="2">
        <f t="shared" si="74"/>
        <v>0</v>
      </c>
      <c r="AA290" s="2">
        <f t="shared" si="75"/>
        <v>0</v>
      </c>
      <c r="AB290" s="2">
        <f t="shared" si="76"/>
        <v>0</v>
      </c>
      <c r="AC290" s="2">
        <f t="shared" si="77"/>
        <v>53.809661835636</v>
      </c>
      <c r="AD290" s="2">
        <f t="shared" si="78"/>
        <v>0</v>
      </c>
      <c r="AE290" s="2">
        <f t="shared" si="79"/>
        <v>53.809661835636</v>
      </c>
    </row>
    <row r="291" spans="1:31">
      <c r="A291" s="1" t="s">
        <v>21</v>
      </c>
      <c r="B291">
        <v>253</v>
      </c>
      <c r="C291" s="5">
        <v>19.356245180799998</v>
      </c>
      <c r="D291" s="5">
        <v>0.77968142200000001</v>
      </c>
      <c r="E291" s="11">
        <v>580.9</v>
      </c>
      <c r="F291" s="15">
        <v>129.80000000000001</v>
      </c>
      <c r="G291" s="15">
        <v>41.7</v>
      </c>
      <c r="H291" s="15">
        <v>8.6999999999999993</v>
      </c>
      <c r="I291" s="15">
        <v>0</v>
      </c>
      <c r="J291" s="11">
        <v>0</v>
      </c>
      <c r="K291" s="15">
        <v>0</v>
      </c>
      <c r="L291" s="15">
        <v>0</v>
      </c>
      <c r="M291" s="15">
        <v>0</v>
      </c>
      <c r="N291" s="16">
        <v>0</v>
      </c>
      <c r="O291" s="2">
        <f t="shared" si="65"/>
        <v>761.10000000000014</v>
      </c>
      <c r="P291" s="2">
        <f t="shared" si="66"/>
        <v>0</v>
      </c>
      <c r="Q291" s="2">
        <f t="shared" si="67"/>
        <v>761.10000000000014</v>
      </c>
      <c r="S291" s="2">
        <f t="shared" si="80"/>
        <v>112.44042825526718</v>
      </c>
      <c r="T291" s="2">
        <f t="shared" si="68"/>
        <v>25.124406244678397</v>
      </c>
      <c r="U291" s="2">
        <f t="shared" si="69"/>
        <v>8.0715542403936009</v>
      </c>
      <c r="V291" s="2">
        <f t="shared" si="70"/>
        <v>1.6839933307295996</v>
      </c>
      <c r="W291" s="2">
        <f t="shared" si="71"/>
        <v>0</v>
      </c>
      <c r="X291" s="2">
        <f t="shared" si="72"/>
        <v>0</v>
      </c>
      <c r="Y291" s="2">
        <f t="shared" si="73"/>
        <v>0</v>
      </c>
      <c r="Z291" s="2">
        <f t="shared" si="74"/>
        <v>0</v>
      </c>
      <c r="AA291" s="2">
        <f t="shared" si="75"/>
        <v>0</v>
      </c>
      <c r="AB291" s="2">
        <f t="shared" si="76"/>
        <v>0</v>
      </c>
      <c r="AC291" s="2">
        <f t="shared" si="77"/>
        <v>147.32038207106882</v>
      </c>
      <c r="AD291" s="2">
        <f t="shared" si="78"/>
        <v>0</v>
      </c>
      <c r="AE291" s="2">
        <f t="shared" si="79"/>
        <v>147.32038207106882</v>
      </c>
    </row>
    <row r="292" spans="1:31">
      <c r="A292" s="1" t="s">
        <v>21</v>
      </c>
      <c r="B292">
        <v>300</v>
      </c>
      <c r="C292" s="5">
        <v>8.0913774683100002</v>
      </c>
      <c r="D292" s="5">
        <v>0.75456010394999995</v>
      </c>
      <c r="E292" s="11">
        <v>175.5</v>
      </c>
      <c r="F292" s="15">
        <v>104.19999899999999</v>
      </c>
      <c r="G292" s="15">
        <v>71.8</v>
      </c>
      <c r="H292" s="15">
        <v>84.4</v>
      </c>
      <c r="I292" s="15">
        <v>41.9</v>
      </c>
      <c r="J292" s="11">
        <v>0</v>
      </c>
      <c r="K292" s="15">
        <v>0</v>
      </c>
      <c r="L292" s="15">
        <v>0</v>
      </c>
      <c r="M292" s="15">
        <v>0</v>
      </c>
      <c r="N292" s="16">
        <v>0</v>
      </c>
      <c r="O292" s="2">
        <f t="shared" si="65"/>
        <v>477.79999899999996</v>
      </c>
      <c r="P292" s="2">
        <f t="shared" si="66"/>
        <v>0</v>
      </c>
      <c r="Q292" s="2">
        <f t="shared" si="67"/>
        <v>477.79999899999996</v>
      </c>
      <c r="S292" s="2">
        <f t="shared" si="80"/>
        <v>14.200367456884051</v>
      </c>
      <c r="T292" s="2">
        <f t="shared" si="68"/>
        <v>8.4312152410652441</v>
      </c>
      <c r="U292" s="2">
        <f t="shared" si="69"/>
        <v>5.8096090222465797</v>
      </c>
      <c r="V292" s="2">
        <f t="shared" si="70"/>
        <v>6.8291225832536409</v>
      </c>
      <c r="W292" s="2">
        <f t="shared" si="71"/>
        <v>3.3902871592218902</v>
      </c>
      <c r="X292" s="2">
        <f t="shared" si="72"/>
        <v>0</v>
      </c>
      <c r="Y292" s="2">
        <f t="shared" si="73"/>
        <v>0</v>
      </c>
      <c r="Z292" s="2">
        <f t="shared" si="74"/>
        <v>0</v>
      </c>
      <c r="AA292" s="2">
        <f t="shared" si="75"/>
        <v>0</v>
      </c>
      <c r="AB292" s="2">
        <f t="shared" si="76"/>
        <v>0</v>
      </c>
      <c r="AC292" s="2">
        <f t="shared" si="77"/>
        <v>38.660601462671401</v>
      </c>
      <c r="AD292" s="2">
        <f t="shared" si="78"/>
        <v>0</v>
      </c>
      <c r="AE292" s="2">
        <f t="shared" si="79"/>
        <v>38.660601462671401</v>
      </c>
    </row>
    <row r="293" spans="1:31">
      <c r="A293" s="1" t="s">
        <v>21</v>
      </c>
      <c r="B293">
        <v>301</v>
      </c>
      <c r="C293" s="5">
        <v>32.085920768199998</v>
      </c>
      <c r="D293" s="5">
        <v>1.0937465388500001</v>
      </c>
      <c r="E293" s="11">
        <v>76.599999999999994</v>
      </c>
      <c r="F293" s="15">
        <v>27.3</v>
      </c>
      <c r="G293" s="15">
        <v>9.6999999999999993</v>
      </c>
      <c r="H293" s="15">
        <v>12.4</v>
      </c>
      <c r="I293" s="15">
        <v>0</v>
      </c>
      <c r="J293" s="11">
        <v>0</v>
      </c>
      <c r="K293" s="15">
        <v>0</v>
      </c>
      <c r="L293" s="15">
        <v>0</v>
      </c>
      <c r="M293" s="15">
        <v>0</v>
      </c>
      <c r="N293" s="16">
        <v>0</v>
      </c>
      <c r="O293" s="2">
        <f t="shared" si="65"/>
        <v>126</v>
      </c>
      <c r="P293" s="2">
        <f t="shared" si="66"/>
        <v>0</v>
      </c>
      <c r="Q293" s="2">
        <f t="shared" si="67"/>
        <v>126</v>
      </c>
      <c r="S293" s="2">
        <f t="shared" si="80"/>
        <v>24.577815308441195</v>
      </c>
      <c r="T293" s="2">
        <f t="shared" si="68"/>
        <v>8.759456369718599</v>
      </c>
      <c r="U293" s="2">
        <f t="shared" si="69"/>
        <v>3.1123343145153997</v>
      </c>
      <c r="V293" s="2">
        <f t="shared" si="70"/>
        <v>3.9786541752567994</v>
      </c>
      <c r="W293" s="2">
        <f t="shared" si="71"/>
        <v>0</v>
      </c>
      <c r="X293" s="2">
        <f t="shared" si="72"/>
        <v>0</v>
      </c>
      <c r="Y293" s="2">
        <f t="shared" si="73"/>
        <v>0</v>
      </c>
      <c r="Z293" s="2">
        <f t="shared" si="74"/>
        <v>0</v>
      </c>
      <c r="AA293" s="2">
        <f t="shared" si="75"/>
        <v>0</v>
      </c>
      <c r="AB293" s="2">
        <f t="shared" si="76"/>
        <v>0</v>
      </c>
      <c r="AC293" s="2">
        <f t="shared" si="77"/>
        <v>40.428260167931995</v>
      </c>
      <c r="AD293" s="2">
        <f t="shared" si="78"/>
        <v>0</v>
      </c>
      <c r="AE293" s="2">
        <f t="shared" si="79"/>
        <v>40.428260167931995</v>
      </c>
    </row>
    <row r="294" spans="1:31">
      <c r="A294" s="1" t="s">
        <v>21</v>
      </c>
      <c r="B294">
        <v>308</v>
      </c>
      <c r="C294" s="5">
        <v>99.999473534100005</v>
      </c>
      <c r="D294" s="5">
        <v>3.6132087676400002</v>
      </c>
      <c r="E294" s="11">
        <v>294.29997000000003</v>
      </c>
      <c r="F294" s="15">
        <v>148.89996000000002</v>
      </c>
      <c r="G294" s="15">
        <v>80</v>
      </c>
      <c r="H294" s="15">
        <v>45.1</v>
      </c>
      <c r="I294" s="15">
        <v>7.3</v>
      </c>
      <c r="J294" s="11">
        <v>0</v>
      </c>
      <c r="K294" s="15">
        <v>0</v>
      </c>
      <c r="L294" s="15">
        <v>0</v>
      </c>
      <c r="M294" s="15">
        <v>0</v>
      </c>
      <c r="N294" s="16">
        <v>0</v>
      </c>
      <c r="O294" s="2">
        <f t="shared" si="65"/>
        <v>575.59992999999997</v>
      </c>
      <c r="P294" s="2">
        <f t="shared" si="66"/>
        <v>0</v>
      </c>
      <c r="Q294" s="2">
        <f t="shared" si="67"/>
        <v>575.59992999999997</v>
      </c>
      <c r="S294" s="2">
        <f t="shared" si="80"/>
        <v>294.29842061101431</v>
      </c>
      <c r="T294" s="2">
        <f t="shared" si="68"/>
        <v>148.89917609248553</v>
      </c>
      <c r="U294" s="2">
        <f t="shared" si="69"/>
        <v>79.999578827280004</v>
      </c>
      <c r="V294" s="2">
        <f t="shared" si="70"/>
        <v>45.099762563879104</v>
      </c>
      <c r="W294" s="2">
        <f t="shared" si="71"/>
        <v>7.2999615679892997</v>
      </c>
      <c r="X294" s="2">
        <f t="shared" si="72"/>
        <v>0</v>
      </c>
      <c r="Y294" s="2">
        <f t="shared" si="73"/>
        <v>0</v>
      </c>
      <c r="Z294" s="2">
        <f t="shared" si="74"/>
        <v>0</v>
      </c>
      <c r="AA294" s="2">
        <f t="shared" si="75"/>
        <v>0</v>
      </c>
      <c r="AB294" s="2">
        <f t="shared" si="76"/>
        <v>0</v>
      </c>
      <c r="AC294" s="2">
        <f t="shared" si="77"/>
        <v>575.59689966264818</v>
      </c>
      <c r="AD294" s="2">
        <f t="shared" si="78"/>
        <v>0</v>
      </c>
      <c r="AE294" s="2">
        <f t="shared" si="79"/>
        <v>575.59689966264818</v>
      </c>
    </row>
    <row r="295" spans="1:31">
      <c r="A295" s="1" t="s">
        <v>22</v>
      </c>
      <c r="B295">
        <v>73</v>
      </c>
      <c r="C295" s="5">
        <v>23.828802686</v>
      </c>
      <c r="D295" s="5">
        <v>1.52825334298</v>
      </c>
      <c r="E295" s="11">
        <v>0</v>
      </c>
      <c r="F295" s="15">
        <v>0</v>
      </c>
      <c r="G295" s="15">
        <v>0</v>
      </c>
      <c r="H295" s="15">
        <v>0</v>
      </c>
      <c r="I295" s="15">
        <v>32.1</v>
      </c>
      <c r="J295" s="11">
        <v>0</v>
      </c>
      <c r="K295" s="15">
        <v>0</v>
      </c>
      <c r="L295" s="15">
        <v>0</v>
      </c>
      <c r="M295" s="15">
        <v>0</v>
      </c>
      <c r="N295" s="16">
        <v>0</v>
      </c>
      <c r="O295" s="2">
        <f t="shared" si="65"/>
        <v>32.1</v>
      </c>
      <c r="P295" s="2">
        <f t="shared" si="66"/>
        <v>0</v>
      </c>
      <c r="Q295" s="2">
        <f t="shared" si="67"/>
        <v>32.1</v>
      </c>
      <c r="S295" s="2">
        <f t="shared" si="80"/>
        <v>0</v>
      </c>
      <c r="T295" s="2">
        <f t="shared" si="68"/>
        <v>0</v>
      </c>
      <c r="U295" s="2">
        <f t="shared" si="69"/>
        <v>0</v>
      </c>
      <c r="V295" s="2">
        <f t="shared" si="70"/>
        <v>0</v>
      </c>
      <c r="W295" s="2">
        <f t="shared" si="71"/>
        <v>7.6490456622060004</v>
      </c>
      <c r="X295" s="2">
        <f t="shared" si="72"/>
        <v>0</v>
      </c>
      <c r="Y295" s="2">
        <f t="shared" si="73"/>
        <v>0</v>
      </c>
      <c r="Z295" s="2">
        <f t="shared" si="74"/>
        <v>0</v>
      </c>
      <c r="AA295" s="2">
        <f t="shared" si="75"/>
        <v>0</v>
      </c>
      <c r="AB295" s="2">
        <f t="shared" si="76"/>
        <v>0</v>
      </c>
      <c r="AC295" s="2">
        <f t="shared" si="77"/>
        <v>7.6490456622060004</v>
      </c>
      <c r="AD295" s="2">
        <f t="shared" si="78"/>
        <v>0</v>
      </c>
      <c r="AE295" s="2">
        <f t="shared" si="79"/>
        <v>7.6490456622060004</v>
      </c>
    </row>
    <row r="296" spans="1:31">
      <c r="A296" s="1" t="s">
        <v>22</v>
      </c>
      <c r="B296">
        <v>74</v>
      </c>
      <c r="C296" s="5">
        <v>82.9732620467</v>
      </c>
      <c r="D296" s="5">
        <v>16.680795055000001</v>
      </c>
      <c r="E296" s="11">
        <v>0</v>
      </c>
      <c r="F296" s="15">
        <v>0</v>
      </c>
      <c r="G296" s="15">
        <v>0</v>
      </c>
      <c r="H296" s="15">
        <v>140.66</v>
      </c>
      <c r="I296" s="15">
        <v>9147.8565050000016</v>
      </c>
      <c r="J296" s="11">
        <v>0</v>
      </c>
      <c r="K296" s="15">
        <v>0</v>
      </c>
      <c r="L296" s="15">
        <v>0</v>
      </c>
      <c r="M296" s="15">
        <v>0</v>
      </c>
      <c r="N296" s="16">
        <v>0</v>
      </c>
      <c r="O296" s="2">
        <f t="shared" si="65"/>
        <v>9288.5165050000014</v>
      </c>
      <c r="P296" s="2">
        <f t="shared" si="66"/>
        <v>0</v>
      </c>
      <c r="Q296" s="2">
        <f t="shared" si="67"/>
        <v>9288.5165050000014</v>
      </c>
      <c r="S296" s="2">
        <f t="shared" si="80"/>
        <v>0</v>
      </c>
      <c r="T296" s="2">
        <f t="shared" si="68"/>
        <v>0</v>
      </c>
      <c r="U296" s="2">
        <f t="shared" si="69"/>
        <v>0</v>
      </c>
      <c r="V296" s="2">
        <f t="shared" si="70"/>
        <v>116.71019039488822</v>
      </c>
      <c r="W296" s="2">
        <f t="shared" si="71"/>
        <v>7590.2749495497437</v>
      </c>
      <c r="X296" s="2">
        <f t="shared" si="72"/>
        <v>0</v>
      </c>
      <c r="Y296" s="2">
        <f t="shared" si="73"/>
        <v>0</v>
      </c>
      <c r="Z296" s="2">
        <f t="shared" si="74"/>
        <v>0</v>
      </c>
      <c r="AA296" s="2">
        <f t="shared" si="75"/>
        <v>0</v>
      </c>
      <c r="AB296" s="2">
        <f t="shared" si="76"/>
        <v>0</v>
      </c>
      <c r="AC296" s="2">
        <f t="shared" si="77"/>
        <v>7706.9851399446316</v>
      </c>
      <c r="AD296" s="2">
        <f t="shared" si="78"/>
        <v>0</v>
      </c>
      <c r="AE296" s="2">
        <f t="shared" si="79"/>
        <v>7706.9851399446316</v>
      </c>
    </row>
    <row r="297" spans="1:31">
      <c r="A297" s="1" t="s">
        <v>22</v>
      </c>
      <c r="B297">
        <v>75</v>
      </c>
      <c r="C297" s="5">
        <v>99.999705556099997</v>
      </c>
      <c r="D297" s="5">
        <v>4.5330655231800003</v>
      </c>
      <c r="E297" s="11">
        <v>0</v>
      </c>
      <c r="F297" s="15">
        <v>0</v>
      </c>
      <c r="G297" s="15">
        <v>12.338010000000001</v>
      </c>
      <c r="H297" s="15">
        <v>24.7</v>
      </c>
      <c r="I297" s="15">
        <v>12.2</v>
      </c>
      <c r="J297" s="11">
        <v>0</v>
      </c>
      <c r="K297" s="15">
        <v>0</v>
      </c>
      <c r="L297" s="15">
        <v>0</v>
      </c>
      <c r="M297" s="15">
        <v>0</v>
      </c>
      <c r="N297" s="16">
        <v>0</v>
      </c>
      <c r="O297" s="2">
        <f t="shared" si="65"/>
        <v>49.238010000000003</v>
      </c>
      <c r="P297" s="2">
        <f t="shared" si="66"/>
        <v>0</v>
      </c>
      <c r="Q297" s="2">
        <f t="shared" si="67"/>
        <v>49.238010000000003</v>
      </c>
      <c r="S297" s="2">
        <f t="shared" si="80"/>
        <v>0</v>
      </c>
      <c r="T297" s="2">
        <f t="shared" si="68"/>
        <v>0</v>
      </c>
      <c r="U297" s="2">
        <f t="shared" si="69"/>
        <v>12.337973671482173</v>
      </c>
      <c r="V297" s="2">
        <f t="shared" si="70"/>
        <v>24.6999272723567</v>
      </c>
      <c r="W297" s="2">
        <f t="shared" si="71"/>
        <v>12.1999640778442</v>
      </c>
      <c r="X297" s="2">
        <f t="shared" si="72"/>
        <v>0</v>
      </c>
      <c r="Y297" s="2">
        <f t="shared" si="73"/>
        <v>0</v>
      </c>
      <c r="Z297" s="2">
        <f t="shared" si="74"/>
        <v>0</v>
      </c>
      <c r="AA297" s="2">
        <f t="shared" si="75"/>
        <v>0</v>
      </c>
      <c r="AB297" s="2">
        <f t="shared" si="76"/>
        <v>0</v>
      </c>
      <c r="AC297" s="2">
        <f t="shared" si="77"/>
        <v>49.237865021683071</v>
      </c>
      <c r="AD297" s="2">
        <f t="shared" si="78"/>
        <v>0</v>
      </c>
      <c r="AE297" s="2">
        <f t="shared" si="79"/>
        <v>49.237865021683071</v>
      </c>
    </row>
    <row r="298" spans="1:31">
      <c r="A298" s="1" t="s">
        <v>22</v>
      </c>
      <c r="B298">
        <v>76</v>
      </c>
      <c r="C298" s="5">
        <v>99.999975851499997</v>
      </c>
      <c r="D298" s="5">
        <v>6.6810383163099996</v>
      </c>
      <c r="E298" s="11">
        <v>0</v>
      </c>
      <c r="F298" s="15">
        <v>0</v>
      </c>
      <c r="G298" s="15">
        <v>0</v>
      </c>
      <c r="H298" s="15">
        <v>1.2</v>
      </c>
      <c r="I298" s="15">
        <v>0</v>
      </c>
      <c r="J298" s="11">
        <v>0</v>
      </c>
      <c r="K298" s="15">
        <v>0</v>
      </c>
      <c r="L298" s="15">
        <v>0</v>
      </c>
      <c r="M298" s="15">
        <v>0</v>
      </c>
      <c r="N298" s="16">
        <v>0</v>
      </c>
      <c r="O298" s="2">
        <f t="shared" si="65"/>
        <v>1.2</v>
      </c>
      <c r="P298" s="2">
        <f t="shared" si="66"/>
        <v>0</v>
      </c>
      <c r="Q298" s="2">
        <f t="shared" si="67"/>
        <v>1.2</v>
      </c>
      <c r="S298" s="2">
        <f t="shared" si="80"/>
        <v>0</v>
      </c>
      <c r="T298" s="2">
        <f t="shared" si="68"/>
        <v>0</v>
      </c>
      <c r="U298" s="2">
        <f t="shared" si="69"/>
        <v>0</v>
      </c>
      <c r="V298" s="2">
        <f t="shared" si="70"/>
        <v>1.199999710218</v>
      </c>
      <c r="W298" s="2">
        <f t="shared" si="71"/>
        <v>0</v>
      </c>
      <c r="X298" s="2">
        <f t="shared" si="72"/>
        <v>0</v>
      </c>
      <c r="Y298" s="2">
        <f t="shared" si="73"/>
        <v>0</v>
      </c>
      <c r="Z298" s="2">
        <f t="shared" si="74"/>
        <v>0</v>
      </c>
      <c r="AA298" s="2">
        <f t="shared" si="75"/>
        <v>0</v>
      </c>
      <c r="AB298" s="2">
        <f t="shared" si="76"/>
        <v>0</v>
      </c>
      <c r="AC298" s="2">
        <f t="shared" si="77"/>
        <v>1.199999710218</v>
      </c>
      <c r="AD298" s="2">
        <f t="shared" si="78"/>
        <v>0</v>
      </c>
      <c r="AE298" s="2">
        <f t="shared" si="79"/>
        <v>1.199999710218</v>
      </c>
    </row>
    <row r="299" spans="1:31">
      <c r="A299" s="1" t="s">
        <v>22</v>
      </c>
      <c r="B299">
        <v>77</v>
      </c>
      <c r="C299" s="5">
        <v>99.999781068399997</v>
      </c>
      <c r="D299" s="5">
        <v>6.6340897635899996</v>
      </c>
      <c r="E299" s="11">
        <v>0</v>
      </c>
      <c r="F299" s="15">
        <v>0</v>
      </c>
      <c r="G299" s="15">
        <v>30.299999999999997</v>
      </c>
      <c r="H299" s="15">
        <v>28.3</v>
      </c>
      <c r="I299" s="15">
        <v>4.8</v>
      </c>
      <c r="J299" s="11">
        <v>0</v>
      </c>
      <c r="K299" s="15">
        <v>0</v>
      </c>
      <c r="L299" s="15">
        <v>0</v>
      </c>
      <c r="M299" s="15">
        <v>0</v>
      </c>
      <c r="N299" s="16">
        <v>0</v>
      </c>
      <c r="O299" s="2">
        <f t="shared" si="65"/>
        <v>63.399999999999991</v>
      </c>
      <c r="P299" s="2">
        <f t="shared" si="66"/>
        <v>0</v>
      </c>
      <c r="Q299" s="2">
        <f t="shared" si="67"/>
        <v>63.399999999999991</v>
      </c>
      <c r="S299" s="2">
        <f t="shared" si="80"/>
        <v>0</v>
      </c>
      <c r="T299" s="2">
        <f t="shared" si="68"/>
        <v>0</v>
      </c>
      <c r="U299" s="2">
        <f t="shared" si="69"/>
        <v>30.299933663725195</v>
      </c>
      <c r="V299" s="2">
        <f t="shared" si="70"/>
        <v>28.299938042357198</v>
      </c>
      <c r="W299" s="2">
        <f t="shared" si="71"/>
        <v>4.7999894912832</v>
      </c>
      <c r="X299" s="2">
        <f t="shared" si="72"/>
        <v>0</v>
      </c>
      <c r="Y299" s="2">
        <f t="shared" si="73"/>
        <v>0</v>
      </c>
      <c r="Z299" s="2">
        <f t="shared" si="74"/>
        <v>0</v>
      </c>
      <c r="AA299" s="2">
        <f t="shared" si="75"/>
        <v>0</v>
      </c>
      <c r="AB299" s="2">
        <f t="shared" si="76"/>
        <v>0</v>
      </c>
      <c r="AC299" s="2">
        <f t="shared" si="77"/>
        <v>63.399861197365588</v>
      </c>
      <c r="AD299" s="2">
        <f t="shared" si="78"/>
        <v>0</v>
      </c>
      <c r="AE299" s="2">
        <f t="shared" si="79"/>
        <v>63.399861197365588</v>
      </c>
    </row>
    <row r="300" spans="1:31">
      <c r="A300" s="1" t="s">
        <v>22</v>
      </c>
      <c r="B300">
        <v>78</v>
      </c>
      <c r="C300" s="5">
        <v>99.999832631900006</v>
      </c>
      <c r="D300" s="5">
        <v>9.5247708315999997</v>
      </c>
      <c r="E300" s="11">
        <v>0</v>
      </c>
      <c r="F300" s="15">
        <v>0</v>
      </c>
      <c r="G300" s="15">
        <v>0</v>
      </c>
      <c r="H300" s="15">
        <v>2.7121200000000001</v>
      </c>
      <c r="I300" s="15">
        <v>168.54987199999999</v>
      </c>
      <c r="J300" s="11">
        <v>0</v>
      </c>
      <c r="K300" s="15">
        <v>0</v>
      </c>
      <c r="L300" s="15">
        <v>0</v>
      </c>
      <c r="M300" s="15">
        <v>0</v>
      </c>
      <c r="N300" s="16">
        <v>0</v>
      </c>
      <c r="O300" s="2">
        <f t="shared" si="65"/>
        <v>171.26199199999999</v>
      </c>
      <c r="P300" s="2">
        <f t="shared" si="66"/>
        <v>0</v>
      </c>
      <c r="Q300" s="2">
        <f t="shared" si="67"/>
        <v>171.26199199999999</v>
      </c>
      <c r="S300" s="2">
        <f t="shared" si="80"/>
        <v>0</v>
      </c>
      <c r="T300" s="2">
        <f t="shared" si="68"/>
        <v>0</v>
      </c>
      <c r="U300" s="2">
        <f t="shared" si="69"/>
        <v>0</v>
      </c>
      <c r="V300" s="2">
        <f t="shared" si="70"/>
        <v>2.7121154607762867</v>
      </c>
      <c r="W300" s="2">
        <f t="shared" si="71"/>
        <v>168.54958990128168</v>
      </c>
      <c r="X300" s="2">
        <f t="shared" si="72"/>
        <v>0</v>
      </c>
      <c r="Y300" s="2">
        <f t="shared" si="73"/>
        <v>0</v>
      </c>
      <c r="Z300" s="2">
        <f t="shared" si="74"/>
        <v>0</v>
      </c>
      <c r="AA300" s="2">
        <f t="shared" si="75"/>
        <v>0</v>
      </c>
      <c r="AB300" s="2">
        <f t="shared" si="76"/>
        <v>0</v>
      </c>
      <c r="AC300" s="2">
        <f t="shared" si="77"/>
        <v>171.261705362058</v>
      </c>
      <c r="AD300" s="2">
        <f t="shared" si="78"/>
        <v>0</v>
      </c>
      <c r="AE300" s="2">
        <f t="shared" si="79"/>
        <v>171.261705362058</v>
      </c>
    </row>
    <row r="301" spans="1:31">
      <c r="A301" s="1" t="s">
        <v>22</v>
      </c>
      <c r="B301">
        <v>79</v>
      </c>
      <c r="C301" s="5">
        <v>100</v>
      </c>
      <c r="D301" s="5">
        <v>1.67714630057</v>
      </c>
      <c r="E301" s="11">
        <v>0</v>
      </c>
      <c r="F301" s="15">
        <v>0</v>
      </c>
      <c r="G301" s="15">
        <v>0</v>
      </c>
      <c r="H301" s="15">
        <v>175.59997999999999</v>
      </c>
      <c r="I301" s="15">
        <v>156</v>
      </c>
      <c r="J301" s="11">
        <v>0</v>
      </c>
      <c r="K301" s="15">
        <v>0</v>
      </c>
      <c r="L301" s="15">
        <v>0</v>
      </c>
      <c r="M301" s="15">
        <v>0</v>
      </c>
      <c r="N301" s="16">
        <v>0</v>
      </c>
      <c r="O301" s="2">
        <f t="shared" si="65"/>
        <v>331.59997999999996</v>
      </c>
      <c r="P301" s="2">
        <f t="shared" si="66"/>
        <v>0</v>
      </c>
      <c r="Q301" s="2">
        <f t="shared" si="67"/>
        <v>331.59997999999996</v>
      </c>
      <c r="S301" s="2">
        <f t="shared" si="80"/>
        <v>0</v>
      </c>
      <c r="T301" s="2">
        <f t="shared" si="68"/>
        <v>0</v>
      </c>
      <c r="U301" s="2">
        <f t="shared" si="69"/>
        <v>0</v>
      </c>
      <c r="V301" s="2">
        <f t="shared" si="70"/>
        <v>175.59997999999999</v>
      </c>
      <c r="W301" s="2">
        <f t="shared" si="71"/>
        <v>156</v>
      </c>
      <c r="X301" s="2">
        <f t="shared" si="72"/>
        <v>0</v>
      </c>
      <c r="Y301" s="2">
        <f t="shared" si="73"/>
        <v>0</v>
      </c>
      <c r="Z301" s="2">
        <f t="shared" si="74"/>
        <v>0</v>
      </c>
      <c r="AA301" s="2">
        <f t="shared" si="75"/>
        <v>0</v>
      </c>
      <c r="AB301" s="2">
        <f t="shared" si="76"/>
        <v>0</v>
      </c>
      <c r="AC301" s="2">
        <f t="shared" si="77"/>
        <v>331.5999799999999</v>
      </c>
      <c r="AD301" s="2">
        <f t="shared" si="78"/>
        <v>0</v>
      </c>
      <c r="AE301" s="2">
        <f t="shared" si="79"/>
        <v>331.5999799999999</v>
      </c>
    </row>
    <row r="302" spans="1:31">
      <c r="A302" s="1" t="s">
        <v>22</v>
      </c>
      <c r="B302">
        <v>80</v>
      </c>
      <c r="C302" s="5">
        <v>100</v>
      </c>
      <c r="D302" s="5">
        <v>2.7967602547400001</v>
      </c>
      <c r="E302" s="11">
        <v>0</v>
      </c>
      <c r="F302" s="15">
        <v>0</v>
      </c>
      <c r="G302" s="15">
        <v>0</v>
      </c>
      <c r="H302" s="15">
        <v>0</v>
      </c>
      <c r="I302" s="15">
        <v>95.199999999999989</v>
      </c>
      <c r="J302" s="11">
        <v>0</v>
      </c>
      <c r="K302" s="15">
        <v>0</v>
      </c>
      <c r="L302" s="15">
        <v>0</v>
      </c>
      <c r="M302" s="15">
        <v>0</v>
      </c>
      <c r="N302" s="16">
        <v>0</v>
      </c>
      <c r="O302" s="2">
        <f t="shared" si="65"/>
        <v>95.199999999999989</v>
      </c>
      <c r="P302" s="2">
        <f t="shared" si="66"/>
        <v>0</v>
      </c>
      <c r="Q302" s="2">
        <f t="shared" si="67"/>
        <v>95.199999999999989</v>
      </c>
      <c r="S302" s="2">
        <f t="shared" si="80"/>
        <v>0</v>
      </c>
      <c r="T302" s="2">
        <f t="shared" si="68"/>
        <v>0</v>
      </c>
      <c r="U302" s="2">
        <f t="shared" si="69"/>
        <v>0</v>
      </c>
      <c r="V302" s="2">
        <f t="shared" si="70"/>
        <v>0</v>
      </c>
      <c r="W302" s="2">
        <f t="shared" si="71"/>
        <v>95.199999999999989</v>
      </c>
      <c r="X302" s="2">
        <f t="shared" si="72"/>
        <v>0</v>
      </c>
      <c r="Y302" s="2">
        <f t="shared" si="73"/>
        <v>0</v>
      </c>
      <c r="Z302" s="2">
        <f t="shared" si="74"/>
        <v>0</v>
      </c>
      <c r="AA302" s="2">
        <f t="shared" si="75"/>
        <v>0</v>
      </c>
      <c r="AB302" s="2">
        <f t="shared" si="76"/>
        <v>0</v>
      </c>
      <c r="AC302" s="2">
        <f t="shared" si="77"/>
        <v>95.199999999999989</v>
      </c>
      <c r="AD302" s="2">
        <f t="shared" si="78"/>
        <v>0</v>
      </c>
      <c r="AE302" s="2">
        <f t="shared" si="79"/>
        <v>95.199999999999989</v>
      </c>
    </row>
    <row r="303" spans="1:31">
      <c r="A303" s="1" t="s">
        <v>22</v>
      </c>
      <c r="B303">
        <v>81</v>
      </c>
      <c r="C303" s="5">
        <v>100</v>
      </c>
      <c r="D303" s="5">
        <v>3.7321012102400002</v>
      </c>
      <c r="E303" s="11">
        <v>0</v>
      </c>
      <c r="F303" s="15">
        <v>0</v>
      </c>
      <c r="G303" s="15">
        <v>40.5</v>
      </c>
      <c r="H303" s="15">
        <v>93.929500000000004</v>
      </c>
      <c r="I303" s="15">
        <v>109.6</v>
      </c>
      <c r="J303" s="11">
        <v>0</v>
      </c>
      <c r="K303" s="15">
        <v>0</v>
      </c>
      <c r="L303" s="15">
        <v>0</v>
      </c>
      <c r="M303" s="15">
        <v>0</v>
      </c>
      <c r="N303" s="16">
        <v>0</v>
      </c>
      <c r="O303" s="2">
        <f t="shared" si="65"/>
        <v>244.02950000000001</v>
      </c>
      <c r="P303" s="2">
        <f t="shared" si="66"/>
        <v>0</v>
      </c>
      <c r="Q303" s="2">
        <f t="shared" si="67"/>
        <v>244.02950000000001</v>
      </c>
      <c r="S303" s="2">
        <f t="shared" si="80"/>
        <v>0</v>
      </c>
      <c r="T303" s="2">
        <f t="shared" si="68"/>
        <v>0</v>
      </c>
      <c r="U303" s="2">
        <f t="shared" si="69"/>
        <v>40.5</v>
      </c>
      <c r="V303" s="2">
        <f t="shared" si="70"/>
        <v>93.929500000000004</v>
      </c>
      <c r="W303" s="2">
        <f t="shared" si="71"/>
        <v>109.6</v>
      </c>
      <c r="X303" s="2">
        <f t="shared" si="72"/>
        <v>0</v>
      </c>
      <c r="Y303" s="2">
        <f t="shared" si="73"/>
        <v>0</v>
      </c>
      <c r="Z303" s="2">
        <f t="shared" si="74"/>
        <v>0</v>
      </c>
      <c r="AA303" s="2">
        <f t="shared" si="75"/>
        <v>0</v>
      </c>
      <c r="AB303" s="2">
        <f t="shared" si="76"/>
        <v>0</v>
      </c>
      <c r="AC303" s="2">
        <f t="shared" si="77"/>
        <v>244.02950000000001</v>
      </c>
      <c r="AD303" s="2">
        <f t="shared" si="78"/>
        <v>0</v>
      </c>
      <c r="AE303" s="2">
        <f t="shared" si="79"/>
        <v>244.02950000000001</v>
      </c>
    </row>
    <row r="304" spans="1:31">
      <c r="A304" s="1" t="s">
        <v>22</v>
      </c>
      <c r="B304">
        <v>82</v>
      </c>
      <c r="C304" s="5">
        <v>100</v>
      </c>
      <c r="D304" s="5">
        <v>2.40624879255</v>
      </c>
      <c r="E304" s="11">
        <v>0</v>
      </c>
      <c r="F304" s="15">
        <v>0</v>
      </c>
      <c r="G304" s="15">
        <v>0</v>
      </c>
      <c r="H304" s="15">
        <v>0</v>
      </c>
      <c r="I304" s="15">
        <v>26</v>
      </c>
      <c r="J304" s="11">
        <v>0</v>
      </c>
      <c r="K304" s="15">
        <v>0</v>
      </c>
      <c r="L304" s="15">
        <v>0</v>
      </c>
      <c r="M304" s="15">
        <v>0</v>
      </c>
      <c r="N304" s="16">
        <v>0</v>
      </c>
      <c r="O304" s="2">
        <f t="shared" si="65"/>
        <v>26</v>
      </c>
      <c r="P304" s="2">
        <f t="shared" si="66"/>
        <v>0</v>
      </c>
      <c r="Q304" s="2">
        <f t="shared" si="67"/>
        <v>26</v>
      </c>
      <c r="S304" s="2">
        <f t="shared" si="80"/>
        <v>0</v>
      </c>
      <c r="T304" s="2">
        <f t="shared" si="68"/>
        <v>0</v>
      </c>
      <c r="U304" s="2">
        <f t="shared" si="69"/>
        <v>0</v>
      </c>
      <c r="V304" s="2">
        <f t="shared" si="70"/>
        <v>0</v>
      </c>
      <c r="W304" s="2">
        <f t="shared" si="71"/>
        <v>26</v>
      </c>
      <c r="X304" s="2">
        <f t="shared" si="72"/>
        <v>0</v>
      </c>
      <c r="Y304" s="2">
        <f t="shared" si="73"/>
        <v>0</v>
      </c>
      <c r="Z304" s="2">
        <f t="shared" si="74"/>
        <v>0</v>
      </c>
      <c r="AA304" s="2">
        <f t="shared" si="75"/>
        <v>0</v>
      </c>
      <c r="AB304" s="2">
        <f t="shared" si="76"/>
        <v>0</v>
      </c>
      <c r="AC304" s="2">
        <f t="shared" si="77"/>
        <v>26</v>
      </c>
      <c r="AD304" s="2">
        <f t="shared" si="78"/>
        <v>0</v>
      </c>
      <c r="AE304" s="2">
        <f t="shared" si="79"/>
        <v>26</v>
      </c>
    </row>
    <row r="305" spans="1:31">
      <c r="A305" s="1" t="s">
        <v>22</v>
      </c>
      <c r="B305">
        <v>83</v>
      </c>
      <c r="C305" s="5">
        <v>100</v>
      </c>
      <c r="D305" s="5">
        <v>1.3560274858100001</v>
      </c>
      <c r="E305" s="11">
        <v>0</v>
      </c>
      <c r="F305" s="15">
        <v>0</v>
      </c>
      <c r="G305" s="15">
        <v>0</v>
      </c>
      <c r="H305" s="15">
        <v>0</v>
      </c>
      <c r="I305" s="15">
        <v>9.4</v>
      </c>
      <c r="J305" s="11">
        <v>0</v>
      </c>
      <c r="K305" s="15">
        <v>0</v>
      </c>
      <c r="L305" s="15">
        <v>0</v>
      </c>
      <c r="M305" s="15">
        <v>0</v>
      </c>
      <c r="N305" s="16">
        <v>0</v>
      </c>
      <c r="O305" s="2">
        <f t="shared" si="65"/>
        <v>9.4</v>
      </c>
      <c r="P305" s="2">
        <f t="shared" si="66"/>
        <v>0</v>
      </c>
      <c r="Q305" s="2">
        <f t="shared" si="67"/>
        <v>9.4</v>
      </c>
      <c r="S305" s="2">
        <f t="shared" si="80"/>
        <v>0</v>
      </c>
      <c r="T305" s="2">
        <f t="shared" si="68"/>
        <v>0</v>
      </c>
      <c r="U305" s="2">
        <f t="shared" si="69"/>
        <v>0</v>
      </c>
      <c r="V305" s="2">
        <f t="shared" si="70"/>
        <v>0</v>
      </c>
      <c r="W305" s="2">
        <f t="shared" si="71"/>
        <v>9.4</v>
      </c>
      <c r="X305" s="2">
        <f t="shared" si="72"/>
        <v>0</v>
      </c>
      <c r="Y305" s="2">
        <f t="shared" si="73"/>
        <v>0</v>
      </c>
      <c r="Z305" s="2">
        <f t="shared" si="74"/>
        <v>0</v>
      </c>
      <c r="AA305" s="2">
        <f t="shared" si="75"/>
        <v>0</v>
      </c>
      <c r="AB305" s="2">
        <f t="shared" si="76"/>
        <v>0</v>
      </c>
      <c r="AC305" s="2">
        <f t="shared" si="77"/>
        <v>9.4</v>
      </c>
      <c r="AD305" s="2">
        <f t="shared" si="78"/>
        <v>0</v>
      </c>
      <c r="AE305" s="2">
        <f t="shared" si="79"/>
        <v>9.4</v>
      </c>
    </row>
    <row r="306" spans="1:31">
      <c r="A306" s="1" t="s">
        <v>22</v>
      </c>
      <c r="B306">
        <v>84</v>
      </c>
      <c r="C306" s="5">
        <v>100</v>
      </c>
      <c r="D306" s="5">
        <v>2.9746600492700002</v>
      </c>
      <c r="E306" s="11">
        <v>0</v>
      </c>
      <c r="F306" s="15">
        <v>0</v>
      </c>
      <c r="G306" s="15">
        <v>88.1</v>
      </c>
      <c r="H306" s="15">
        <v>46.1</v>
      </c>
      <c r="I306" s="15">
        <v>17</v>
      </c>
      <c r="J306" s="11">
        <v>0</v>
      </c>
      <c r="K306" s="15">
        <v>0</v>
      </c>
      <c r="L306" s="15">
        <v>0</v>
      </c>
      <c r="M306" s="15">
        <v>0</v>
      </c>
      <c r="N306" s="16">
        <v>0</v>
      </c>
      <c r="O306" s="2">
        <f t="shared" si="65"/>
        <v>151.19999999999999</v>
      </c>
      <c r="P306" s="2">
        <f t="shared" si="66"/>
        <v>0</v>
      </c>
      <c r="Q306" s="2">
        <f t="shared" si="67"/>
        <v>151.19999999999999</v>
      </c>
      <c r="S306" s="2">
        <f t="shared" si="80"/>
        <v>0</v>
      </c>
      <c r="T306" s="2">
        <f t="shared" si="68"/>
        <v>0</v>
      </c>
      <c r="U306" s="2">
        <f t="shared" si="69"/>
        <v>88.1</v>
      </c>
      <c r="V306" s="2">
        <f t="shared" si="70"/>
        <v>46.1</v>
      </c>
      <c r="W306" s="2">
        <f t="shared" si="71"/>
        <v>17</v>
      </c>
      <c r="X306" s="2">
        <f t="shared" si="72"/>
        <v>0</v>
      </c>
      <c r="Y306" s="2">
        <f t="shared" si="73"/>
        <v>0</v>
      </c>
      <c r="Z306" s="2">
        <f t="shared" si="74"/>
        <v>0</v>
      </c>
      <c r="AA306" s="2">
        <f t="shared" si="75"/>
        <v>0</v>
      </c>
      <c r="AB306" s="2">
        <f t="shared" si="76"/>
        <v>0</v>
      </c>
      <c r="AC306" s="2">
        <f t="shared" si="77"/>
        <v>151.19999999999999</v>
      </c>
      <c r="AD306" s="2">
        <f t="shared" si="78"/>
        <v>0</v>
      </c>
      <c r="AE306" s="2">
        <f t="shared" si="79"/>
        <v>151.19999999999999</v>
      </c>
    </row>
    <row r="307" spans="1:31">
      <c r="A307" s="1" t="s">
        <v>22</v>
      </c>
      <c r="B307">
        <v>85</v>
      </c>
      <c r="C307" s="5">
        <v>99.999024367000004</v>
      </c>
      <c r="D307" s="5">
        <v>8.4629705824800006</v>
      </c>
      <c r="E307" s="11">
        <v>0</v>
      </c>
      <c r="F307" s="15">
        <v>61.15</v>
      </c>
      <c r="G307" s="15">
        <v>37.264155000000002</v>
      </c>
      <c r="H307" s="15">
        <v>17.899999999999999</v>
      </c>
      <c r="I307" s="15">
        <v>0</v>
      </c>
      <c r="J307" s="11">
        <v>0</v>
      </c>
      <c r="K307" s="15">
        <v>0</v>
      </c>
      <c r="L307" s="15">
        <v>0</v>
      </c>
      <c r="M307" s="15">
        <v>0</v>
      </c>
      <c r="N307" s="16">
        <v>0</v>
      </c>
      <c r="O307" s="2">
        <f t="shared" si="65"/>
        <v>116.314155</v>
      </c>
      <c r="P307" s="2">
        <f t="shared" si="66"/>
        <v>0</v>
      </c>
      <c r="Q307" s="2">
        <f t="shared" si="67"/>
        <v>116.314155</v>
      </c>
      <c r="S307" s="2">
        <f t="shared" si="80"/>
        <v>0</v>
      </c>
      <c r="T307" s="2">
        <f t="shared" si="68"/>
        <v>61.149403400420496</v>
      </c>
      <c r="U307" s="2">
        <f t="shared" si="69"/>
        <v>37.263791438606653</v>
      </c>
      <c r="V307" s="2">
        <f t="shared" si="70"/>
        <v>17.899825361693001</v>
      </c>
      <c r="W307" s="2">
        <f t="shared" si="71"/>
        <v>0</v>
      </c>
      <c r="X307" s="2">
        <f t="shared" si="72"/>
        <v>0</v>
      </c>
      <c r="Y307" s="2">
        <f t="shared" si="73"/>
        <v>0</v>
      </c>
      <c r="Z307" s="2">
        <f t="shared" si="74"/>
        <v>0</v>
      </c>
      <c r="AA307" s="2">
        <f t="shared" si="75"/>
        <v>0</v>
      </c>
      <c r="AB307" s="2">
        <f t="shared" si="76"/>
        <v>0</v>
      </c>
      <c r="AC307" s="2">
        <f t="shared" si="77"/>
        <v>116.31302020072015</v>
      </c>
      <c r="AD307" s="2">
        <f t="shared" si="78"/>
        <v>0</v>
      </c>
      <c r="AE307" s="2">
        <f t="shared" si="79"/>
        <v>116.31302020072015</v>
      </c>
    </row>
    <row r="308" spans="1:31">
      <c r="A308" s="1" t="s">
        <v>22</v>
      </c>
      <c r="B308">
        <v>86</v>
      </c>
      <c r="C308" s="5">
        <v>99.9999983294</v>
      </c>
      <c r="D308" s="5">
        <v>6.98291537348</v>
      </c>
      <c r="E308" s="11">
        <v>0</v>
      </c>
      <c r="F308" s="15">
        <v>1015.7278799999999</v>
      </c>
      <c r="G308" s="15">
        <v>0.4</v>
      </c>
      <c r="H308" s="15">
        <v>0</v>
      </c>
      <c r="I308" s="15">
        <v>0</v>
      </c>
      <c r="J308" s="11">
        <v>0</v>
      </c>
      <c r="K308" s="15">
        <v>0</v>
      </c>
      <c r="L308" s="15">
        <v>0</v>
      </c>
      <c r="M308" s="15">
        <v>0</v>
      </c>
      <c r="N308" s="16">
        <v>0</v>
      </c>
      <c r="O308" s="2">
        <f t="shared" si="65"/>
        <v>1016.1278799999999</v>
      </c>
      <c r="P308" s="2">
        <f t="shared" si="66"/>
        <v>0</v>
      </c>
      <c r="Q308" s="2">
        <f t="shared" si="67"/>
        <v>1016.1278799999999</v>
      </c>
      <c r="S308" s="2">
        <f t="shared" si="80"/>
        <v>0</v>
      </c>
      <c r="T308" s="2">
        <f t="shared" si="68"/>
        <v>1015.72786303125</v>
      </c>
      <c r="U308" s="2">
        <f t="shared" si="69"/>
        <v>0.3999999933176</v>
      </c>
      <c r="V308" s="2">
        <f t="shared" si="70"/>
        <v>0</v>
      </c>
      <c r="W308" s="2">
        <f t="shared" si="71"/>
        <v>0</v>
      </c>
      <c r="X308" s="2">
        <f t="shared" si="72"/>
        <v>0</v>
      </c>
      <c r="Y308" s="2">
        <f t="shared" si="73"/>
        <v>0</v>
      </c>
      <c r="Z308" s="2">
        <f t="shared" si="74"/>
        <v>0</v>
      </c>
      <c r="AA308" s="2">
        <f t="shared" si="75"/>
        <v>0</v>
      </c>
      <c r="AB308" s="2">
        <f t="shared" si="76"/>
        <v>0</v>
      </c>
      <c r="AC308" s="2">
        <f t="shared" si="77"/>
        <v>1016.1278630245674</v>
      </c>
      <c r="AD308" s="2">
        <f t="shared" si="78"/>
        <v>0</v>
      </c>
      <c r="AE308" s="2">
        <f t="shared" si="79"/>
        <v>1016.1278630245674</v>
      </c>
    </row>
    <row r="309" spans="1:31">
      <c r="A309" s="1" t="s">
        <v>22</v>
      </c>
      <c r="B309">
        <v>87</v>
      </c>
      <c r="C309" s="5">
        <v>99.999893665299993</v>
      </c>
      <c r="D309" s="5">
        <v>8.5206243833399995</v>
      </c>
      <c r="E309" s="11">
        <v>0</v>
      </c>
      <c r="F309" s="15">
        <v>0</v>
      </c>
      <c r="G309" s="15">
        <v>0</v>
      </c>
      <c r="H309" s="15">
        <v>123.04421000000001</v>
      </c>
      <c r="I309" s="15">
        <v>108.50681</v>
      </c>
      <c r="J309" s="11">
        <v>0</v>
      </c>
      <c r="K309" s="15">
        <v>0</v>
      </c>
      <c r="L309" s="15">
        <v>0</v>
      </c>
      <c r="M309" s="15">
        <v>0</v>
      </c>
      <c r="N309" s="16">
        <v>0</v>
      </c>
      <c r="O309" s="2">
        <f t="shared" si="65"/>
        <v>231.55101999999999</v>
      </c>
      <c r="P309" s="2">
        <f t="shared" si="66"/>
        <v>0</v>
      </c>
      <c r="Q309" s="2">
        <f t="shared" si="67"/>
        <v>231.55101999999999</v>
      </c>
      <c r="S309" s="2">
        <f t="shared" si="80"/>
        <v>0</v>
      </c>
      <c r="T309" s="2">
        <f t="shared" si="68"/>
        <v>0</v>
      </c>
      <c r="U309" s="2">
        <f t="shared" si="69"/>
        <v>0</v>
      </c>
      <c r="V309" s="2">
        <f t="shared" si="70"/>
        <v>123.04407916130842</v>
      </c>
      <c r="W309" s="2">
        <f t="shared" si="71"/>
        <v>108.50669461960909</v>
      </c>
      <c r="X309" s="2">
        <f t="shared" si="72"/>
        <v>0</v>
      </c>
      <c r="Y309" s="2">
        <f t="shared" si="73"/>
        <v>0</v>
      </c>
      <c r="Z309" s="2">
        <f t="shared" si="74"/>
        <v>0</v>
      </c>
      <c r="AA309" s="2">
        <f t="shared" si="75"/>
        <v>0</v>
      </c>
      <c r="AB309" s="2">
        <f t="shared" si="76"/>
        <v>0</v>
      </c>
      <c r="AC309" s="2">
        <f t="shared" si="77"/>
        <v>231.55077378091752</v>
      </c>
      <c r="AD309" s="2">
        <f t="shared" si="78"/>
        <v>0</v>
      </c>
      <c r="AE309" s="2">
        <f t="shared" si="79"/>
        <v>231.55077378091752</v>
      </c>
    </row>
    <row r="310" spans="1:31">
      <c r="A310" s="1" t="s">
        <v>22</v>
      </c>
      <c r="B310">
        <v>95</v>
      </c>
      <c r="C310" s="5">
        <v>99.998829118900005</v>
      </c>
      <c r="D310" s="5">
        <v>5.83216005332</v>
      </c>
      <c r="E310" s="11">
        <v>0</v>
      </c>
      <c r="F310" s="15">
        <v>0</v>
      </c>
      <c r="G310" s="15">
        <v>0</v>
      </c>
      <c r="H310" s="15">
        <v>115.309718</v>
      </c>
      <c r="I310" s="15">
        <v>1472.0000930000003</v>
      </c>
      <c r="J310" s="11">
        <v>0</v>
      </c>
      <c r="K310" s="15">
        <v>0</v>
      </c>
      <c r="L310" s="15">
        <v>0</v>
      </c>
      <c r="M310" s="15">
        <v>0</v>
      </c>
      <c r="N310" s="16">
        <v>0</v>
      </c>
      <c r="O310" s="2">
        <f t="shared" si="65"/>
        <v>1587.3098110000003</v>
      </c>
      <c r="P310" s="2">
        <f t="shared" si="66"/>
        <v>0</v>
      </c>
      <c r="Q310" s="2">
        <f t="shared" si="67"/>
        <v>1587.3098110000003</v>
      </c>
      <c r="S310" s="2">
        <f t="shared" si="80"/>
        <v>0</v>
      </c>
      <c r="T310" s="2">
        <f t="shared" si="68"/>
        <v>0</v>
      </c>
      <c r="U310" s="2">
        <f t="shared" si="69"/>
        <v>0</v>
      </c>
      <c r="V310" s="2">
        <f t="shared" si="70"/>
        <v>115.30836786030548</v>
      </c>
      <c r="W310" s="2">
        <f t="shared" si="71"/>
        <v>1471.9828576291195</v>
      </c>
      <c r="X310" s="2">
        <f t="shared" si="72"/>
        <v>0</v>
      </c>
      <c r="Y310" s="2">
        <f t="shared" si="73"/>
        <v>0</v>
      </c>
      <c r="Z310" s="2">
        <f t="shared" si="74"/>
        <v>0</v>
      </c>
      <c r="AA310" s="2">
        <f t="shared" si="75"/>
        <v>0</v>
      </c>
      <c r="AB310" s="2">
        <f t="shared" si="76"/>
        <v>0</v>
      </c>
      <c r="AC310" s="2">
        <f t="shared" si="77"/>
        <v>1587.2912254894247</v>
      </c>
      <c r="AD310" s="2">
        <f t="shared" si="78"/>
        <v>0</v>
      </c>
      <c r="AE310" s="2">
        <f t="shared" si="79"/>
        <v>1587.2912254894247</v>
      </c>
    </row>
    <row r="311" spans="1:31">
      <c r="A311" s="1" t="s">
        <v>22</v>
      </c>
      <c r="B311">
        <v>105</v>
      </c>
      <c r="C311" s="5">
        <v>32.815273351400002</v>
      </c>
      <c r="D311" s="5">
        <v>2.21744059241</v>
      </c>
      <c r="E311" s="11">
        <v>0</v>
      </c>
      <c r="F311" s="15">
        <v>0</v>
      </c>
      <c r="G311" s="15">
        <v>0</v>
      </c>
      <c r="H311" s="15">
        <v>338.278637</v>
      </c>
      <c r="I311" s="15">
        <v>0</v>
      </c>
      <c r="J311" s="11">
        <v>0</v>
      </c>
      <c r="K311" s="15">
        <v>0</v>
      </c>
      <c r="L311" s="15">
        <v>0</v>
      </c>
      <c r="M311" s="15">
        <v>0</v>
      </c>
      <c r="N311" s="16">
        <v>0</v>
      </c>
      <c r="O311" s="2">
        <f t="shared" si="65"/>
        <v>338.278637</v>
      </c>
      <c r="P311" s="2">
        <f t="shared" si="66"/>
        <v>0</v>
      </c>
      <c r="Q311" s="2">
        <f t="shared" si="67"/>
        <v>338.278637</v>
      </c>
      <c r="S311" s="2">
        <f t="shared" si="80"/>
        <v>0</v>
      </c>
      <c r="T311" s="2">
        <f t="shared" si="68"/>
        <v>0</v>
      </c>
      <c r="U311" s="2">
        <f t="shared" si="69"/>
        <v>0</v>
      </c>
      <c r="V311" s="2">
        <f t="shared" si="70"/>
        <v>111.00705942094015</v>
      </c>
      <c r="W311" s="2">
        <f t="shared" si="71"/>
        <v>0</v>
      </c>
      <c r="X311" s="2">
        <f t="shared" si="72"/>
        <v>0</v>
      </c>
      <c r="Y311" s="2">
        <f t="shared" si="73"/>
        <v>0</v>
      </c>
      <c r="Z311" s="2">
        <f t="shared" si="74"/>
        <v>0</v>
      </c>
      <c r="AA311" s="2">
        <f t="shared" si="75"/>
        <v>0</v>
      </c>
      <c r="AB311" s="2">
        <f t="shared" si="76"/>
        <v>0</v>
      </c>
      <c r="AC311" s="2">
        <f t="shared" si="77"/>
        <v>111.00705942094015</v>
      </c>
      <c r="AD311" s="2">
        <f t="shared" si="78"/>
        <v>0</v>
      </c>
      <c r="AE311" s="2">
        <f t="shared" si="79"/>
        <v>111.00705942094015</v>
      </c>
    </row>
    <row r="312" spans="1:31">
      <c r="A312" s="1" t="s">
        <v>22</v>
      </c>
      <c r="B312">
        <v>107</v>
      </c>
      <c r="C312" s="5">
        <v>40.643641780400003</v>
      </c>
      <c r="D312" s="5">
        <v>1.33501614027</v>
      </c>
      <c r="E312" s="11">
        <v>0</v>
      </c>
      <c r="F312" s="15">
        <v>0</v>
      </c>
      <c r="G312" s="15">
        <v>0</v>
      </c>
      <c r="H312" s="15">
        <v>0</v>
      </c>
      <c r="I312" s="15">
        <v>0</v>
      </c>
      <c r="J312" s="11">
        <v>0</v>
      </c>
      <c r="K312" s="15">
        <v>0</v>
      </c>
      <c r="L312" s="15">
        <v>0</v>
      </c>
      <c r="M312" s="15">
        <v>0</v>
      </c>
      <c r="N312" s="16">
        <v>0</v>
      </c>
      <c r="O312" s="2">
        <f t="shared" si="65"/>
        <v>0</v>
      </c>
      <c r="P312" s="2">
        <f t="shared" si="66"/>
        <v>0</v>
      </c>
      <c r="Q312" s="2">
        <f t="shared" si="67"/>
        <v>0</v>
      </c>
      <c r="S312" s="2">
        <f t="shared" si="80"/>
        <v>0</v>
      </c>
      <c r="T312" s="2">
        <f t="shared" si="68"/>
        <v>0</v>
      </c>
      <c r="U312" s="2">
        <f t="shared" si="69"/>
        <v>0</v>
      </c>
      <c r="V312" s="2">
        <f t="shared" si="70"/>
        <v>0</v>
      </c>
      <c r="W312" s="2">
        <f t="shared" si="71"/>
        <v>0</v>
      </c>
      <c r="X312" s="2">
        <f t="shared" si="72"/>
        <v>0</v>
      </c>
      <c r="Y312" s="2">
        <f t="shared" si="73"/>
        <v>0</v>
      </c>
      <c r="Z312" s="2">
        <f t="shared" si="74"/>
        <v>0</v>
      </c>
      <c r="AA312" s="2">
        <f t="shared" si="75"/>
        <v>0</v>
      </c>
      <c r="AB312" s="2">
        <f t="shared" si="76"/>
        <v>0</v>
      </c>
      <c r="AC312" s="2">
        <f t="shared" si="77"/>
        <v>0</v>
      </c>
      <c r="AD312" s="2">
        <f t="shared" si="78"/>
        <v>0</v>
      </c>
      <c r="AE312" s="2">
        <f t="shared" si="79"/>
        <v>0</v>
      </c>
    </row>
    <row r="313" spans="1:31">
      <c r="A313" s="1" t="s">
        <v>22</v>
      </c>
      <c r="B313">
        <v>114</v>
      </c>
      <c r="C313" s="5">
        <v>99.999135458599994</v>
      </c>
      <c r="D313" s="5">
        <v>6.1232745163900004</v>
      </c>
      <c r="E313" s="11">
        <v>0</v>
      </c>
      <c r="F313" s="15">
        <v>10.45</v>
      </c>
      <c r="G313" s="15">
        <v>0</v>
      </c>
      <c r="H313" s="15">
        <v>55.699997999999994</v>
      </c>
      <c r="I313" s="15">
        <v>0.2</v>
      </c>
      <c r="J313" s="11">
        <v>0</v>
      </c>
      <c r="K313" s="15">
        <v>0</v>
      </c>
      <c r="L313" s="15">
        <v>0</v>
      </c>
      <c r="M313" s="15">
        <v>0</v>
      </c>
      <c r="N313" s="16">
        <v>0</v>
      </c>
      <c r="O313" s="2">
        <f t="shared" si="65"/>
        <v>66.349997999999999</v>
      </c>
      <c r="P313" s="2">
        <f t="shared" si="66"/>
        <v>0</v>
      </c>
      <c r="Q313" s="2">
        <f t="shared" si="67"/>
        <v>66.349997999999999</v>
      </c>
      <c r="S313" s="2">
        <f t="shared" si="80"/>
        <v>0</v>
      </c>
      <c r="T313" s="2">
        <f t="shared" si="68"/>
        <v>10.449909655423699</v>
      </c>
      <c r="U313" s="2">
        <f t="shared" si="69"/>
        <v>0</v>
      </c>
      <c r="V313" s="2">
        <f t="shared" si="70"/>
        <v>55.69951645045748</v>
      </c>
      <c r="W313" s="2">
        <f t="shared" si="71"/>
        <v>0.19999827091720002</v>
      </c>
      <c r="X313" s="2">
        <f t="shared" si="72"/>
        <v>0</v>
      </c>
      <c r="Y313" s="2">
        <f t="shared" si="73"/>
        <v>0</v>
      </c>
      <c r="Z313" s="2">
        <f t="shared" si="74"/>
        <v>0</v>
      </c>
      <c r="AA313" s="2">
        <f t="shared" si="75"/>
        <v>0</v>
      </c>
      <c r="AB313" s="2">
        <f t="shared" si="76"/>
        <v>0</v>
      </c>
      <c r="AC313" s="2">
        <f t="shared" si="77"/>
        <v>66.349424376798382</v>
      </c>
      <c r="AD313" s="2">
        <f t="shared" si="78"/>
        <v>0</v>
      </c>
      <c r="AE313" s="2">
        <f t="shared" si="79"/>
        <v>66.349424376798382</v>
      </c>
    </row>
    <row r="314" spans="1:31">
      <c r="A314" s="1" t="s">
        <v>23</v>
      </c>
      <c r="B314">
        <v>40</v>
      </c>
      <c r="C314" s="5">
        <v>99.999403770800001</v>
      </c>
      <c r="D314" s="5">
        <v>99.999019357500003</v>
      </c>
      <c r="E314" s="11">
        <v>421.55180000000001</v>
      </c>
      <c r="F314" s="15">
        <v>234.5</v>
      </c>
      <c r="G314" s="15">
        <v>48.7</v>
      </c>
      <c r="H314" s="15">
        <v>11.6</v>
      </c>
      <c r="I314" s="15">
        <v>0</v>
      </c>
      <c r="J314" s="11">
        <v>0</v>
      </c>
      <c r="K314" s="15">
        <v>0</v>
      </c>
      <c r="L314" s="15">
        <v>0</v>
      </c>
      <c r="M314" s="15">
        <v>0</v>
      </c>
      <c r="N314" s="16">
        <v>0</v>
      </c>
      <c r="O314" s="2">
        <f t="shared" si="65"/>
        <v>716.35180000000003</v>
      </c>
      <c r="P314" s="2">
        <f t="shared" si="66"/>
        <v>0</v>
      </c>
      <c r="Q314" s="2">
        <f t="shared" si="67"/>
        <v>716.35180000000003</v>
      </c>
      <c r="S314" s="2">
        <f t="shared" si="80"/>
        <v>421.54928658507532</v>
      </c>
      <c r="T314" s="2">
        <f t="shared" si="68"/>
        <v>234.498601842526</v>
      </c>
      <c r="U314" s="2">
        <f t="shared" si="69"/>
        <v>48.699709636379602</v>
      </c>
      <c r="V314" s="2">
        <f t="shared" si="70"/>
        <v>11.599930837412799</v>
      </c>
      <c r="W314" s="2">
        <f t="shared" si="71"/>
        <v>0</v>
      </c>
      <c r="X314" s="2">
        <f t="shared" si="72"/>
        <v>0</v>
      </c>
      <c r="Y314" s="2">
        <f t="shared" si="73"/>
        <v>0</v>
      </c>
      <c r="Z314" s="2">
        <f t="shared" si="74"/>
        <v>0</v>
      </c>
      <c r="AA314" s="2">
        <f t="shared" si="75"/>
        <v>0</v>
      </c>
      <c r="AB314" s="2">
        <f t="shared" si="76"/>
        <v>0</v>
      </c>
      <c r="AC314" s="2">
        <f t="shared" si="77"/>
        <v>716.34752890139362</v>
      </c>
      <c r="AD314" s="2">
        <f t="shared" si="78"/>
        <v>0</v>
      </c>
      <c r="AE314" s="2">
        <f t="shared" si="79"/>
        <v>716.34752890139362</v>
      </c>
    </row>
    <row r="315" spans="1:31">
      <c r="A315" s="1" t="s">
        <v>24</v>
      </c>
      <c r="B315">
        <v>262</v>
      </c>
      <c r="C315" s="5">
        <v>4.4255822073599997</v>
      </c>
      <c r="D315" s="5">
        <v>0.85692054492299996</v>
      </c>
      <c r="E315" s="11">
        <v>0</v>
      </c>
      <c r="F315" s="15">
        <v>0</v>
      </c>
      <c r="G315" s="15">
        <v>0</v>
      </c>
      <c r="H315" s="15">
        <v>0</v>
      </c>
      <c r="I315" s="15">
        <v>0</v>
      </c>
      <c r="J315" s="11">
        <v>0</v>
      </c>
      <c r="K315" s="15">
        <v>0</v>
      </c>
      <c r="L315" s="15">
        <v>0</v>
      </c>
      <c r="M315" s="15">
        <v>0</v>
      </c>
      <c r="N315" s="16">
        <v>0</v>
      </c>
      <c r="O315" s="2">
        <f t="shared" si="65"/>
        <v>0</v>
      </c>
      <c r="P315" s="2">
        <f t="shared" si="66"/>
        <v>0</v>
      </c>
      <c r="Q315" s="2">
        <f t="shared" si="67"/>
        <v>0</v>
      </c>
      <c r="S315" s="2">
        <f t="shared" si="80"/>
        <v>0</v>
      </c>
      <c r="T315" s="2">
        <f t="shared" si="68"/>
        <v>0</v>
      </c>
      <c r="U315" s="2">
        <f t="shared" si="69"/>
        <v>0</v>
      </c>
      <c r="V315" s="2">
        <f t="shared" si="70"/>
        <v>0</v>
      </c>
      <c r="W315" s="2">
        <f t="shared" si="71"/>
        <v>0</v>
      </c>
      <c r="X315" s="2">
        <f t="shared" si="72"/>
        <v>0</v>
      </c>
      <c r="Y315" s="2">
        <f t="shared" si="73"/>
        <v>0</v>
      </c>
      <c r="Z315" s="2">
        <f t="shared" si="74"/>
        <v>0</v>
      </c>
      <c r="AA315" s="2">
        <f t="shared" si="75"/>
        <v>0</v>
      </c>
      <c r="AB315" s="2">
        <f t="shared" si="76"/>
        <v>0</v>
      </c>
      <c r="AC315" s="2">
        <f t="shared" si="77"/>
        <v>0</v>
      </c>
      <c r="AD315" s="2">
        <f t="shared" si="78"/>
        <v>0</v>
      </c>
      <c r="AE315" s="2">
        <f t="shared" si="79"/>
        <v>0</v>
      </c>
    </row>
    <row r="316" spans="1:31">
      <c r="A316" s="1" t="s">
        <v>24</v>
      </c>
      <c r="B316">
        <v>264</v>
      </c>
      <c r="C316" s="5">
        <v>87.736724415500007</v>
      </c>
      <c r="D316" s="5">
        <v>8.2630128944300001</v>
      </c>
      <c r="E316" s="11">
        <v>0</v>
      </c>
      <c r="F316" s="15">
        <v>0</v>
      </c>
      <c r="G316" s="15">
        <v>0</v>
      </c>
      <c r="H316" s="15">
        <v>0</v>
      </c>
      <c r="I316" s="15">
        <v>0</v>
      </c>
      <c r="J316" s="11">
        <v>0</v>
      </c>
      <c r="K316" s="15">
        <v>0</v>
      </c>
      <c r="L316" s="15">
        <v>0</v>
      </c>
      <c r="M316" s="15">
        <v>0</v>
      </c>
      <c r="N316" s="16">
        <v>0</v>
      </c>
      <c r="O316" s="2">
        <f t="shared" si="65"/>
        <v>0</v>
      </c>
      <c r="P316" s="2">
        <f t="shared" si="66"/>
        <v>0</v>
      </c>
      <c r="Q316" s="2">
        <f t="shared" si="67"/>
        <v>0</v>
      </c>
      <c r="S316" s="2">
        <f t="shared" si="80"/>
        <v>0</v>
      </c>
      <c r="T316" s="2">
        <f t="shared" si="68"/>
        <v>0</v>
      </c>
      <c r="U316" s="2">
        <f t="shared" si="69"/>
        <v>0</v>
      </c>
      <c r="V316" s="2">
        <f t="shared" si="70"/>
        <v>0</v>
      </c>
      <c r="W316" s="2">
        <f t="shared" si="71"/>
        <v>0</v>
      </c>
      <c r="X316" s="2">
        <f t="shared" si="72"/>
        <v>0</v>
      </c>
      <c r="Y316" s="2">
        <f t="shared" si="73"/>
        <v>0</v>
      </c>
      <c r="Z316" s="2">
        <f t="shared" si="74"/>
        <v>0</v>
      </c>
      <c r="AA316" s="2">
        <f t="shared" si="75"/>
        <v>0</v>
      </c>
      <c r="AB316" s="2">
        <f t="shared" si="76"/>
        <v>0</v>
      </c>
      <c r="AC316" s="2">
        <f t="shared" si="77"/>
        <v>0</v>
      </c>
      <c r="AD316" s="2">
        <f t="shared" si="78"/>
        <v>0</v>
      </c>
      <c r="AE316" s="2">
        <f t="shared" si="79"/>
        <v>0</v>
      </c>
    </row>
    <row r="317" spans="1:31">
      <c r="A317" s="1" t="s">
        <v>24</v>
      </c>
      <c r="B317">
        <v>265</v>
      </c>
      <c r="C317" s="5">
        <v>53.210647364899998</v>
      </c>
      <c r="D317" s="5">
        <v>8.7796539992000007</v>
      </c>
      <c r="E317" s="11">
        <v>0</v>
      </c>
      <c r="F317" s="15">
        <v>0</v>
      </c>
      <c r="G317" s="15">
        <v>0</v>
      </c>
      <c r="H317" s="15">
        <v>0</v>
      </c>
      <c r="I317" s="15">
        <v>0</v>
      </c>
      <c r="J317" s="11">
        <v>0</v>
      </c>
      <c r="K317" s="15">
        <v>0</v>
      </c>
      <c r="L317" s="15">
        <v>0</v>
      </c>
      <c r="M317" s="15">
        <v>0</v>
      </c>
      <c r="N317" s="16">
        <v>0</v>
      </c>
      <c r="O317" s="2">
        <f t="shared" si="65"/>
        <v>0</v>
      </c>
      <c r="P317" s="2">
        <f t="shared" si="66"/>
        <v>0</v>
      </c>
      <c r="Q317" s="2">
        <f t="shared" si="67"/>
        <v>0</v>
      </c>
      <c r="S317" s="2">
        <f t="shared" si="80"/>
        <v>0</v>
      </c>
      <c r="T317" s="2">
        <f t="shared" si="68"/>
        <v>0</v>
      </c>
      <c r="U317" s="2">
        <f t="shared" si="69"/>
        <v>0</v>
      </c>
      <c r="V317" s="2">
        <f t="shared" si="70"/>
        <v>0</v>
      </c>
      <c r="W317" s="2">
        <f t="shared" si="71"/>
        <v>0</v>
      </c>
      <c r="X317" s="2">
        <f t="shared" si="72"/>
        <v>0</v>
      </c>
      <c r="Y317" s="2">
        <f t="shared" si="73"/>
        <v>0</v>
      </c>
      <c r="Z317" s="2">
        <f t="shared" si="74"/>
        <v>0</v>
      </c>
      <c r="AA317" s="2">
        <f t="shared" si="75"/>
        <v>0</v>
      </c>
      <c r="AB317" s="2">
        <f t="shared" si="76"/>
        <v>0</v>
      </c>
      <c r="AC317" s="2">
        <f t="shared" si="77"/>
        <v>0</v>
      </c>
      <c r="AD317" s="2">
        <f t="shared" si="78"/>
        <v>0</v>
      </c>
      <c r="AE317" s="2">
        <f t="shared" si="79"/>
        <v>0</v>
      </c>
    </row>
    <row r="318" spans="1:31">
      <c r="A318" s="1" t="s">
        <v>24</v>
      </c>
      <c r="B318">
        <v>266</v>
      </c>
      <c r="C318" s="5">
        <v>99.999668829399994</v>
      </c>
      <c r="D318" s="5">
        <v>1.59042721137</v>
      </c>
      <c r="E318" s="11">
        <v>0</v>
      </c>
      <c r="F318" s="15">
        <v>0</v>
      </c>
      <c r="G318" s="15">
        <v>0</v>
      </c>
      <c r="H318" s="15">
        <v>0</v>
      </c>
      <c r="I318" s="15">
        <v>0</v>
      </c>
      <c r="J318" s="11">
        <v>0</v>
      </c>
      <c r="K318" s="15">
        <v>0</v>
      </c>
      <c r="L318" s="15">
        <v>0</v>
      </c>
      <c r="M318" s="15">
        <v>0</v>
      </c>
      <c r="N318" s="16">
        <v>0</v>
      </c>
      <c r="O318" s="2">
        <f t="shared" si="65"/>
        <v>0</v>
      </c>
      <c r="P318" s="2">
        <f t="shared" si="66"/>
        <v>0</v>
      </c>
      <c r="Q318" s="2">
        <f t="shared" si="67"/>
        <v>0</v>
      </c>
      <c r="S318" s="2">
        <f t="shared" si="80"/>
        <v>0</v>
      </c>
      <c r="T318" s="2">
        <f t="shared" si="68"/>
        <v>0</v>
      </c>
      <c r="U318" s="2">
        <f t="shared" si="69"/>
        <v>0</v>
      </c>
      <c r="V318" s="2">
        <f t="shared" si="70"/>
        <v>0</v>
      </c>
      <c r="W318" s="2">
        <f t="shared" si="71"/>
        <v>0</v>
      </c>
      <c r="X318" s="2">
        <f t="shared" si="72"/>
        <v>0</v>
      </c>
      <c r="Y318" s="2">
        <f t="shared" si="73"/>
        <v>0</v>
      </c>
      <c r="Z318" s="2">
        <f t="shared" si="74"/>
        <v>0</v>
      </c>
      <c r="AA318" s="2">
        <f t="shared" si="75"/>
        <v>0</v>
      </c>
      <c r="AB318" s="2">
        <f t="shared" si="76"/>
        <v>0</v>
      </c>
      <c r="AC318" s="2">
        <f t="shared" si="77"/>
        <v>0</v>
      </c>
      <c r="AD318" s="2">
        <f t="shared" si="78"/>
        <v>0</v>
      </c>
      <c r="AE318" s="2">
        <f t="shared" si="79"/>
        <v>0</v>
      </c>
    </row>
    <row r="319" spans="1:31">
      <c r="A319" s="1" t="s">
        <v>24</v>
      </c>
      <c r="B319">
        <v>267</v>
      </c>
      <c r="C319" s="5">
        <v>97.709604034700007</v>
      </c>
      <c r="D319" s="5">
        <v>22.837334486700001</v>
      </c>
      <c r="E319" s="11">
        <v>0</v>
      </c>
      <c r="F319" s="15">
        <v>0</v>
      </c>
      <c r="G319" s="15">
        <v>0</v>
      </c>
      <c r="H319" s="15">
        <v>0</v>
      </c>
      <c r="I319" s="15">
        <v>0</v>
      </c>
      <c r="J319" s="11">
        <v>0</v>
      </c>
      <c r="K319" s="15">
        <v>0</v>
      </c>
      <c r="L319" s="15">
        <v>0</v>
      </c>
      <c r="M319" s="15">
        <v>0</v>
      </c>
      <c r="N319" s="16">
        <v>0</v>
      </c>
      <c r="O319" s="2">
        <f t="shared" si="65"/>
        <v>0</v>
      </c>
      <c r="P319" s="2">
        <f t="shared" si="66"/>
        <v>0</v>
      </c>
      <c r="Q319" s="2">
        <f t="shared" si="67"/>
        <v>0</v>
      </c>
      <c r="S319" s="2">
        <f t="shared" si="80"/>
        <v>0</v>
      </c>
      <c r="T319" s="2">
        <f t="shared" si="68"/>
        <v>0</v>
      </c>
      <c r="U319" s="2">
        <f t="shared" si="69"/>
        <v>0</v>
      </c>
      <c r="V319" s="2">
        <f t="shared" si="70"/>
        <v>0</v>
      </c>
      <c r="W319" s="2">
        <f t="shared" si="71"/>
        <v>0</v>
      </c>
      <c r="X319" s="2">
        <f t="shared" si="72"/>
        <v>0</v>
      </c>
      <c r="Y319" s="2">
        <f t="shared" si="73"/>
        <v>0</v>
      </c>
      <c r="Z319" s="2">
        <f t="shared" si="74"/>
        <v>0</v>
      </c>
      <c r="AA319" s="2">
        <f t="shared" si="75"/>
        <v>0</v>
      </c>
      <c r="AB319" s="2">
        <f t="shared" si="76"/>
        <v>0</v>
      </c>
      <c r="AC319" s="2">
        <f t="shared" si="77"/>
        <v>0</v>
      </c>
      <c r="AD319" s="2">
        <f t="shared" si="78"/>
        <v>0</v>
      </c>
      <c r="AE319" s="2">
        <f t="shared" si="79"/>
        <v>0</v>
      </c>
    </row>
    <row r="320" spans="1:31">
      <c r="A320" s="1" t="s">
        <v>24</v>
      </c>
      <c r="B320">
        <v>268</v>
      </c>
      <c r="C320" s="5">
        <v>100</v>
      </c>
      <c r="D320" s="5">
        <v>1.0309466575599999</v>
      </c>
      <c r="E320" s="11">
        <v>0</v>
      </c>
      <c r="F320" s="15">
        <v>0</v>
      </c>
      <c r="G320" s="15">
        <v>0</v>
      </c>
      <c r="H320" s="15">
        <v>0</v>
      </c>
      <c r="I320" s="15">
        <v>0</v>
      </c>
      <c r="J320" s="11">
        <v>0</v>
      </c>
      <c r="K320" s="15">
        <v>0</v>
      </c>
      <c r="L320" s="15">
        <v>0</v>
      </c>
      <c r="M320" s="15">
        <v>0</v>
      </c>
      <c r="N320" s="16">
        <v>0</v>
      </c>
      <c r="O320" s="2">
        <f t="shared" si="65"/>
        <v>0</v>
      </c>
      <c r="P320" s="2">
        <f t="shared" si="66"/>
        <v>0</v>
      </c>
      <c r="Q320" s="2">
        <f t="shared" si="67"/>
        <v>0</v>
      </c>
      <c r="S320" s="2">
        <f t="shared" si="80"/>
        <v>0</v>
      </c>
      <c r="T320" s="2">
        <f t="shared" si="68"/>
        <v>0</v>
      </c>
      <c r="U320" s="2">
        <f t="shared" si="69"/>
        <v>0</v>
      </c>
      <c r="V320" s="2">
        <f t="shared" si="70"/>
        <v>0</v>
      </c>
      <c r="W320" s="2">
        <f t="shared" si="71"/>
        <v>0</v>
      </c>
      <c r="X320" s="2">
        <f t="shared" si="72"/>
        <v>0</v>
      </c>
      <c r="Y320" s="2">
        <f t="shared" si="73"/>
        <v>0</v>
      </c>
      <c r="Z320" s="2">
        <f t="shared" si="74"/>
        <v>0</v>
      </c>
      <c r="AA320" s="2">
        <f t="shared" si="75"/>
        <v>0</v>
      </c>
      <c r="AB320" s="2">
        <f t="shared" si="76"/>
        <v>0</v>
      </c>
      <c r="AC320" s="2">
        <f t="shared" si="77"/>
        <v>0</v>
      </c>
      <c r="AD320" s="2">
        <f t="shared" si="78"/>
        <v>0</v>
      </c>
      <c r="AE320" s="2">
        <f t="shared" si="79"/>
        <v>0</v>
      </c>
    </row>
    <row r="321" spans="1:31">
      <c r="A321" s="1" t="s">
        <v>24</v>
      </c>
      <c r="B321">
        <v>269</v>
      </c>
      <c r="C321" s="5">
        <v>100</v>
      </c>
      <c r="D321" s="5">
        <v>1.3932969374699999</v>
      </c>
      <c r="E321" s="11">
        <v>0</v>
      </c>
      <c r="F321" s="15">
        <v>0</v>
      </c>
      <c r="G321" s="15">
        <v>0</v>
      </c>
      <c r="H321" s="15">
        <v>0</v>
      </c>
      <c r="I321" s="15">
        <v>0</v>
      </c>
      <c r="J321" s="11">
        <v>0</v>
      </c>
      <c r="K321" s="15">
        <v>0</v>
      </c>
      <c r="L321" s="15">
        <v>0</v>
      </c>
      <c r="M321" s="15">
        <v>0</v>
      </c>
      <c r="N321" s="16">
        <v>0</v>
      </c>
      <c r="O321" s="2">
        <f t="shared" si="65"/>
        <v>0</v>
      </c>
      <c r="P321" s="2">
        <f t="shared" si="66"/>
        <v>0</v>
      </c>
      <c r="Q321" s="2">
        <f t="shared" si="67"/>
        <v>0</v>
      </c>
      <c r="S321" s="2">
        <f t="shared" si="80"/>
        <v>0</v>
      </c>
      <c r="T321" s="2">
        <f t="shared" si="68"/>
        <v>0</v>
      </c>
      <c r="U321" s="2">
        <f t="shared" si="69"/>
        <v>0</v>
      </c>
      <c r="V321" s="2">
        <f t="shared" si="70"/>
        <v>0</v>
      </c>
      <c r="W321" s="2">
        <f t="shared" si="71"/>
        <v>0</v>
      </c>
      <c r="X321" s="2">
        <f t="shared" si="72"/>
        <v>0</v>
      </c>
      <c r="Y321" s="2">
        <f t="shared" si="73"/>
        <v>0</v>
      </c>
      <c r="Z321" s="2">
        <f t="shared" si="74"/>
        <v>0</v>
      </c>
      <c r="AA321" s="2">
        <f t="shared" si="75"/>
        <v>0</v>
      </c>
      <c r="AB321" s="2">
        <f t="shared" si="76"/>
        <v>0</v>
      </c>
      <c r="AC321" s="2">
        <f t="shared" si="77"/>
        <v>0</v>
      </c>
      <c r="AD321" s="2">
        <f t="shared" si="78"/>
        <v>0</v>
      </c>
      <c r="AE321" s="2">
        <f t="shared" si="79"/>
        <v>0</v>
      </c>
    </row>
    <row r="322" spans="1:31">
      <c r="A322" s="1" t="s">
        <v>24</v>
      </c>
      <c r="B322">
        <v>270</v>
      </c>
      <c r="C322" s="5">
        <v>99.780862807099993</v>
      </c>
      <c r="D322" s="5">
        <v>4.2870331952200003</v>
      </c>
      <c r="E322" s="11">
        <v>0</v>
      </c>
      <c r="F322" s="15">
        <v>0</v>
      </c>
      <c r="G322" s="15">
        <v>0</v>
      </c>
      <c r="H322" s="15">
        <v>0</v>
      </c>
      <c r="I322" s="15">
        <v>0</v>
      </c>
      <c r="J322" s="11">
        <v>0</v>
      </c>
      <c r="K322" s="15">
        <v>0</v>
      </c>
      <c r="L322" s="15">
        <v>0</v>
      </c>
      <c r="M322" s="15">
        <v>0</v>
      </c>
      <c r="N322" s="16">
        <v>0</v>
      </c>
      <c r="O322" s="2">
        <f t="shared" si="65"/>
        <v>0</v>
      </c>
      <c r="P322" s="2">
        <f t="shared" si="66"/>
        <v>0</v>
      </c>
      <c r="Q322" s="2">
        <f t="shared" si="67"/>
        <v>0</v>
      </c>
      <c r="S322" s="2">
        <f t="shared" si="80"/>
        <v>0</v>
      </c>
      <c r="T322" s="2">
        <f t="shared" si="68"/>
        <v>0</v>
      </c>
      <c r="U322" s="2">
        <f t="shared" si="69"/>
        <v>0</v>
      </c>
      <c r="V322" s="2">
        <f t="shared" si="70"/>
        <v>0</v>
      </c>
      <c r="W322" s="2">
        <f t="shared" si="71"/>
        <v>0</v>
      </c>
      <c r="X322" s="2">
        <f t="shared" si="72"/>
        <v>0</v>
      </c>
      <c r="Y322" s="2">
        <f t="shared" si="73"/>
        <v>0</v>
      </c>
      <c r="Z322" s="2">
        <f t="shared" si="74"/>
        <v>0</v>
      </c>
      <c r="AA322" s="2">
        <f t="shared" si="75"/>
        <v>0</v>
      </c>
      <c r="AB322" s="2">
        <f t="shared" si="76"/>
        <v>0</v>
      </c>
      <c r="AC322" s="2">
        <f t="shared" si="77"/>
        <v>0</v>
      </c>
      <c r="AD322" s="2">
        <f t="shared" si="78"/>
        <v>0</v>
      </c>
      <c r="AE322" s="2">
        <f t="shared" si="79"/>
        <v>0</v>
      </c>
    </row>
    <row r="323" spans="1:31">
      <c r="A323" s="1" t="s">
        <v>24</v>
      </c>
      <c r="B323">
        <v>271</v>
      </c>
      <c r="C323" s="5">
        <v>100</v>
      </c>
      <c r="D323" s="5">
        <v>0.64197062157399998</v>
      </c>
      <c r="E323" s="11">
        <v>0</v>
      </c>
      <c r="F323" s="15">
        <v>0</v>
      </c>
      <c r="G323" s="15">
        <v>0</v>
      </c>
      <c r="H323" s="15">
        <v>0</v>
      </c>
      <c r="I323" s="15">
        <v>0</v>
      </c>
      <c r="J323" s="11">
        <v>0</v>
      </c>
      <c r="K323" s="15">
        <v>0</v>
      </c>
      <c r="L323" s="15">
        <v>0</v>
      </c>
      <c r="M323" s="15">
        <v>0</v>
      </c>
      <c r="N323" s="16">
        <v>0</v>
      </c>
      <c r="O323" s="2">
        <f t="shared" ref="O323:O386" si="81">SUM(E323:I323)</f>
        <v>0</v>
      </c>
      <c r="P323" s="2">
        <f t="shared" ref="P323:P386" si="82">SUM(J323:N323)</f>
        <v>0</v>
      </c>
      <c r="Q323" s="2">
        <f t="shared" ref="Q323:Q386" si="83">SUM(O323:P323)</f>
        <v>0</v>
      </c>
      <c r="S323" s="2">
        <f t="shared" si="80"/>
        <v>0</v>
      </c>
      <c r="T323" s="2">
        <f t="shared" ref="T323:T386" si="84">F323*$C323/100</f>
        <v>0</v>
      </c>
      <c r="U323" s="2">
        <f t="shared" ref="U323:U386" si="85">G323*$C323/100</f>
        <v>0</v>
      </c>
      <c r="V323" s="2">
        <f t="shared" ref="V323:V386" si="86">H323*$C323/100</f>
        <v>0</v>
      </c>
      <c r="W323" s="2">
        <f t="shared" ref="W323:W386" si="87">I323*$C323/100</f>
        <v>0</v>
      </c>
      <c r="X323" s="2">
        <f t="shared" ref="X323:X386" si="88">J323*$C323/100</f>
        <v>0</v>
      </c>
      <c r="Y323" s="2">
        <f t="shared" ref="Y323:Y386" si="89">K323*$C323/100</f>
        <v>0</v>
      </c>
      <c r="Z323" s="2">
        <f t="shared" ref="Z323:Z386" si="90">L323*$C323/100</f>
        <v>0</v>
      </c>
      <c r="AA323" s="2">
        <f t="shared" ref="AA323:AA386" si="91">M323*$C323/100</f>
        <v>0</v>
      </c>
      <c r="AB323" s="2">
        <f t="shared" ref="AB323:AB386" si="92">N323*$C323/100</f>
        <v>0</v>
      </c>
      <c r="AC323" s="2">
        <f t="shared" ref="AC323:AC386" si="93">O323*$C323/100</f>
        <v>0</v>
      </c>
      <c r="AD323" s="2">
        <f t="shared" ref="AD323:AD386" si="94">P323*$C323/100</f>
        <v>0</v>
      </c>
      <c r="AE323" s="2">
        <f t="shared" ref="AE323:AE386" si="95">Q323*$C323/100</f>
        <v>0</v>
      </c>
    </row>
    <row r="324" spans="1:31">
      <c r="A324" s="1" t="s">
        <v>24</v>
      </c>
      <c r="B324">
        <v>272</v>
      </c>
      <c r="C324" s="5">
        <v>82.935116918399999</v>
      </c>
      <c r="D324" s="5">
        <v>3.5688459272999999</v>
      </c>
      <c r="E324" s="11">
        <v>0</v>
      </c>
      <c r="F324" s="15">
        <v>0</v>
      </c>
      <c r="G324" s="15">
        <v>0</v>
      </c>
      <c r="H324" s="15">
        <v>0</v>
      </c>
      <c r="I324" s="15">
        <v>0</v>
      </c>
      <c r="J324" s="11">
        <v>0</v>
      </c>
      <c r="K324" s="15">
        <v>0</v>
      </c>
      <c r="L324" s="15">
        <v>0</v>
      </c>
      <c r="M324" s="15">
        <v>0</v>
      </c>
      <c r="N324" s="16">
        <v>0</v>
      </c>
      <c r="O324" s="2">
        <f t="shared" si="81"/>
        <v>0</v>
      </c>
      <c r="P324" s="2">
        <f t="shared" si="82"/>
        <v>0</v>
      </c>
      <c r="Q324" s="2">
        <f t="shared" si="83"/>
        <v>0</v>
      </c>
      <c r="S324" s="2">
        <f t="shared" ref="S324:S387" si="96">E324*$C324/100</f>
        <v>0</v>
      </c>
      <c r="T324" s="2">
        <f t="shared" si="84"/>
        <v>0</v>
      </c>
      <c r="U324" s="2">
        <f t="shared" si="85"/>
        <v>0</v>
      </c>
      <c r="V324" s="2">
        <f t="shared" si="86"/>
        <v>0</v>
      </c>
      <c r="W324" s="2">
        <f t="shared" si="87"/>
        <v>0</v>
      </c>
      <c r="X324" s="2">
        <f t="shared" si="88"/>
        <v>0</v>
      </c>
      <c r="Y324" s="2">
        <f t="shared" si="89"/>
        <v>0</v>
      </c>
      <c r="Z324" s="2">
        <f t="shared" si="90"/>
        <v>0</v>
      </c>
      <c r="AA324" s="2">
        <f t="shared" si="91"/>
        <v>0</v>
      </c>
      <c r="AB324" s="2">
        <f t="shared" si="92"/>
        <v>0</v>
      </c>
      <c r="AC324" s="2">
        <f t="shared" si="93"/>
        <v>0</v>
      </c>
      <c r="AD324" s="2">
        <f t="shared" si="94"/>
        <v>0</v>
      </c>
      <c r="AE324" s="2">
        <f t="shared" si="95"/>
        <v>0</v>
      </c>
    </row>
    <row r="325" spans="1:31">
      <c r="A325" s="1" t="s">
        <v>24</v>
      </c>
      <c r="B325">
        <v>273</v>
      </c>
      <c r="C325" s="5">
        <v>100</v>
      </c>
      <c r="D325" s="5">
        <v>3.4415781587200001</v>
      </c>
      <c r="E325" s="11">
        <v>0</v>
      </c>
      <c r="F325" s="15">
        <v>0</v>
      </c>
      <c r="G325" s="15">
        <v>0</v>
      </c>
      <c r="H325" s="15">
        <v>0</v>
      </c>
      <c r="I325" s="15">
        <v>0</v>
      </c>
      <c r="J325" s="11">
        <v>0</v>
      </c>
      <c r="K325" s="15">
        <v>0</v>
      </c>
      <c r="L325" s="15">
        <v>0</v>
      </c>
      <c r="M325" s="15">
        <v>0</v>
      </c>
      <c r="N325" s="16">
        <v>0</v>
      </c>
      <c r="O325" s="2">
        <f t="shared" si="81"/>
        <v>0</v>
      </c>
      <c r="P325" s="2">
        <f t="shared" si="82"/>
        <v>0</v>
      </c>
      <c r="Q325" s="2">
        <f t="shared" si="83"/>
        <v>0</v>
      </c>
      <c r="S325" s="2">
        <f t="shared" si="96"/>
        <v>0</v>
      </c>
      <c r="T325" s="2">
        <f t="shared" si="84"/>
        <v>0</v>
      </c>
      <c r="U325" s="2">
        <f t="shared" si="85"/>
        <v>0</v>
      </c>
      <c r="V325" s="2">
        <f t="shared" si="86"/>
        <v>0</v>
      </c>
      <c r="W325" s="2">
        <f t="shared" si="87"/>
        <v>0</v>
      </c>
      <c r="X325" s="2">
        <f t="shared" si="88"/>
        <v>0</v>
      </c>
      <c r="Y325" s="2">
        <f t="shared" si="89"/>
        <v>0</v>
      </c>
      <c r="Z325" s="2">
        <f t="shared" si="90"/>
        <v>0</v>
      </c>
      <c r="AA325" s="2">
        <f t="shared" si="91"/>
        <v>0</v>
      </c>
      <c r="AB325" s="2">
        <f t="shared" si="92"/>
        <v>0</v>
      </c>
      <c r="AC325" s="2">
        <f t="shared" si="93"/>
        <v>0</v>
      </c>
      <c r="AD325" s="2">
        <f t="shared" si="94"/>
        <v>0</v>
      </c>
      <c r="AE325" s="2">
        <f t="shared" si="95"/>
        <v>0</v>
      </c>
    </row>
    <row r="326" spans="1:31">
      <c r="A326" s="1" t="s">
        <v>24</v>
      </c>
      <c r="B326">
        <v>274</v>
      </c>
      <c r="C326" s="5">
        <v>100</v>
      </c>
      <c r="D326" s="5">
        <v>3.3349785079699998</v>
      </c>
      <c r="E326" s="11">
        <v>0</v>
      </c>
      <c r="F326" s="15">
        <v>0</v>
      </c>
      <c r="G326" s="15">
        <v>0</v>
      </c>
      <c r="H326" s="15">
        <v>0</v>
      </c>
      <c r="I326" s="15">
        <v>0</v>
      </c>
      <c r="J326" s="11">
        <v>0</v>
      </c>
      <c r="K326" s="15">
        <v>0</v>
      </c>
      <c r="L326" s="15">
        <v>0</v>
      </c>
      <c r="M326" s="15">
        <v>0</v>
      </c>
      <c r="N326" s="16">
        <v>0</v>
      </c>
      <c r="O326" s="2">
        <f t="shared" si="81"/>
        <v>0</v>
      </c>
      <c r="P326" s="2">
        <f t="shared" si="82"/>
        <v>0</v>
      </c>
      <c r="Q326" s="2">
        <f t="shared" si="83"/>
        <v>0</v>
      </c>
      <c r="S326" s="2">
        <f t="shared" si="96"/>
        <v>0</v>
      </c>
      <c r="T326" s="2">
        <f t="shared" si="84"/>
        <v>0</v>
      </c>
      <c r="U326" s="2">
        <f t="shared" si="85"/>
        <v>0</v>
      </c>
      <c r="V326" s="2">
        <f t="shared" si="86"/>
        <v>0</v>
      </c>
      <c r="W326" s="2">
        <f t="shared" si="87"/>
        <v>0</v>
      </c>
      <c r="X326" s="2">
        <f t="shared" si="88"/>
        <v>0</v>
      </c>
      <c r="Y326" s="2">
        <f t="shared" si="89"/>
        <v>0</v>
      </c>
      <c r="Z326" s="2">
        <f t="shared" si="90"/>
        <v>0</v>
      </c>
      <c r="AA326" s="2">
        <f t="shared" si="91"/>
        <v>0</v>
      </c>
      <c r="AB326" s="2">
        <f t="shared" si="92"/>
        <v>0</v>
      </c>
      <c r="AC326" s="2">
        <f t="shared" si="93"/>
        <v>0</v>
      </c>
      <c r="AD326" s="2">
        <f t="shared" si="94"/>
        <v>0</v>
      </c>
      <c r="AE326" s="2">
        <f t="shared" si="95"/>
        <v>0</v>
      </c>
    </row>
    <row r="327" spans="1:31">
      <c r="A327" s="1" t="s">
        <v>24</v>
      </c>
      <c r="B327">
        <v>275</v>
      </c>
      <c r="C327" s="5">
        <v>99.994921036899996</v>
      </c>
      <c r="D327" s="5">
        <v>37.314304288099997</v>
      </c>
      <c r="E327" s="11">
        <v>0</v>
      </c>
      <c r="F327" s="15">
        <v>0</v>
      </c>
      <c r="G327" s="15">
        <v>0</v>
      </c>
      <c r="H327" s="15">
        <v>0</v>
      </c>
      <c r="I327" s="15">
        <v>0</v>
      </c>
      <c r="J327" s="11">
        <v>0</v>
      </c>
      <c r="K327" s="15">
        <v>0</v>
      </c>
      <c r="L327" s="15">
        <v>420.92659000000003</v>
      </c>
      <c r="M327" s="15">
        <v>0</v>
      </c>
      <c r="N327" s="16">
        <v>0</v>
      </c>
      <c r="O327" s="2">
        <f t="shared" si="81"/>
        <v>0</v>
      </c>
      <c r="P327" s="2">
        <f t="shared" si="82"/>
        <v>420.92659000000003</v>
      </c>
      <c r="Q327" s="2">
        <f t="shared" si="83"/>
        <v>420.92659000000003</v>
      </c>
      <c r="S327" s="2">
        <f t="shared" si="96"/>
        <v>0</v>
      </c>
      <c r="T327" s="2">
        <f t="shared" si="84"/>
        <v>0</v>
      </c>
      <c r="U327" s="2">
        <f t="shared" si="85"/>
        <v>0</v>
      </c>
      <c r="V327" s="2">
        <f t="shared" si="86"/>
        <v>0</v>
      </c>
      <c r="W327" s="2">
        <f t="shared" si="87"/>
        <v>0</v>
      </c>
      <c r="X327" s="2">
        <f t="shared" si="88"/>
        <v>0</v>
      </c>
      <c r="Y327" s="2">
        <f t="shared" si="89"/>
        <v>0</v>
      </c>
      <c r="Z327" s="2">
        <f t="shared" si="90"/>
        <v>420.9052112938158</v>
      </c>
      <c r="AA327" s="2">
        <f t="shared" si="91"/>
        <v>0</v>
      </c>
      <c r="AB327" s="2">
        <f t="shared" si="92"/>
        <v>0</v>
      </c>
      <c r="AC327" s="2">
        <f t="shared" si="93"/>
        <v>0</v>
      </c>
      <c r="AD327" s="2">
        <f t="shared" si="94"/>
        <v>420.9052112938158</v>
      </c>
      <c r="AE327" s="2">
        <f t="shared" si="95"/>
        <v>420.9052112938158</v>
      </c>
    </row>
    <row r="328" spans="1:31">
      <c r="A328" s="1" t="s">
        <v>25</v>
      </c>
      <c r="B328">
        <v>135</v>
      </c>
      <c r="C328" s="5">
        <v>99.9993419547</v>
      </c>
      <c r="D328" s="5">
        <v>19.935907111799999</v>
      </c>
      <c r="E328" s="11">
        <v>0</v>
      </c>
      <c r="F328" s="15">
        <v>5.2545890000000002</v>
      </c>
      <c r="G328" s="15">
        <v>313.95999999999998</v>
      </c>
      <c r="H328" s="15">
        <v>103.4</v>
      </c>
      <c r="I328" s="15">
        <v>0</v>
      </c>
      <c r="J328" s="11">
        <v>0</v>
      </c>
      <c r="K328" s="15">
        <v>0</v>
      </c>
      <c r="L328" s="15">
        <v>0</v>
      </c>
      <c r="M328" s="15">
        <v>0</v>
      </c>
      <c r="N328" s="16">
        <v>0</v>
      </c>
      <c r="O328" s="2">
        <f t="shared" si="81"/>
        <v>422.61458900000002</v>
      </c>
      <c r="P328" s="2">
        <f t="shared" si="82"/>
        <v>0</v>
      </c>
      <c r="Q328" s="2">
        <f t="shared" si="83"/>
        <v>422.61458900000002</v>
      </c>
      <c r="S328" s="2">
        <f t="shared" si="96"/>
        <v>0</v>
      </c>
      <c r="T328" s="2">
        <f t="shared" si="84"/>
        <v>5.2545544224240519</v>
      </c>
      <c r="U328" s="2">
        <f t="shared" si="85"/>
        <v>313.95793400097608</v>
      </c>
      <c r="V328" s="2">
        <f t="shared" si="86"/>
        <v>103.3993195811598</v>
      </c>
      <c r="W328" s="2">
        <f t="shared" si="87"/>
        <v>0</v>
      </c>
      <c r="X328" s="2">
        <f t="shared" si="88"/>
        <v>0</v>
      </c>
      <c r="Y328" s="2">
        <f t="shared" si="89"/>
        <v>0</v>
      </c>
      <c r="Z328" s="2">
        <f t="shared" si="90"/>
        <v>0</v>
      </c>
      <c r="AA328" s="2">
        <f t="shared" si="91"/>
        <v>0</v>
      </c>
      <c r="AB328" s="2">
        <f t="shared" si="92"/>
        <v>0</v>
      </c>
      <c r="AC328" s="2">
        <f t="shared" si="93"/>
        <v>422.61180800456003</v>
      </c>
      <c r="AD328" s="2">
        <f t="shared" si="94"/>
        <v>0</v>
      </c>
      <c r="AE328" s="2">
        <f t="shared" si="95"/>
        <v>422.61180800456003</v>
      </c>
    </row>
    <row r="329" spans="1:31">
      <c r="A329" s="1" t="s">
        <v>25</v>
      </c>
      <c r="B329">
        <v>136</v>
      </c>
      <c r="C329" s="5">
        <v>99.999760743600007</v>
      </c>
      <c r="D329" s="5">
        <v>13.8168592211</v>
      </c>
      <c r="E329" s="11">
        <v>0</v>
      </c>
      <c r="F329" s="15">
        <v>385.28859999999997</v>
      </c>
      <c r="G329" s="15">
        <v>16.2</v>
      </c>
      <c r="H329" s="15">
        <v>0</v>
      </c>
      <c r="I329" s="15">
        <v>0</v>
      </c>
      <c r="J329" s="11">
        <v>0</v>
      </c>
      <c r="K329" s="15">
        <v>0</v>
      </c>
      <c r="L329" s="15">
        <v>0</v>
      </c>
      <c r="M329" s="15">
        <v>0</v>
      </c>
      <c r="N329" s="16">
        <v>0</v>
      </c>
      <c r="O329" s="2">
        <f t="shared" si="81"/>
        <v>401.48859999999996</v>
      </c>
      <c r="P329" s="2">
        <f t="shared" si="82"/>
        <v>0</v>
      </c>
      <c r="Q329" s="2">
        <f t="shared" si="83"/>
        <v>401.48859999999996</v>
      </c>
      <c r="S329" s="2">
        <f t="shared" si="96"/>
        <v>0</v>
      </c>
      <c r="T329" s="2">
        <f t="shared" si="84"/>
        <v>385.28767817236599</v>
      </c>
      <c r="U329" s="2">
        <f t="shared" si="85"/>
        <v>16.1999612404632</v>
      </c>
      <c r="V329" s="2">
        <f t="shared" si="86"/>
        <v>0</v>
      </c>
      <c r="W329" s="2">
        <f t="shared" si="87"/>
        <v>0</v>
      </c>
      <c r="X329" s="2">
        <f t="shared" si="88"/>
        <v>0</v>
      </c>
      <c r="Y329" s="2">
        <f t="shared" si="89"/>
        <v>0</v>
      </c>
      <c r="Z329" s="2">
        <f t="shared" si="90"/>
        <v>0</v>
      </c>
      <c r="AA329" s="2">
        <f t="shared" si="91"/>
        <v>0</v>
      </c>
      <c r="AB329" s="2">
        <f t="shared" si="92"/>
        <v>0</v>
      </c>
      <c r="AC329" s="2">
        <f t="shared" si="93"/>
        <v>401.48763941282925</v>
      </c>
      <c r="AD329" s="2">
        <f t="shared" si="94"/>
        <v>0</v>
      </c>
      <c r="AE329" s="2">
        <f t="shared" si="95"/>
        <v>401.48763941282925</v>
      </c>
    </row>
    <row r="330" spans="1:31">
      <c r="A330" s="1" t="s">
        <v>25</v>
      </c>
      <c r="B330">
        <v>137</v>
      </c>
      <c r="C330" s="5">
        <v>99.998955063699995</v>
      </c>
      <c r="D330" s="5">
        <v>10.462225292699999</v>
      </c>
      <c r="E330" s="11">
        <v>0</v>
      </c>
      <c r="F330" s="15">
        <v>28.244959999999999</v>
      </c>
      <c r="G330" s="15">
        <v>7</v>
      </c>
      <c r="H330" s="15">
        <v>0</v>
      </c>
      <c r="I330" s="15">
        <v>0</v>
      </c>
      <c r="J330" s="11">
        <v>0</v>
      </c>
      <c r="K330" s="15">
        <v>0</v>
      </c>
      <c r="L330" s="15">
        <v>0</v>
      </c>
      <c r="M330" s="15">
        <v>0</v>
      </c>
      <c r="N330" s="16">
        <v>0</v>
      </c>
      <c r="O330" s="2">
        <f t="shared" si="81"/>
        <v>35.244959999999999</v>
      </c>
      <c r="P330" s="2">
        <f t="shared" si="82"/>
        <v>0</v>
      </c>
      <c r="Q330" s="2">
        <f t="shared" si="83"/>
        <v>35.244959999999999</v>
      </c>
      <c r="S330" s="2">
        <f t="shared" si="96"/>
        <v>0</v>
      </c>
      <c r="T330" s="2">
        <f t="shared" si="84"/>
        <v>28.244664858160036</v>
      </c>
      <c r="U330" s="2">
        <f t="shared" si="85"/>
        <v>6.9999268544589999</v>
      </c>
      <c r="V330" s="2">
        <f t="shared" si="86"/>
        <v>0</v>
      </c>
      <c r="W330" s="2">
        <f t="shared" si="87"/>
        <v>0</v>
      </c>
      <c r="X330" s="2">
        <f t="shared" si="88"/>
        <v>0</v>
      </c>
      <c r="Y330" s="2">
        <f t="shared" si="89"/>
        <v>0</v>
      </c>
      <c r="Z330" s="2">
        <f t="shared" si="90"/>
        <v>0</v>
      </c>
      <c r="AA330" s="2">
        <f t="shared" si="91"/>
        <v>0</v>
      </c>
      <c r="AB330" s="2">
        <f t="shared" si="92"/>
        <v>0</v>
      </c>
      <c r="AC330" s="2">
        <f t="shared" si="93"/>
        <v>35.244591712619034</v>
      </c>
      <c r="AD330" s="2">
        <f t="shared" si="94"/>
        <v>0</v>
      </c>
      <c r="AE330" s="2">
        <f t="shared" si="95"/>
        <v>35.244591712619034</v>
      </c>
    </row>
    <row r="331" spans="1:31">
      <c r="A331" s="1" t="s">
        <v>25</v>
      </c>
      <c r="B331">
        <v>138</v>
      </c>
      <c r="C331" s="5">
        <v>100</v>
      </c>
      <c r="D331" s="5">
        <v>6.4871425326500001</v>
      </c>
      <c r="E331" s="11">
        <v>0</v>
      </c>
      <c r="F331" s="15">
        <v>0</v>
      </c>
      <c r="G331" s="15">
        <v>0</v>
      </c>
      <c r="H331" s="15">
        <v>0</v>
      </c>
      <c r="I331" s="15">
        <v>0</v>
      </c>
      <c r="J331" s="11">
        <v>0</v>
      </c>
      <c r="K331" s="15">
        <v>0</v>
      </c>
      <c r="L331" s="15">
        <v>0</v>
      </c>
      <c r="M331" s="15">
        <v>0</v>
      </c>
      <c r="N331" s="16">
        <v>0</v>
      </c>
      <c r="O331" s="2">
        <f t="shared" si="81"/>
        <v>0</v>
      </c>
      <c r="P331" s="2">
        <f t="shared" si="82"/>
        <v>0</v>
      </c>
      <c r="Q331" s="2">
        <f t="shared" si="83"/>
        <v>0</v>
      </c>
      <c r="S331" s="2">
        <f t="shared" si="96"/>
        <v>0</v>
      </c>
      <c r="T331" s="2">
        <f t="shared" si="84"/>
        <v>0</v>
      </c>
      <c r="U331" s="2">
        <f t="shared" si="85"/>
        <v>0</v>
      </c>
      <c r="V331" s="2">
        <f t="shared" si="86"/>
        <v>0</v>
      </c>
      <c r="W331" s="2">
        <f t="shared" si="87"/>
        <v>0</v>
      </c>
      <c r="X331" s="2">
        <f t="shared" si="88"/>
        <v>0</v>
      </c>
      <c r="Y331" s="2">
        <f t="shared" si="89"/>
        <v>0</v>
      </c>
      <c r="Z331" s="2">
        <f t="shared" si="90"/>
        <v>0</v>
      </c>
      <c r="AA331" s="2">
        <f t="shared" si="91"/>
        <v>0</v>
      </c>
      <c r="AB331" s="2">
        <f t="shared" si="92"/>
        <v>0</v>
      </c>
      <c r="AC331" s="2">
        <f t="shared" si="93"/>
        <v>0</v>
      </c>
      <c r="AD331" s="2">
        <f t="shared" si="94"/>
        <v>0</v>
      </c>
      <c r="AE331" s="2">
        <f t="shared" si="95"/>
        <v>0</v>
      </c>
    </row>
    <row r="332" spans="1:31">
      <c r="A332" s="1" t="s">
        <v>25</v>
      </c>
      <c r="B332">
        <v>139</v>
      </c>
      <c r="C332" s="5">
        <v>99.999955615600001</v>
      </c>
      <c r="D332" s="5">
        <v>5.1476014185299999</v>
      </c>
      <c r="E332" s="11">
        <v>0</v>
      </c>
      <c r="F332" s="15">
        <v>1379.8399199999999</v>
      </c>
      <c r="G332" s="15">
        <v>0</v>
      </c>
      <c r="H332" s="15">
        <v>0</v>
      </c>
      <c r="I332" s="15">
        <v>0</v>
      </c>
      <c r="J332" s="11">
        <v>0</v>
      </c>
      <c r="K332" s="15">
        <v>0</v>
      </c>
      <c r="L332" s="15">
        <v>0</v>
      </c>
      <c r="M332" s="15">
        <v>0</v>
      </c>
      <c r="N332" s="16">
        <v>0</v>
      </c>
      <c r="O332" s="2">
        <f t="shared" si="81"/>
        <v>1379.8399199999999</v>
      </c>
      <c r="P332" s="2">
        <f t="shared" si="82"/>
        <v>0</v>
      </c>
      <c r="Q332" s="2">
        <f t="shared" si="83"/>
        <v>1379.8399199999999</v>
      </c>
      <c r="S332" s="2">
        <f t="shared" si="96"/>
        <v>0</v>
      </c>
      <c r="T332" s="2">
        <f t="shared" si="84"/>
        <v>1379.8393075663305</v>
      </c>
      <c r="U332" s="2">
        <f t="shared" si="85"/>
        <v>0</v>
      </c>
      <c r="V332" s="2">
        <f t="shared" si="86"/>
        <v>0</v>
      </c>
      <c r="W332" s="2">
        <f t="shared" si="87"/>
        <v>0</v>
      </c>
      <c r="X332" s="2">
        <f t="shared" si="88"/>
        <v>0</v>
      </c>
      <c r="Y332" s="2">
        <f t="shared" si="89"/>
        <v>0</v>
      </c>
      <c r="Z332" s="2">
        <f t="shared" si="90"/>
        <v>0</v>
      </c>
      <c r="AA332" s="2">
        <f t="shared" si="91"/>
        <v>0</v>
      </c>
      <c r="AB332" s="2">
        <f t="shared" si="92"/>
        <v>0</v>
      </c>
      <c r="AC332" s="2">
        <f t="shared" si="93"/>
        <v>1379.8393075663305</v>
      </c>
      <c r="AD332" s="2">
        <f t="shared" si="94"/>
        <v>0</v>
      </c>
      <c r="AE332" s="2">
        <f t="shared" si="95"/>
        <v>1379.8393075663305</v>
      </c>
    </row>
    <row r="333" spans="1:31">
      <c r="A333" s="1" t="s">
        <v>25</v>
      </c>
      <c r="B333">
        <v>140</v>
      </c>
      <c r="C333" s="5">
        <v>99.999644302899995</v>
      </c>
      <c r="D333" s="5">
        <v>7.3164353200800001</v>
      </c>
      <c r="E333" s="11">
        <v>0</v>
      </c>
      <c r="F333" s="15">
        <v>458.21704999999997</v>
      </c>
      <c r="G333" s="15">
        <v>25.799999999999997</v>
      </c>
      <c r="H333" s="15">
        <v>0</v>
      </c>
      <c r="I333" s="15">
        <v>0</v>
      </c>
      <c r="J333" s="11">
        <v>0</v>
      </c>
      <c r="K333" s="15">
        <v>0</v>
      </c>
      <c r="L333" s="15">
        <v>0</v>
      </c>
      <c r="M333" s="15">
        <v>0</v>
      </c>
      <c r="N333" s="16">
        <v>0</v>
      </c>
      <c r="O333" s="2">
        <f t="shared" si="81"/>
        <v>484.01704999999998</v>
      </c>
      <c r="P333" s="2">
        <f t="shared" si="82"/>
        <v>0</v>
      </c>
      <c r="Q333" s="2">
        <f t="shared" si="83"/>
        <v>484.01704999999998</v>
      </c>
      <c r="S333" s="2">
        <f t="shared" si="96"/>
        <v>0</v>
      </c>
      <c r="T333" s="2">
        <f t="shared" si="84"/>
        <v>458.21542013524135</v>
      </c>
      <c r="U333" s="2">
        <f t="shared" si="85"/>
        <v>25.799908230148194</v>
      </c>
      <c r="V333" s="2">
        <f t="shared" si="86"/>
        <v>0</v>
      </c>
      <c r="W333" s="2">
        <f t="shared" si="87"/>
        <v>0</v>
      </c>
      <c r="X333" s="2">
        <f t="shared" si="88"/>
        <v>0</v>
      </c>
      <c r="Y333" s="2">
        <f t="shared" si="89"/>
        <v>0</v>
      </c>
      <c r="Z333" s="2">
        <f t="shared" si="90"/>
        <v>0</v>
      </c>
      <c r="AA333" s="2">
        <f t="shared" si="91"/>
        <v>0</v>
      </c>
      <c r="AB333" s="2">
        <f t="shared" si="92"/>
        <v>0</v>
      </c>
      <c r="AC333" s="2">
        <f t="shared" si="93"/>
        <v>484.01532836538956</v>
      </c>
      <c r="AD333" s="2">
        <f t="shared" si="94"/>
        <v>0</v>
      </c>
      <c r="AE333" s="2">
        <f t="shared" si="95"/>
        <v>484.01532836538956</v>
      </c>
    </row>
    <row r="334" spans="1:31">
      <c r="A334" s="1" t="s">
        <v>25</v>
      </c>
      <c r="B334">
        <v>141</v>
      </c>
      <c r="C334" s="5">
        <v>99.999223790000002</v>
      </c>
      <c r="D334" s="5">
        <v>6.1266252048899998</v>
      </c>
      <c r="E334" s="11">
        <v>0</v>
      </c>
      <c r="F334" s="15">
        <v>4412.6706799999993</v>
      </c>
      <c r="G334" s="15">
        <v>5.88</v>
      </c>
      <c r="H334" s="15">
        <v>2.4500000000000002</v>
      </c>
      <c r="I334" s="15">
        <v>0</v>
      </c>
      <c r="J334" s="11">
        <v>0</v>
      </c>
      <c r="K334" s="15">
        <v>0</v>
      </c>
      <c r="L334" s="15">
        <v>0</v>
      </c>
      <c r="M334" s="15">
        <v>0</v>
      </c>
      <c r="N334" s="16">
        <v>0</v>
      </c>
      <c r="O334" s="2">
        <f t="shared" si="81"/>
        <v>4421.0006799999992</v>
      </c>
      <c r="P334" s="2">
        <f t="shared" si="82"/>
        <v>0</v>
      </c>
      <c r="Q334" s="2">
        <f t="shared" si="83"/>
        <v>4421.0006799999992</v>
      </c>
      <c r="S334" s="2">
        <f t="shared" si="96"/>
        <v>0</v>
      </c>
      <c r="T334" s="2">
        <f t="shared" si="84"/>
        <v>4412.6364284089141</v>
      </c>
      <c r="U334" s="2">
        <f t="shared" si="85"/>
        <v>5.8799543588520002</v>
      </c>
      <c r="V334" s="2">
        <f t="shared" si="86"/>
        <v>2.4499809828550001</v>
      </c>
      <c r="W334" s="2">
        <f t="shared" si="87"/>
        <v>0</v>
      </c>
      <c r="X334" s="2">
        <f t="shared" si="88"/>
        <v>0</v>
      </c>
      <c r="Y334" s="2">
        <f t="shared" si="89"/>
        <v>0</v>
      </c>
      <c r="Z334" s="2">
        <f t="shared" si="90"/>
        <v>0</v>
      </c>
      <c r="AA334" s="2">
        <f t="shared" si="91"/>
        <v>0</v>
      </c>
      <c r="AB334" s="2">
        <f t="shared" si="92"/>
        <v>0</v>
      </c>
      <c r="AC334" s="2">
        <f t="shared" si="93"/>
        <v>4420.966363750621</v>
      </c>
      <c r="AD334" s="2">
        <f t="shared" si="94"/>
        <v>0</v>
      </c>
      <c r="AE334" s="2">
        <f t="shared" si="95"/>
        <v>4420.966363750621</v>
      </c>
    </row>
    <row r="335" spans="1:31">
      <c r="A335" s="1" t="s">
        <v>25</v>
      </c>
      <c r="B335">
        <v>142</v>
      </c>
      <c r="C335" s="5">
        <v>99.994387566499995</v>
      </c>
      <c r="D335" s="5">
        <v>3.54338333921</v>
      </c>
      <c r="E335" s="11">
        <v>0</v>
      </c>
      <c r="F335" s="15">
        <v>0</v>
      </c>
      <c r="G335" s="15">
        <v>14</v>
      </c>
      <c r="H335" s="15">
        <v>0</v>
      </c>
      <c r="I335" s="15">
        <v>0</v>
      </c>
      <c r="J335" s="11">
        <v>0</v>
      </c>
      <c r="K335" s="15">
        <v>0</v>
      </c>
      <c r="L335" s="15">
        <v>0</v>
      </c>
      <c r="M335" s="15">
        <v>0</v>
      </c>
      <c r="N335" s="16">
        <v>0</v>
      </c>
      <c r="O335" s="2">
        <f t="shared" si="81"/>
        <v>14</v>
      </c>
      <c r="P335" s="2">
        <f t="shared" si="82"/>
        <v>0</v>
      </c>
      <c r="Q335" s="2">
        <f t="shared" si="83"/>
        <v>14</v>
      </c>
      <c r="S335" s="2">
        <f t="shared" si="96"/>
        <v>0</v>
      </c>
      <c r="T335" s="2">
        <f t="shared" si="84"/>
        <v>0</v>
      </c>
      <c r="U335" s="2">
        <f t="shared" si="85"/>
        <v>13.99921425931</v>
      </c>
      <c r="V335" s="2">
        <f t="shared" si="86"/>
        <v>0</v>
      </c>
      <c r="W335" s="2">
        <f t="shared" si="87"/>
        <v>0</v>
      </c>
      <c r="X335" s="2">
        <f t="shared" si="88"/>
        <v>0</v>
      </c>
      <c r="Y335" s="2">
        <f t="shared" si="89"/>
        <v>0</v>
      </c>
      <c r="Z335" s="2">
        <f t="shared" si="90"/>
        <v>0</v>
      </c>
      <c r="AA335" s="2">
        <f t="shared" si="91"/>
        <v>0</v>
      </c>
      <c r="AB335" s="2">
        <f t="shared" si="92"/>
        <v>0</v>
      </c>
      <c r="AC335" s="2">
        <f t="shared" si="93"/>
        <v>13.99921425931</v>
      </c>
      <c r="AD335" s="2">
        <f t="shared" si="94"/>
        <v>0</v>
      </c>
      <c r="AE335" s="2">
        <f t="shared" si="95"/>
        <v>13.99921425931</v>
      </c>
    </row>
    <row r="336" spans="1:31">
      <c r="A336" s="1" t="s">
        <v>25</v>
      </c>
      <c r="B336">
        <v>143</v>
      </c>
      <c r="C336" s="5">
        <v>99.999673747000003</v>
      </c>
      <c r="D336" s="5">
        <v>6.9196287956899996</v>
      </c>
      <c r="E336" s="11">
        <v>0</v>
      </c>
      <c r="F336" s="15">
        <v>0</v>
      </c>
      <c r="G336" s="15">
        <v>0</v>
      </c>
      <c r="H336" s="15">
        <v>0</v>
      </c>
      <c r="I336" s="15">
        <v>0</v>
      </c>
      <c r="J336" s="11">
        <v>0</v>
      </c>
      <c r="K336" s="15">
        <v>0</v>
      </c>
      <c r="L336" s="15">
        <v>0</v>
      </c>
      <c r="M336" s="15">
        <v>0</v>
      </c>
      <c r="N336" s="16">
        <v>0</v>
      </c>
      <c r="O336" s="2">
        <f t="shared" si="81"/>
        <v>0</v>
      </c>
      <c r="P336" s="2">
        <f t="shared" si="82"/>
        <v>0</v>
      </c>
      <c r="Q336" s="2">
        <f t="shared" si="83"/>
        <v>0</v>
      </c>
      <c r="S336" s="2">
        <f t="shared" si="96"/>
        <v>0</v>
      </c>
      <c r="T336" s="2">
        <f t="shared" si="84"/>
        <v>0</v>
      </c>
      <c r="U336" s="2">
        <f t="shared" si="85"/>
        <v>0</v>
      </c>
      <c r="V336" s="2">
        <f t="shared" si="86"/>
        <v>0</v>
      </c>
      <c r="W336" s="2">
        <f t="shared" si="87"/>
        <v>0</v>
      </c>
      <c r="X336" s="2">
        <f t="shared" si="88"/>
        <v>0</v>
      </c>
      <c r="Y336" s="2">
        <f t="shared" si="89"/>
        <v>0</v>
      </c>
      <c r="Z336" s="2">
        <f t="shared" si="90"/>
        <v>0</v>
      </c>
      <c r="AA336" s="2">
        <f t="shared" si="91"/>
        <v>0</v>
      </c>
      <c r="AB336" s="2">
        <f t="shared" si="92"/>
        <v>0</v>
      </c>
      <c r="AC336" s="2">
        <f t="shared" si="93"/>
        <v>0</v>
      </c>
      <c r="AD336" s="2">
        <f t="shared" si="94"/>
        <v>0</v>
      </c>
      <c r="AE336" s="2">
        <f t="shared" si="95"/>
        <v>0</v>
      </c>
    </row>
    <row r="337" spans="1:31">
      <c r="A337" s="1" t="s">
        <v>25</v>
      </c>
      <c r="B337">
        <v>144</v>
      </c>
      <c r="C337" s="5">
        <v>42.718653291000003</v>
      </c>
      <c r="D337" s="5">
        <v>5.9089458624300004</v>
      </c>
      <c r="E337" s="11">
        <v>100.8</v>
      </c>
      <c r="F337" s="15">
        <v>6.2</v>
      </c>
      <c r="G337" s="15">
        <v>0</v>
      </c>
      <c r="H337" s="15">
        <v>0</v>
      </c>
      <c r="I337" s="15">
        <v>0</v>
      </c>
      <c r="J337" s="11">
        <v>0</v>
      </c>
      <c r="K337" s="15">
        <v>0</v>
      </c>
      <c r="L337" s="15">
        <v>0</v>
      </c>
      <c r="M337" s="15">
        <v>0</v>
      </c>
      <c r="N337" s="16">
        <v>0</v>
      </c>
      <c r="O337" s="2">
        <f t="shared" si="81"/>
        <v>107</v>
      </c>
      <c r="P337" s="2">
        <f t="shared" si="82"/>
        <v>0</v>
      </c>
      <c r="Q337" s="2">
        <f t="shared" si="83"/>
        <v>107</v>
      </c>
      <c r="S337" s="2">
        <f t="shared" si="96"/>
        <v>43.060402517328001</v>
      </c>
      <c r="T337" s="2">
        <f t="shared" si="84"/>
        <v>2.6485565040420003</v>
      </c>
      <c r="U337" s="2">
        <f t="shared" si="85"/>
        <v>0</v>
      </c>
      <c r="V337" s="2">
        <f t="shared" si="86"/>
        <v>0</v>
      </c>
      <c r="W337" s="2">
        <f t="shared" si="87"/>
        <v>0</v>
      </c>
      <c r="X337" s="2">
        <f t="shared" si="88"/>
        <v>0</v>
      </c>
      <c r="Y337" s="2">
        <f t="shared" si="89"/>
        <v>0</v>
      </c>
      <c r="Z337" s="2">
        <f t="shared" si="90"/>
        <v>0</v>
      </c>
      <c r="AA337" s="2">
        <f t="shared" si="91"/>
        <v>0</v>
      </c>
      <c r="AB337" s="2">
        <f t="shared" si="92"/>
        <v>0</v>
      </c>
      <c r="AC337" s="2">
        <f t="shared" si="93"/>
        <v>45.708959021369999</v>
      </c>
      <c r="AD337" s="2">
        <f t="shared" si="94"/>
        <v>0</v>
      </c>
      <c r="AE337" s="2">
        <f t="shared" si="95"/>
        <v>45.708959021369999</v>
      </c>
    </row>
    <row r="338" spans="1:31">
      <c r="A338" s="1" t="s">
        <v>25</v>
      </c>
      <c r="B338">
        <v>145</v>
      </c>
      <c r="C338" s="5">
        <v>100</v>
      </c>
      <c r="D338" s="5">
        <v>2.0891593314299999</v>
      </c>
      <c r="E338" s="11">
        <v>0</v>
      </c>
      <c r="F338" s="15">
        <v>0</v>
      </c>
      <c r="G338" s="15">
        <v>0</v>
      </c>
      <c r="H338" s="15">
        <v>0</v>
      </c>
      <c r="I338" s="15">
        <v>0</v>
      </c>
      <c r="J338" s="11">
        <v>0</v>
      </c>
      <c r="K338" s="15">
        <v>0</v>
      </c>
      <c r="L338" s="15">
        <v>0</v>
      </c>
      <c r="M338" s="15">
        <v>0</v>
      </c>
      <c r="N338" s="16">
        <v>0</v>
      </c>
      <c r="O338" s="2">
        <f t="shared" si="81"/>
        <v>0</v>
      </c>
      <c r="P338" s="2">
        <f t="shared" si="82"/>
        <v>0</v>
      </c>
      <c r="Q338" s="2">
        <f t="shared" si="83"/>
        <v>0</v>
      </c>
      <c r="S338" s="2">
        <f t="shared" si="96"/>
        <v>0</v>
      </c>
      <c r="T338" s="2">
        <f t="shared" si="84"/>
        <v>0</v>
      </c>
      <c r="U338" s="2">
        <f t="shared" si="85"/>
        <v>0</v>
      </c>
      <c r="V338" s="2">
        <f t="shared" si="86"/>
        <v>0</v>
      </c>
      <c r="W338" s="2">
        <f t="shared" si="87"/>
        <v>0</v>
      </c>
      <c r="X338" s="2">
        <f t="shared" si="88"/>
        <v>0</v>
      </c>
      <c r="Y338" s="2">
        <f t="shared" si="89"/>
        <v>0</v>
      </c>
      <c r="Z338" s="2">
        <f t="shared" si="90"/>
        <v>0</v>
      </c>
      <c r="AA338" s="2">
        <f t="shared" si="91"/>
        <v>0</v>
      </c>
      <c r="AB338" s="2">
        <f t="shared" si="92"/>
        <v>0</v>
      </c>
      <c r="AC338" s="2">
        <f t="shared" si="93"/>
        <v>0</v>
      </c>
      <c r="AD338" s="2">
        <f t="shared" si="94"/>
        <v>0</v>
      </c>
      <c r="AE338" s="2">
        <f t="shared" si="95"/>
        <v>0</v>
      </c>
    </row>
    <row r="339" spans="1:31">
      <c r="A339" s="1" t="s">
        <v>25</v>
      </c>
      <c r="B339">
        <v>146</v>
      </c>
      <c r="C339" s="5">
        <v>99.999366577499998</v>
      </c>
      <c r="D339" s="5">
        <v>4.6389687445399996</v>
      </c>
      <c r="E339" s="11">
        <v>0</v>
      </c>
      <c r="F339" s="15">
        <v>0</v>
      </c>
      <c r="G339" s="15">
        <v>0</v>
      </c>
      <c r="H339" s="15">
        <v>0</v>
      </c>
      <c r="I339" s="15">
        <v>0</v>
      </c>
      <c r="J339" s="11">
        <v>0</v>
      </c>
      <c r="K339" s="15">
        <v>0</v>
      </c>
      <c r="L339" s="15">
        <v>0</v>
      </c>
      <c r="M339" s="15">
        <v>0</v>
      </c>
      <c r="N339" s="16">
        <v>0</v>
      </c>
      <c r="O339" s="2">
        <f t="shared" si="81"/>
        <v>0</v>
      </c>
      <c r="P339" s="2">
        <f t="shared" si="82"/>
        <v>0</v>
      </c>
      <c r="Q339" s="2">
        <f t="shared" si="83"/>
        <v>0</v>
      </c>
      <c r="S339" s="2">
        <f t="shared" si="96"/>
        <v>0</v>
      </c>
      <c r="T339" s="2">
        <f t="shared" si="84"/>
        <v>0</v>
      </c>
      <c r="U339" s="2">
        <f t="shared" si="85"/>
        <v>0</v>
      </c>
      <c r="V339" s="2">
        <f t="shared" si="86"/>
        <v>0</v>
      </c>
      <c r="W339" s="2">
        <f t="shared" si="87"/>
        <v>0</v>
      </c>
      <c r="X339" s="2">
        <f t="shared" si="88"/>
        <v>0</v>
      </c>
      <c r="Y339" s="2">
        <f t="shared" si="89"/>
        <v>0</v>
      </c>
      <c r="Z339" s="2">
        <f t="shared" si="90"/>
        <v>0</v>
      </c>
      <c r="AA339" s="2">
        <f t="shared" si="91"/>
        <v>0</v>
      </c>
      <c r="AB339" s="2">
        <f t="shared" si="92"/>
        <v>0</v>
      </c>
      <c r="AC339" s="2">
        <f t="shared" si="93"/>
        <v>0</v>
      </c>
      <c r="AD339" s="2">
        <f t="shared" si="94"/>
        <v>0</v>
      </c>
      <c r="AE339" s="2">
        <f t="shared" si="95"/>
        <v>0</v>
      </c>
    </row>
    <row r="340" spans="1:31">
      <c r="A340" s="1" t="s">
        <v>25</v>
      </c>
      <c r="B340">
        <v>147</v>
      </c>
      <c r="C340" s="5">
        <v>77.284358494299994</v>
      </c>
      <c r="D340" s="5">
        <v>7.1358728507200002</v>
      </c>
      <c r="E340" s="11">
        <v>0</v>
      </c>
      <c r="F340" s="15">
        <v>0</v>
      </c>
      <c r="G340" s="15">
        <v>0</v>
      </c>
      <c r="H340" s="15">
        <v>0</v>
      </c>
      <c r="I340" s="15">
        <v>0</v>
      </c>
      <c r="J340" s="11">
        <v>0</v>
      </c>
      <c r="K340" s="15">
        <v>0</v>
      </c>
      <c r="L340" s="15">
        <v>0</v>
      </c>
      <c r="M340" s="15">
        <v>0</v>
      </c>
      <c r="N340" s="16">
        <v>0</v>
      </c>
      <c r="O340" s="2">
        <f t="shared" si="81"/>
        <v>0</v>
      </c>
      <c r="P340" s="2">
        <f t="shared" si="82"/>
        <v>0</v>
      </c>
      <c r="Q340" s="2">
        <f t="shared" si="83"/>
        <v>0</v>
      </c>
      <c r="S340" s="2">
        <f t="shared" si="96"/>
        <v>0</v>
      </c>
      <c r="T340" s="2">
        <f t="shared" si="84"/>
        <v>0</v>
      </c>
      <c r="U340" s="2">
        <f t="shared" si="85"/>
        <v>0</v>
      </c>
      <c r="V340" s="2">
        <f t="shared" si="86"/>
        <v>0</v>
      </c>
      <c r="W340" s="2">
        <f t="shared" si="87"/>
        <v>0</v>
      </c>
      <c r="X340" s="2">
        <f t="shared" si="88"/>
        <v>0</v>
      </c>
      <c r="Y340" s="2">
        <f t="shared" si="89"/>
        <v>0</v>
      </c>
      <c r="Z340" s="2">
        <f t="shared" si="90"/>
        <v>0</v>
      </c>
      <c r="AA340" s="2">
        <f t="shared" si="91"/>
        <v>0</v>
      </c>
      <c r="AB340" s="2">
        <f t="shared" si="92"/>
        <v>0</v>
      </c>
      <c r="AC340" s="2">
        <f t="shared" si="93"/>
        <v>0</v>
      </c>
      <c r="AD340" s="2">
        <f t="shared" si="94"/>
        <v>0</v>
      </c>
      <c r="AE340" s="2">
        <f t="shared" si="95"/>
        <v>0</v>
      </c>
    </row>
    <row r="341" spans="1:31">
      <c r="A341" s="1" t="s">
        <v>25</v>
      </c>
      <c r="B341">
        <v>157</v>
      </c>
      <c r="C341" s="5">
        <v>4.1130430500799999</v>
      </c>
      <c r="D341" s="5">
        <v>0.46991745694300002</v>
      </c>
      <c r="E341" s="11">
        <v>0</v>
      </c>
      <c r="F341" s="15">
        <v>319.8</v>
      </c>
      <c r="G341" s="15">
        <v>0</v>
      </c>
      <c r="H341" s="15">
        <v>0</v>
      </c>
      <c r="I341" s="15">
        <v>0</v>
      </c>
      <c r="J341" s="11">
        <v>0</v>
      </c>
      <c r="K341" s="15">
        <v>0</v>
      </c>
      <c r="L341" s="15">
        <v>0</v>
      </c>
      <c r="M341" s="15">
        <v>0</v>
      </c>
      <c r="N341" s="16">
        <v>0</v>
      </c>
      <c r="O341" s="2">
        <f t="shared" si="81"/>
        <v>319.8</v>
      </c>
      <c r="P341" s="2">
        <f t="shared" si="82"/>
        <v>0</v>
      </c>
      <c r="Q341" s="2">
        <f t="shared" si="83"/>
        <v>319.8</v>
      </c>
      <c r="S341" s="2">
        <f t="shared" si="96"/>
        <v>0</v>
      </c>
      <c r="T341" s="2">
        <f t="shared" si="84"/>
        <v>13.15351167415584</v>
      </c>
      <c r="U341" s="2">
        <f t="shared" si="85"/>
        <v>0</v>
      </c>
      <c r="V341" s="2">
        <f t="shared" si="86"/>
        <v>0</v>
      </c>
      <c r="W341" s="2">
        <f t="shared" si="87"/>
        <v>0</v>
      </c>
      <c r="X341" s="2">
        <f t="shared" si="88"/>
        <v>0</v>
      </c>
      <c r="Y341" s="2">
        <f t="shared" si="89"/>
        <v>0</v>
      </c>
      <c r="Z341" s="2">
        <f t="shared" si="90"/>
        <v>0</v>
      </c>
      <c r="AA341" s="2">
        <f t="shared" si="91"/>
        <v>0</v>
      </c>
      <c r="AB341" s="2">
        <f t="shared" si="92"/>
        <v>0</v>
      </c>
      <c r="AC341" s="2">
        <f t="shared" si="93"/>
        <v>13.15351167415584</v>
      </c>
      <c r="AD341" s="2">
        <f t="shared" si="94"/>
        <v>0</v>
      </c>
      <c r="AE341" s="2">
        <f t="shared" si="95"/>
        <v>13.15351167415584</v>
      </c>
    </row>
    <row r="342" spans="1:31">
      <c r="A342" s="1" t="s">
        <v>26</v>
      </c>
      <c r="B342">
        <v>93</v>
      </c>
      <c r="C342" s="5">
        <v>24.657244203499999</v>
      </c>
      <c r="D342" s="5">
        <v>3.1884159903999998</v>
      </c>
      <c r="E342" s="11">
        <v>0</v>
      </c>
      <c r="F342" s="15">
        <v>0</v>
      </c>
      <c r="G342" s="15">
        <v>481.5856</v>
      </c>
      <c r="H342" s="15">
        <v>404.29994099999999</v>
      </c>
      <c r="I342" s="15">
        <v>184.3</v>
      </c>
      <c r="J342" s="11">
        <v>0</v>
      </c>
      <c r="K342" s="15">
        <v>0</v>
      </c>
      <c r="L342" s="15">
        <v>0</v>
      </c>
      <c r="M342" s="15">
        <v>0</v>
      </c>
      <c r="N342" s="16">
        <v>0</v>
      </c>
      <c r="O342" s="2">
        <f t="shared" si="81"/>
        <v>1070.1855410000001</v>
      </c>
      <c r="P342" s="2">
        <f t="shared" si="82"/>
        <v>0</v>
      </c>
      <c r="Q342" s="2">
        <f t="shared" si="83"/>
        <v>1070.1855410000001</v>
      </c>
      <c r="S342" s="2">
        <f t="shared" si="96"/>
        <v>0</v>
      </c>
      <c r="T342" s="2">
        <f t="shared" si="84"/>
        <v>0</v>
      </c>
      <c r="U342" s="2">
        <f t="shared" si="85"/>
        <v>118.74573744089069</v>
      </c>
      <c r="V342" s="2">
        <f t="shared" si="86"/>
        <v>99.689223766976411</v>
      </c>
      <c r="W342" s="2">
        <f t="shared" si="87"/>
        <v>45.443301067050498</v>
      </c>
      <c r="X342" s="2">
        <f t="shared" si="88"/>
        <v>0</v>
      </c>
      <c r="Y342" s="2">
        <f t="shared" si="89"/>
        <v>0</v>
      </c>
      <c r="Z342" s="2">
        <f t="shared" si="90"/>
        <v>0</v>
      </c>
      <c r="AA342" s="2">
        <f t="shared" si="91"/>
        <v>0</v>
      </c>
      <c r="AB342" s="2">
        <f t="shared" si="92"/>
        <v>0</v>
      </c>
      <c r="AC342" s="2">
        <f t="shared" si="93"/>
        <v>263.87826227491763</v>
      </c>
      <c r="AD342" s="2">
        <f t="shared" si="94"/>
        <v>0</v>
      </c>
      <c r="AE342" s="2">
        <f t="shared" si="95"/>
        <v>263.87826227491763</v>
      </c>
    </row>
    <row r="343" spans="1:31">
      <c r="A343" s="1" t="s">
        <v>26</v>
      </c>
      <c r="B343">
        <v>148</v>
      </c>
      <c r="C343" s="5">
        <v>99.998900529799997</v>
      </c>
      <c r="D343" s="5">
        <v>12.723854769000001</v>
      </c>
      <c r="E343" s="11">
        <v>0</v>
      </c>
      <c r="F343" s="15">
        <v>0</v>
      </c>
      <c r="G343" s="15">
        <v>1471.0499299999999</v>
      </c>
      <c r="H343" s="15">
        <v>326.79999999999995</v>
      </c>
      <c r="I343" s="15">
        <v>28.4</v>
      </c>
      <c r="J343" s="11">
        <v>0</v>
      </c>
      <c r="K343" s="15">
        <v>0</v>
      </c>
      <c r="L343" s="15">
        <v>0</v>
      </c>
      <c r="M343" s="15">
        <v>0</v>
      </c>
      <c r="N343" s="16">
        <v>0</v>
      </c>
      <c r="O343" s="2">
        <f t="shared" si="81"/>
        <v>1826.2499299999999</v>
      </c>
      <c r="P343" s="2">
        <f t="shared" si="82"/>
        <v>0</v>
      </c>
      <c r="Q343" s="2">
        <f t="shared" si="83"/>
        <v>1826.2499299999999</v>
      </c>
      <c r="S343" s="2">
        <f t="shared" si="96"/>
        <v>0</v>
      </c>
      <c r="T343" s="2">
        <f t="shared" si="84"/>
        <v>0</v>
      </c>
      <c r="U343" s="2">
        <f t="shared" si="85"/>
        <v>1471.0337562443924</v>
      </c>
      <c r="V343" s="2">
        <f t="shared" si="86"/>
        <v>326.79640693138634</v>
      </c>
      <c r="W343" s="2">
        <f t="shared" si="87"/>
        <v>28.399687750463201</v>
      </c>
      <c r="X343" s="2">
        <f t="shared" si="88"/>
        <v>0</v>
      </c>
      <c r="Y343" s="2">
        <f t="shared" si="89"/>
        <v>0</v>
      </c>
      <c r="Z343" s="2">
        <f t="shared" si="90"/>
        <v>0</v>
      </c>
      <c r="AA343" s="2">
        <f t="shared" si="91"/>
        <v>0</v>
      </c>
      <c r="AB343" s="2">
        <f t="shared" si="92"/>
        <v>0</v>
      </c>
      <c r="AC343" s="2">
        <f t="shared" si="93"/>
        <v>1826.2298509262421</v>
      </c>
      <c r="AD343" s="2">
        <f t="shared" si="94"/>
        <v>0</v>
      </c>
      <c r="AE343" s="2">
        <f t="shared" si="95"/>
        <v>1826.2298509262421</v>
      </c>
    </row>
    <row r="344" spans="1:31">
      <c r="A344" s="1" t="s">
        <v>26</v>
      </c>
      <c r="B344">
        <v>149</v>
      </c>
      <c r="C344" s="5">
        <v>73.222526163500007</v>
      </c>
      <c r="D344" s="5">
        <v>5.3502179663099998</v>
      </c>
      <c r="E344" s="11">
        <v>0</v>
      </c>
      <c r="F344" s="15">
        <v>84.600920000000002</v>
      </c>
      <c r="G344" s="15">
        <v>23.2</v>
      </c>
      <c r="H344" s="15">
        <v>1.8</v>
      </c>
      <c r="I344" s="15">
        <v>0</v>
      </c>
      <c r="J344" s="11">
        <v>0</v>
      </c>
      <c r="K344" s="15">
        <v>0</v>
      </c>
      <c r="L344" s="15">
        <v>0</v>
      </c>
      <c r="M344" s="15">
        <v>0</v>
      </c>
      <c r="N344" s="16">
        <v>0</v>
      </c>
      <c r="O344" s="2">
        <f t="shared" si="81"/>
        <v>109.60092</v>
      </c>
      <c r="P344" s="2">
        <f t="shared" si="82"/>
        <v>0</v>
      </c>
      <c r="Q344" s="2">
        <f t="shared" si="83"/>
        <v>109.60092</v>
      </c>
      <c r="S344" s="2">
        <f t="shared" si="96"/>
        <v>0</v>
      </c>
      <c r="T344" s="2">
        <f t="shared" si="84"/>
        <v>61.946930781561711</v>
      </c>
      <c r="U344" s="2">
        <f t="shared" si="85"/>
        <v>16.987626069932002</v>
      </c>
      <c r="V344" s="2">
        <f t="shared" si="86"/>
        <v>1.3180054709430002</v>
      </c>
      <c r="W344" s="2">
        <f t="shared" si="87"/>
        <v>0</v>
      </c>
      <c r="X344" s="2">
        <f t="shared" si="88"/>
        <v>0</v>
      </c>
      <c r="Y344" s="2">
        <f t="shared" si="89"/>
        <v>0</v>
      </c>
      <c r="Z344" s="2">
        <f t="shared" si="90"/>
        <v>0</v>
      </c>
      <c r="AA344" s="2">
        <f t="shared" si="91"/>
        <v>0</v>
      </c>
      <c r="AB344" s="2">
        <f t="shared" si="92"/>
        <v>0</v>
      </c>
      <c r="AC344" s="2">
        <f t="shared" si="93"/>
        <v>80.252562322436717</v>
      </c>
      <c r="AD344" s="2">
        <f t="shared" si="94"/>
        <v>0</v>
      </c>
      <c r="AE344" s="2">
        <f t="shared" si="95"/>
        <v>80.252562322436717</v>
      </c>
    </row>
    <row r="345" spans="1:31">
      <c r="A345" s="1" t="s">
        <v>26</v>
      </c>
      <c r="B345">
        <v>150</v>
      </c>
      <c r="C345" s="5">
        <v>91.760714395400001</v>
      </c>
      <c r="D345" s="5">
        <v>12.259744658300001</v>
      </c>
      <c r="E345" s="11">
        <v>0</v>
      </c>
      <c r="F345" s="15">
        <v>0</v>
      </c>
      <c r="G345" s="15">
        <v>533.29999999999995</v>
      </c>
      <c r="H345" s="15">
        <v>0</v>
      </c>
      <c r="I345" s="15">
        <v>0</v>
      </c>
      <c r="J345" s="11">
        <v>0</v>
      </c>
      <c r="K345" s="15">
        <v>0</v>
      </c>
      <c r="L345" s="15">
        <v>0</v>
      </c>
      <c r="M345" s="15">
        <v>0</v>
      </c>
      <c r="N345" s="16">
        <v>0</v>
      </c>
      <c r="O345" s="2">
        <f t="shared" si="81"/>
        <v>533.29999999999995</v>
      </c>
      <c r="P345" s="2">
        <f t="shared" si="82"/>
        <v>0</v>
      </c>
      <c r="Q345" s="2">
        <f t="shared" si="83"/>
        <v>533.29999999999995</v>
      </c>
      <c r="S345" s="2">
        <f t="shared" si="96"/>
        <v>0</v>
      </c>
      <c r="T345" s="2">
        <f t="shared" si="84"/>
        <v>0</v>
      </c>
      <c r="U345" s="2">
        <f t="shared" si="85"/>
        <v>489.35988987066821</v>
      </c>
      <c r="V345" s="2">
        <f t="shared" si="86"/>
        <v>0</v>
      </c>
      <c r="W345" s="2">
        <f t="shared" si="87"/>
        <v>0</v>
      </c>
      <c r="X345" s="2">
        <f t="shared" si="88"/>
        <v>0</v>
      </c>
      <c r="Y345" s="2">
        <f t="shared" si="89"/>
        <v>0</v>
      </c>
      <c r="Z345" s="2">
        <f t="shared" si="90"/>
        <v>0</v>
      </c>
      <c r="AA345" s="2">
        <f t="shared" si="91"/>
        <v>0</v>
      </c>
      <c r="AB345" s="2">
        <f t="shared" si="92"/>
        <v>0</v>
      </c>
      <c r="AC345" s="2">
        <f t="shared" si="93"/>
        <v>489.35988987066821</v>
      </c>
      <c r="AD345" s="2">
        <f t="shared" si="94"/>
        <v>0</v>
      </c>
      <c r="AE345" s="2">
        <f t="shared" si="95"/>
        <v>489.35988987066821</v>
      </c>
    </row>
    <row r="346" spans="1:31">
      <c r="A346" s="1" t="s">
        <v>26</v>
      </c>
      <c r="B346">
        <v>151</v>
      </c>
      <c r="C346" s="5">
        <v>99.998744193799993</v>
      </c>
      <c r="D346" s="5">
        <v>3.44466681266</v>
      </c>
      <c r="E346" s="11">
        <v>0</v>
      </c>
      <c r="F346" s="15">
        <v>0</v>
      </c>
      <c r="G346" s="15">
        <v>0</v>
      </c>
      <c r="H346" s="15">
        <v>0</v>
      </c>
      <c r="I346" s="15">
        <v>0</v>
      </c>
      <c r="J346" s="11">
        <v>0</v>
      </c>
      <c r="K346" s="15">
        <v>0</v>
      </c>
      <c r="L346" s="15">
        <v>0</v>
      </c>
      <c r="M346" s="15">
        <v>0</v>
      </c>
      <c r="N346" s="16">
        <v>0</v>
      </c>
      <c r="O346" s="2">
        <f t="shared" si="81"/>
        <v>0</v>
      </c>
      <c r="P346" s="2">
        <f t="shared" si="82"/>
        <v>0</v>
      </c>
      <c r="Q346" s="2">
        <f t="shared" si="83"/>
        <v>0</v>
      </c>
      <c r="S346" s="2">
        <f t="shared" si="96"/>
        <v>0</v>
      </c>
      <c r="T346" s="2">
        <f t="shared" si="84"/>
        <v>0</v>
      </c>
      <c r="U346" s="2">
        <f t="shared" si="85"/>
        <v>0</v>
      </c>
      <c r="V346" s="2">
        <f t="shared" si="86"/>
        <v>0</v>
      </c>
      <c r="W346" s="2">
        <f t="shared" si="87"/>
        <v>0</v>
      </c>
      <c r="X346" s="2">
        <f t="shared" si="88"/>
        <v>0</v>
      </c>
      <c r="Y346" s="2">
        <f t="shared" si="89"/>
        <v>0</v>
      </c>
      <c r="Z346" s="2">
        <f t="shared" si="90"/>
        <v>0</v>
      </c>
      <c r="AA346" s="2">
        <f t="shared" si="91"/>
        <v>0</v>
      </c>
      <c r="AB346" s="2">
        <f t="shared" si="92"/>
        <v>0</v>
      </c>
      <c r="AC346" s="2">
        <f t="shared" si="93"/>
        <v>0</v>
      </c>
      <c r="AD346" s="2">
        <f t="shared" si="94"/>
        <v>0</v>
      </c>
      <c r="AE346" s="2">
        <f t="shared" si="95"/>
        <v>0</v>
      </c>
    </row>
    <row r="347" spans="1:31">
      <c r="A347" s="1" t="s">
        <v>26</v>
      </c>
      <c r="B347">
        <v>152</v>
      </c>
      <c r="C347" s="5">
        <v>99.9995105884</v>
      </c>
      <c r="D347" s="5">
        <v>3.3918161981399999</v>
      </c>
      <c r="E347" s="11">
        <v>0</v>
      </c>
      <c r="F347" s="15">
        <v>0</v>
      </c>
      <c r="G347" s="15">
        <v>2887.0294899999999</v>
      </c>
      <c r="H347" s="15">
        <v>0</v>
      </c>
      <c r="I347" s="15">
        <v>0</v>
      </c>
      <c r="J347" s="11">
        <v>0</v>
      </c>
      <c r="K347" s="15">
        <v>0</v>
      </c>
      <c r="L347" s="15">
        <v>0</v>
      </c>
      <c r="M347" s="15">
        <v>0</v>
      </c>
      <c r="N347" s="16">
        <v>0</v>
      </c>
      <c r="O347" s="2">
        <f t="shared" si="81"/>
        <v>2887.0294899999999</v>
      </c>
      <c r="P347" s="2">
        <f t="shared" si="82"/>
        <v>0</v>
      </c>
      <c r="Q347" s="2">
        <f t="shared" si="83"/>
        <v>2887.0294899999999</v>
      </c>
      <c r="S347" s="2">
        <f t="shared" si="96"/>
        <v>0</v>
      </c>
      <c r="T347" s="2">
        <f t="shared" si="84"/>
        <v>0</v>
      </c>
      <c r="U347" s="2">
        <f t="shared" si="85"/>
        <v>2887.0153605427804</v>
      </c>
      <c r="V347" s="2">
        <f t="shared" si="86"/>
        <v>0</v>
      </c>
      <c r="W347" s="2">
        <f t="shared" si="87"/>
        <v>0</v>
      </c>
      <c r="X347" s="2">
        <f t="shared" si="88"/>
        <v>0</v>
      </c>
      <c r="Y347" s="2">
        <f t="shared" si="89"/>
        <v>0</v>
      </c>
      <c r="Z347" s="2">
        <f t="shared" si="90"/>
        <v>0</v>
      </c>
      <c r="AA347" s="2">
        <f t="shared" si="91"/>
        <v>0</v>
      </c>
      <c r="AB347" s="2">
        <f t="shared" si="92"/>
        <v>0</v>
      </c>
      <c r="AC347" s="2">
        <f t="shared" si="93"/>
        <v>2887.0153605427804</v>
      </c>
      <c r="AD347" s="2">
        <f t="shared" si="94"/>
        <v>0</v>
      </c>
      <c r="AE347" s="2">
        <f t="shared" si="95"/>
        <v>2887.0153605427804</v>
      </c>
    </row>
    <row r="348" spans="1:31">
      <c r="A348" s="1" t="s">
        <v>26</v>
      </c>
      <c r="B348">
        <v>153</v>
      </c>
      <c r="C348" s="5">
        <v>99.999904231499997</v>
      </c>
      <c r="D348" s="5">
        <v>6.3847382705799998</v>
      </c>
      <c r="E348" s="11">
        <v>0</v>
      </c>
      <c r="F348" s="15">
        <v>3651.5720030000002</v>
      </c>
      <c r="G348" s="15">
        <v>14843.698939999998</v>
      </c>
      <c r="H348" s="15">
        <v>0</v>
      </c>
      <c r="I348" s="15">
        <v>0</v>
      </c>
      <c r="J348" s="11">
        <v>0</v>
      </c>
      <c r="K348" s="15">
        <v>0</v>
      </c>
      <c r="L348" s="15">
        <v>0</v>
      </c>
      <c r="M348" s="15">
        <v>0</v>
      </c>
      <c r="N348" s="16">
        <v>0</v>
      </c>
      <c r="O348" s="2">
        <f t="shared" si="81"/>
        <v>18495.270943</v>
      </c>
      <c r="P348" s="2">
        <f t="shared" si="82"/>
        <v>0</v>
      </c>
      <c r="Q348" s="2">
        <f t="shared" si="83"/>
        <v>18495.270943</v>
      </c>
      <c r="S348" s="2">
        <f t="shared" si="96"/>
        <v>0</v>
      </c>
      <c r="T348" s="2">
        <f t="shared" si="84"/>
        <v>3651.5685059442662</v>
      </c>
      <c r="U348" s="2">
        <f t="shared" si="85"/>
        <v>14843.684724412178</v>
      </c>
      <c r="V348" s="2">
        <f t="shared" si="86"/>
        <v>0</v>
      </c>
      <c r="W348" s="2">
        <f t="shared" si="87"/>
        <v>0</v>
      </c>
      <c r="X348" s="2">
        <f t="shared" si="88"/>
        <v>0</v>
      </c>
      <c r="Y348" s="2">
        <f t="shared" si="89"/>
        <v>0</v>
      </c>
      <c r="Z348" s="2">
        <f t="shared" si="90"/>
        <v>0</v>
      </c>
      <c r="AA348" s="2">
        <f t="shared" si="91"/>
        <v>0</v>
      </c>
      <c r="AB348" s="2">
        <f t="shared" si="92"/>
        <v>0</v>
      </c>
      <c r="AC348" s="2">
        <f t="shared" si="93"/>
        <v>18495.253230356448</v>
      </c>
      <c r="AD348" s="2">
        <f t="shared" si="94"/>
        <v>0</v>
      </c>
      <c r="AE348" s="2">
        <f t="shared" si="95"/>
        <v>18495.253230356448</v>
      </c>
    </row>
    <row r="349" spans="1:31">
      <c r="A349" s="1" t="s">
        <v>26</v>
      </c>
      <c r="B349">
        <v>154</v>
      </c>
      <c r="C349" s="5">
        <v>99.985154001200002</v>
      </c>
      <c r="D349" s="5">
        <v>7.7806976704900004</v>
      </c>
      <c r="E349" s="11">
        <v>0</v>
      </c>
      <c r="F349" s="15">
        <v>10638.515090000001</v>
      </c>
      <c r="G349" s="15">
        <v>2943.2000600000006</v>
      </c>
      <c r="H349" s="15">
        <v>0</v>
      </c>
      <c r="I349" s="15">
        <v>0</v>
      </c>
      <c r="J349" s="11">
        <v>0</v>
      </c>
      <c r="K349" s="15">
        <v>0</v>
      </c>
      <c r="L349" s="15">
        <v>0</v>
      </c>
      <c r="M349" s="15">
        <v>0</v>
      </c>
      <c r="N349" s="16">
        <v>0</v>
      </c>
      <c r="O349" s="2">
        <f t="shared" si="81"/>
        <v>13581.715150000002</v>
      </c>
      <c r="P349" s="2">
        <f t="shared" si="82"/>
        <v>0</v>
      </c>
      <c r="Q349" s="2">
        <f t="shared" si="83"/>
        <v>13581.715150000002</v>
      </c>
      <c r="S349" s="2">
        <f t="shared" si="96"/>
        <v>0</v>
      </c>
      <c r="T349" s="2">
        <f t="shared" si="84"/>
        <v>10636.935696177401</v>
      </c>
      <c r="U349" s="2">
        <f t="shared" si="85"/>
        <v>2942.7631125544117</v>
      </c>
      <c r="V349" s="2">
        <f t="shared" si="86"/>
        <v>0</v>
      </c>
      <c r="W349" s="2">
        <f t="shared" si="87"/>
        <v>0</v>
      </c>
      <c r="X349" s="2">
        <f t="shared" si="88"/>
        <v>0</v>
      </c>
      <c r="Y349" s="2">
        <f t="shared" si="89"/>
        <v>0</v>
      </c>
      <c r="Z349" s="2">
        <f t="shared" si="90"/>
        <v>0</v>
      </c>
      <c r="AA349" s="2">
        <f t="shared" si="91"/>
        <v>0</v>
      </c>
      <c r="AB349" s="2">
        <f t="shared" si="92"/>
        <v>0</v>
      </c>
      <c r="AC349" s="2">
        <f t="shared" si="93"/>
        <v>13579.698808731813</v>
      </c>
      <c r="AD349" s="2">
        <f t="shared" si="94"/>
        <v>0</v>
      </c>
      <c r="AE349" s="2">
        <f t="shared" si="95"/>
        <v>13579.698808731813</v>
      </c>
    </row>
    <row r="350" spans="1:31">
      <c r="A350" s="1" t="s">
        <v>26</v>
      </c>
      <c r="B350">
        <v>155</v>
      </c>
      <c r="C350" s="5">
        <v>99.999917850900005</v>
      </c>
      <c r="D350" s="5">
        <v>2.9969813890400001</v>
      </c>
      <c r="E350" s="11">
        <v>0</v>
      </c>
      <c r="F350" s="15">
        <v>792.99999000000003</v>
      </c>
      <c r="G350" s="15">
        <v>0</v>
      </c>
      <c r="H350" s="15">
        <v>0</v>
      </c>
      <c r="I350" s="15">
        <v>0</v>
      </c>
      <c r="J350" s="11">
        <v>0</v>
      </c>
      <c r="K350" s="15">
        <v>0</v>
      </c>
      <c r="L350" s="15">
        <v>0</v>
      </c>
      <c r="M350" s="15">
        <v>0</v>
      </c>
      <c r="N350" s="16">
        <v>0</v>
      </c>
      <c r="O350" s="2">
        <f t="shared" si="81"/>
        <v>792.99999000000003</v>
      </c>
      <c r="P350" s="2">
        <f t="shared" si="82"/>
        <v>0</v>
      </c>
      <c r="Q350" s="2">
        <f t="shared" si="83"/>
        <v>792.99999000000003</v>
      </c>
      <c r="S350" s="2">
        <f t="shared" si="96"/>
        <v>0</v>
      </c>
      <c r="T350" s="2">
        <f t="shared" si="84"/>
        <v>792.99933855764527</v>
      </c>
      <c r="U350" s="2">
        <f t="shared" si="85"/>
        <v>0</v>
      </c>
      <c r="V350" s="2">
        <f t="shared" si="86"/>
        <v>0</v>
      </c>
      <c r="W350" s="2">
        <f t="shared" si="87"/>
        <v>0</v>
      </c>
      <c r="X350" s="2">
        <f t="shared" si="88"/>
        <v>0</v>
      </c>
      <c r="Y350" s="2">
        <f t="shared" si="89"/>
        <v>0</v>
      </c>
      <c r="Z350" s="2">
        <f t="shared" si="90"/>
        <v>0</v>
      </c>
      <c r="AA350" s="2">
        <f t="shared" si="91"/>
        <v>0</v>
      </c>
      <c r="AB350" s="2">
        <f t="shared" si="92"/>
        <v>0</v>
      </c>
      <c r="AC350" s="2">
        <f t="shared" si="93"/>
        <v>792.99933855764527</v>
      </c>
      <c r="AD350" s="2">
        <f t="shared" si="94"/>
        <v>0</v>
      </c>
      <c r="AE350" s="2">
        <f t="shared" si="95"/>
        <v>792.99933855764527</v>
      </c>
    </row>
    <row r="351" spans="1:31">
      <c r="A351" s="1" t="s">
        <v>26</v>
      </c>
      <c r="B351">
        <v>156</v>
      </c>
      <c r="C351" s="5">
        <v>100</v>
      </c>
      <c r="D351" s="5">
        <v>4.3269516228300002</v>
      </c>
      <c r="E351" s="11">
        <v>0</v>
      </c>
      <c r="F351" s="15">
        <v>2154.5734200000002</v>
      </c>
      <c r="G351" s="15">
        <v>168</v>
      </c>
      <c r="H351" s="15">
        <v>0</v>
      </c>
      <c r="I351" s="15">
        <v>0</v>
      </c>
      <c r="J351" s="11">
        <v>0</v>
      </c>
      <c r="K351" s="15">
        <v>0</v>
      </c>
      <c r="L351" s="15">
        <v>0</v>
      </c>
      <c r="M351" s="15">
        <v>0</v>
      </c>
      <c r="N351" s="16">
        <v>0</v>
      </c>
      <c r="O351" s="2">
        <f t="shared" si="81"/>
        <v>2322.5734200000002</v>
      </c>
      <c r="P351" s="2">
        <f t="shared" si="82"/>
        <v>0</v>
      </c>
      <c r="Q351" s="2">
        <f t="shared" si="83"/>
        <v>2322.5734200000002</v>
      </c>
      <c r="S351" s="2">
        <f t="shared" si="96"/>
        <v>0</v>
      </c>
      <c r="T351" s="2">
        <f t="shared" si="84"/>
        <v>2154.5734200000002</v>
      </c>
      <c r="U351" s="2">
        <f t="shared" si="85"/>
        <v>168</v>
      </c>
      <c r="V351" s="2">
        <f t="shared" si="86"/>
        <v>0</v>
      </c>
      <c r="W351" s="2">
        <f t="shared" si="87"/>
        <v>0</v>
      </c>
      <c r="X351" s="2">
        <f t="shared" si="88"/>
        <v>0</v>
      </c>
      <c r="Y351" s="2">
        <f t="shared" si="89"/>
        <v>0</v>
      </c>
      <c r="Z351" s="2">
        <f t="shared" si="90"/>
        <v>0</v>
      </c>
      <c r="AA351" s="2">
        <f t="shared" si="91"/>
        <v>0</v>
      </c>
      <c r="AB351" s="2">
        <f t="shared" si="92"/>
        <v>0</v>
      </c>
      <c r="AC351" s="2">
        <f t="shared" si="93"/>
        <v>2322.5734200000002</v>
      </c>
      <c r="AD351" s="2">
        <f t="shared" si="94"/>
        <v>0</v>
      </c>
      <c r="AE351" s="2">
        <f t="shared" si="95"/>
        <v>2322.5734200000002</v>
      </c>
    </row>
    <row r="352" spans="1:31">
      <c r="A352" s="1" t="s">
        <v>26</v>
      </c>
      <c r="B352">
        <v>157</v>
      </c>
      <c r="C352" s="5">
        <v>95.886956951399995</v>
      </c>
      <c r="D352" s="5">
        <v>6.7160425698799999</v>
      </c>
      <c r="E352" s="11">
        <v>0</v>
      </c>
      <c r="F352" s="15">
        <v>319.8</v>
      </c>
      <c r="G352" s="15">
        <v>0</v>
      </c>
      <c r="H352" s="15">
        <v>0</v>
      </c>
      <c r="I352" s="15">
        <v>0</v>
      </c>
      <c r="J352" s="11">
        <v>0</v>
      </c>
      <c r="K352" s="15">
        <v>0</v>
      </c>
      <c r="L352" s="15">
        <v>0</v>
      </c>
      <c r="M352" s="15">
        <v>0</v>
      </c>
      <c r="N352" s="16">
        <v>0</v>
      </c>
      <c r="O352" s="2">
        <f t="shared" si="81"/>
        <v>319.8</v>
      </c>
      <c r="P352" s="2">
        <f t="shared" si="82"/>
        <v>0</v>
      </c>
      <c r="Q352" s="2">
        <f t="shared" si="83"/>
        <v>319.8</v>
      </c>
      <c r="S352" s="2">
        <f t="shared" si="96"/>
        <v>0</v>
      </c>
      <c r="T352" s="2">
        <f t="shared" si="84"/>
        <v>306.6464883305772</v>
      </c>
      <c r="U352" s="2">
        <f t="shared" si="85"/>
        <v>0</v>
      </c>
      <c r="V352" s="2">
        <f t="shared" si="86"/>
        <v>0</v>
      </c>
      <c r="W352" s="2">
        <f t="shared" si="87"/>
        <v>0</v>
      </c>
      <c r="X352" s="2">
        <f t="shared" si="88"/>
        <v>0</v>
      </c>
      <c r="Y352" s="2">
        <f t="shared" si="89"/>
        <v>0</v>
      </c>
      <c r="Z352" s="2">
        <f t="shared" si="90"/>
        <v>0</v>
      </c>
      <c r="AA352" s="2">
        <f t="shared" si="91"/>
        <v>0</v>
      </c>
      <c r="AB352" s="2">
        <f t="shared" si="92"/>
        <v>0</v>
      </c>
      <c r="AC352" s="2">
        <f t="shared" si="93"/>
        <v>306.6464883305772</v>
      </c>
      <c r="AD352" s="2">
        <f t="shared" si="94"/>
        <v>0</v>
      </c>
      <c r="AE352" s="2">
        <f t="shared" si="95"/>
        <v>306.6464883305772</v>
      </c>
    </row>
    <row r="353" spans="1:31">
      <c r="A353" s="1" t="s">
        <v>26</v>
      </c>
      <c r="B353">
        <v>158</v>
      </c>
      <c r="C353" s="5">
        <v>99.9999880803</v>
      </c>
      <c r="D353" s="5">
        <v>9.6521320500000005</v>
      </c>
      <c r="E353" s="11">
        <v>0</v>
      </c>
      <c r="F353" s="15">
        <v>84.9</v>
      </c>
      <c r="G353" s="15">
        <v>0</v>
      </c>
      <c r="H353" s="15">
        <v>0</v>
      </c>
      <c r="I353" s="15">
        <v>0</v>
      </c>
      <c r="J353" s="11">
        <v>0</v>
      </c>
      <c r="K353" s="15">
        <v>0</v>
      </c>
      <c r="L353" s="15">
        <v>0</v>
      </c>
      <c r="M353" s="15">
        <v>0</v>
      </c>
      <c r="N353" s="16">
        <v>0</v>
      </c>
      <c r="O353" s="2">
        <f t="shared" si="81"/>
        <v>84.9</v>
      </c>
      <c r="P353" s="2">
        <f t="shared" si="82"/>
        <v>0</v>
      </c>
      <c r="Q353" s="2">
        <f t="shared" si="83"/>
        <v>84.9</v>
      </c>
      <c r="S353" s="2">
        <f t="shared" si="96"/>
        <v>0</v>
      </c>
      <c r="T353" s="2">
        <f t="shared" si="84"/>
        <v>84.899989880174701</v>
      </c>
      <c r="U353" s="2">
        <f t="shared" si="85"/>
        <v>0</v>
      </c>
      <c r="V353" s="2">
        <f t="shared" si="86"/>
        <v>0</v>
      </c>
      <c r="W353" s="2">
        <f t="shared" si="87"/>
        <v>0</v>
      </c>
      <c r="X353" s="2">
        <f t="shared" si="88"/>
        <v>0</v>
      </c>
      <c r="Y353" s="2">
        <f t="shared" si="89"/>
        <v>0</v>
      </c>
      <c r="Z353" s="2">
        <f t="shared" si="90"/>
        <v>0</v>
      </c>
      <c r="AA353" s="2">
        <f t="shared" si="91"/>
        <v>0</v>
      </c>
      <c r="AB353" s="2">
        <f t="shared" si="92"/>
        <v>0</v>
      </c>
      <c r="AC353" s="2">
        <f t="shared" si="93"/>
        <v>84.899989880174701</v>
      </c>
      <c r="AD353" s="2">
        <f t="shared" si="94"/>
        <v>0</v>
      </c>
      <c r="AE353" s="2">
        <f t="shared" si="95"/>
        <v>84.899989880174701</v>
      </c>
    </row>
    <row r="354" spans="1:31">
      <c r="A354" s="1" t="s">
        <v>26</v>
      </c>
      <c r="B354">
        <v>159</v>
      </c>
      <c r="C354" s="5">
        <v>99.999695354799996</v>
      </c>
      <c r="D354" s="5">
        <v>1.0891695398500001</v>
      </c>
      <c r="E354" s="11">
        <v>0</v>
      </c>
      <c r="F354" s="15">
        <v>3.7</v>
      </c>
      <c r="G354" s="15">
        <v>0</v>
      </c>
      <c r="H354" s="15">
        <v>0</v>
      </c>
      <c r="I354" s="15">
        <v>0</v>
      </c>
      <c r="J354" s="11">
        <v>0</v>
      </c>
      <c r="K354" s="15">
        <v>0</v>
      </c>
      <c r="L354" s="15">
        <v>0</v>
      </c>
      <c r="M354" s="15">
        <v>0</v>
      </c>
      <c r="N354" s="16">
        <v>0</v>
      </c>
      <c r="O354" s="2">
        <f t="shared" si="81"/>
        <v>3.7</v>
      </c>
      <c r="P354" s="2">
        <f t="shared" si="82"/>
        <v>0</v>
      </c>
      <c r="Q354" s="2">
        <f t="shared" si="83"/>
        <v>3.7</v>
      </c>
      <c r="S354" s="2">
        <f t="shared" si="96"/>
        <v>0</v>
      </c>
      <c r="T354" s="2">
        <f t="shared" si="84"/>
        <v>3.6999887281275998</v>
      </c>
      <c r="U354" s="2">
        <f t="shared" si="85"/>
        <v>0</v>
      </c>
      <c r="V354" s="2">
        <f t="shared" si="86"/>
        <v>0</v>
      </c>
      <c r="W354" s="2">
        <f t="shared" si="87"/>
        <v>0</v>
      </c>
      <c r="X354" s="2">
        <f t="shared" si="88"/>
        <v>0</v>
      </c>
      <c r="Y354" s="2">
        <f t="shared" si="89"/>
        <v>0</v>
      </c>
      <c r="Z354" s="2">
        <f t="shared" si="90"/>
        <v>0</v>
      </c>
      <c r="AA354" s="2">
        <f t="shared" si="91"/>
        <v>0</v>
      </c>
      <c r="AB354" s="2">
        <f t="shared" si="92"/>
        <v>0</v>
      </c>
      <c r="AC354" s="2">
        <f t="shared" si="93"/>
        <v>3.6999887281275998</v>
      </c>
      <c r="AD354" s="2">
        <f t="shared" si="94"/>
        <v>0</v>
      </c>
      <c r="AE354" s="2">
        <f t="shared" si="95"/>
        <v>3.6999887281275998</v>
      </c>
    </row>
    <row r="355" spans="1:31">
      <c r="A355" s="1" t="s">
        <v>26</v>
      </c>
      <c r="B355">
        <v>160</v>
      </c>
      <c r="C355" s="5">
        <v>78.1265920174</v>
      </c>
      <c r="D355" s="5">
        <v>5.7959029485400002</v>
      </c>
      <c r="E355" s="11">
        <v>241</v>
      </c>
      <c r="F355" s="15">
        <v>33.5</v>
      </c>
      <c r="G355" s="15">
        <v>5.2</v>
      </c>
      <c r="H355" s="15">
        <v>0.7</v>
      </c>
      <c r="I355" s="15">
        <v>0</v>
      </c>
      <c r="J355" s="11">
        <v>0</v>
      </c>
      <c r="K355" s="15">
        <v>0</v>
      </c>
      <c r="L355" s="15">
        <v>0</v>
      </c>
      <c r="M355" s="15">
        <v>0</v>
      </c>
      <c r="N355" s="16">
        <v>0</v>
      </c>
      <c r="O355" s="2">
        <f t="shared" si="81"/>
        <v>280.39999999999998</v>
      </c>
      <c r="P355" s="2">
        <f t="shared" si="82"/>
        <v>0</v>
      </c>
      <c r="Q355" s="2">
        <f t="shared" si="83"/>
        <v>280.39999999999998</v>
      </c>
      <c r="S355" s="2">
        <f t="shared" si="96"/>
        <v>188.285086761934</v>
      </c>
      <c r="T355" s="2">
        <f t="shared" si="84"/>
        <v>26.172408325829</v>
      </c>
      <c r="U355" s="2">
        <f t="shared" si="85"/>
        <v>4.0625827849047997</v>
      </c>
      <c r="V355" s="2">
        <f t="shared" si="86"/>
        <v>0.54688614412179992</v>
      </c>
      <c r="W355" s="2">
        <f t="shared" si="87"/>
        <v>0</v>
      </c>
      <c r="X355" s="2">
        <f t="shared" si="88"/>
        <v>0</v>
      </c>
      <c r="Y355" s="2">
        <f t="shared" si="89"/>
        <v>0</v>
      </c>
      <c r="Z355" s="2">
        <f t="shared" si="90"/>
        <v>0</v>
      </c>
      <c r="AA355" s="2">
        <f t="shared" si="91"/>
        <v>0</v>
      </c>
      <c r="AB355" s="2">
        <f t="shared" si="92"/>
        <v>0</v>
      </c>
      <c r="AC355" s="2">
        <f t="shared" si="93"/>
        <v>219.06696401678957</v>
      </c>
      <c r="AD355" s="2">
        <f t="shared" si="94"/>
        <v>0</v>
      </c>
      <c r="AE355" s="2">
        <f t="shared" si="95"/>
        <v>219.06696401678957</v>
      </c>
    </row>
    <row r="356" spans="1:31">
      <c r="A356" s="1" t="s">
        <v>26</v>
      </c>
      <c r="B356">
        <v>161</v>
      </c>
      <c r="C356" s="5">
        <v>99.999487433499993</v>
      </c>
      <c r="D356" s="5">
        <v>1.0719748678200001</v>
      </c>
      <c r="E356" s="11">
        <v>0</v>
      </c>
      <c r="F356" s="15">
        <v>0</v>
      </c>
      <c r="G356" s="15">
        <v>0</v>
      </c>
      <c r="H356" s="15">
        <v>0</v>
      </c>
      <c r="I356" s="15">
        <v>0</v>
      </c>
      <c r="J356" s="11">
        <v>0</v>
      </c>
      <c r="K356" s="15">
        <v>0</v>
      </c>
      <c r="L356" s="15">
        <v>0</v>
      </c>
      <c r="M356" s="15">
        <v>0</v>
      </c>
      <c r="N356" s="16">
        <v>0</v>
      </c>
      <c r="O356" s="2">
        <f t="shared" si="81"/>
        <v>0</v>
      </c>
      <c r="P356" s="2">
        <f t="shared" si="82"/>
        <v>0</v>
      </c>
      <c r="Q356" s="2">
        <f t="shared" si="83"/>
        <v>0</v>
      </c>
      <c r="S356" s="2">
        <f t="shared" si="96"/>
        <v>0</v>
      </c>
      <c r="T356" s="2">
        <f t="shared" si="84"/>
        <v>0</v>
      </c>
      <c r="U356" s="2">
        <f t="shared" si="85"/>
        <v>0</v>
      </c>
      <c r="V356" s="2">
        <f t="shared" si="86"/>
        <v>0</v>
      </c>
      <c r="W356" s="2">
        <f t="shared" si="87"/>
        <v>0</v>
      </c>
      <c r="X356" s="2">
        <f t="shared" si="88"/>
        <v>0</v>
      </c>
      <c r="Y356" s="2">
        <f t="shared" si="89"/>
        <v>0</v>
      </c>
      <c r="Z356" s="2">
        <f t="shared" si="90"/>
        <v>0</v>
      </c>
      <c r="AA356" s="2">
        <f t="shared" si="91"/>
        <v>0</v>
      </c>
      <c r="AB356" s="2">
        <f t="shared" si="92"/>
        <v>0</v>
      </c>
      <c r="AC356" s="2">
        <f t="shared" si="93"/>
        <v>0</v>
      </c>
      <c r="AD356" s="2">
        <f t="shared" si="94"/>
        <v>0</v>
      </c>
      <c r="AE356" s="2">
        <f t="shared" si="95"/>
        <v>0</v>
      </c>
    </row>
    <row r="357" spans="1:31">
      <c r="A357" s="1" t="s">
        <v>26</v>
      </c>
      <c r="B357">
        <v>162</v>
      </c>
      <c r="C357" s="5">
        <v>62.348328325700002</v>
      </c>
      <c r="D357" s="5">
        <v>8.4071224895099999</v>
      </c>
      <c r="E357" s="11">
        <v>0</v>
      </c>
      <c r="F357" s="15">
        <v>0</v>
      </c>
      <c r="G357" s="15">
        <v>0</v>
      </c>
      <c r="H357" s="15">
        <v>0</v>
      </c>
      <c r="I357" s="15">
        <v>0</v>
      </c>
      <c r="J357" s="11">
        <v>0</v>
      </c>
      <c r="K357" s="15">
        <v>0</v>
      </c>
      <c r="L357" s="15">
        <v>0</v>
      </c>
      <c r="M357" s="15">
        <v>0</v>
      </c>
      <c r="N357" s="16">
        <v>0</v>
      </c>
      <c r="O357" s="2">
        <f t="shared" si="81"/>
        <v>0</v>
      </c>
      <c r="P357" s="2">
        <f t="shared" si="82"/>
        <v>0</v>
      </c>
      <c r="Q357" s="2">
        <f t="shared" si="83"/>
        <v>0</v>
      </c>
      <c r="S357" s="2">
        <f t="shared" si="96"/>
        <v>0</v>
      </c>
      <c r="T357" s="2">
        <f t="shared" si="84"/>
        <v>0</v>
      </c>
      <c r="U357" s="2">
        <f t="shared" si="85"/>
        <v>0</v>
      </c>
      <c r="V357" s="2">
        <f t="shared" si="86"/>
        <v>0</v>
      </c>
      <c r="W357" s="2">
        <f t="shared" si="87"/>
        <v>0</v>
      </c>
      <c r="X357" s="2">
        <f t="shared" si="88"/>
        <v>0</v>
      </c>
      <c r="Y357" s="2">
        <f t="shared" si="89"/>
        <v>0</v>
      </c>
      <c r="Z357" s="2">
        <f t="shared" si="90"/>
        <v>0</v>
      </c>
      <c r="AA357" s="2">
        <f t="shared" si="91"/>
        <v>0</v>
      </c>
      <c r="AB357" s="2">
        <f t="shared" si="92"/>
        <v>0</v>
      </c>
      <c r="AC357" s="2">
        <f t="shared" si="93"/>
        <v>0</v>
      </c>
      <c r="AD357" s="2">
        <f t="shared" si="94"/>
        <v>0</v>
      </c>
      <c r="AE357" s="2">
        <f t="shared" si="95"/>
        <v>0</v>
      </c>
    </row>
    <row r="358" spans="1:31">
      <c r="A358" s="1" t="s">
        <v>26</v>
      </c>
      <c r="B358">
        <v>165</v>
      </c>
      <c r="C358" s="5">
        <v>4.2347450583199997</v>
      </c>
      <c r="D358" s="5">
        <v>0.535838542955</v>
      </c>
      <c r="E358" s="11">
        <v>0</v>
      </c>
      <c r="F358" s="15">
        <v>2494.0807199999999</v>
      </c>
      <c r="G358" s="15">
        <v>622.79999999999995</v>
      </c>
      <c r="H358" s="15">
        <v>18.2</v>
      </c>
      <c r="I358" s="15">
        <v>0</v>
      </c>
      <c r="J358" s="11">
        <v>0</v>
      </c>
      <c r="K358" s="15">
        <v>0</v>
      </c>
      <c r="L358" s="15">
        <v>0</v>
      </c>
      <c r="M358" s="15">
        <v>0</v>
      </c>
      <c r="N358" s="16">
        <v>0</v>
      </c>
      <c r="O358" s="2">
        <f t="shared" si="81"/>
        <v>3135.0807199999999</v>
      </c>
      <c r="P358" s="2">
        <f t="shared" si="82"/>
        <v>0</v>
      </c>
      <c r="Q358" s="2">
        <f t="shared" si="83"/>
        <v>3135.0807199999999</v>
      </c>
      <c r="S358" s="2">
        <f t="shared" si="96"/>
        <v>0</v>
      </c>
      <c r="T358" s="2">
        <f t="shared" si="84"/>
        <v>105.61796004071186</v>
      </c>
      <c r="U358" s="2">
        <f t="shared" si="85"/>
        <v>26.373992223216955</v>
      </c>
      <c r="V358" s="2">
        <f t="shared" si="86"/>
        <v>0.77072360061423995</v>
      </c>
      <c r="W358" s="2">
        <f t="shared" si="87"/>
        <v>0</v>
      </c>
      <c r="X358" s="2">
        <f t="shared" si="88"/>
        <v>0</v>
      </c>
      <c r="Y358" s="2">
        <f t="shared" si="89"/>
        <v>0</v>
      </c>
      <c r="Z358" s="2">
        <f t="shared" si="90"/>
        <v>0</v>
      </c>
      <c r="AA358" s="2">
        <f t="shared" si="91"/>
        <v>0</v>
      </c>
      <c r="AB358" s="2">
        <f t="shared" si="92"/>
        <v>0</v>
      </c>
      <c r="AC358" s="2">
        <f t="shared" si="93"/>
        <v>132.76267586454307</v>
      </c>
      <c r="AD358" s="2">
        <f t="shared" si="94"/>
        <v>0</v>
      </c>
      <c r="AE358" s="2">
        <f t="shared" si="95"/>
        <v>132.76267586454307</v>
      </c>
    </row>
    <row r="359" spans="1:31">
      <c r="A359" s="1" t="s">
        <v>26</v>
      </c>
      <c r="B359">
        <v>168</v>
      </c>
      <c r="C359" s="5">
        <v>7.9052239129200004</v>
      </c>
      <c r="D359" s="5">
        <v>0.58310797491099997</v>
      </c>
      <c r="E359" s="11">
        <v>0</v>
      </c>
      <c r="F359" s="15">
        <v>0</v>
      </c>
      <c r="G359" s="15">
        <v>0</v>
      </c>
      <c r="H359" s="15">
        <v>0</v>
      </c>
      <c r="I359" s="15">
        <v>0</v>
      </c>
      <c r="J359" s="11">
        <v>0</v>
      </c>
      <c r="K359" s="15">
        <v>0</v>
      </c>
      <c r="L359" s="15">
        <v>0</v>
      </c>
      <c r="M359" s="15">
        <v>0</v>
      </c>
      <c r="N359" s="16">
        <v>0</v>
      </c>
      <c r="O359" s="2">
        <f t="shared" si="81"/>
        <v>0</v>
      </c>
      <c r="P359" s="2">
        <f t="shared" si="82"/>
        <v>0</v>
      </c>
      <c r="Q359" s="2">
        <f t="shared" si="83"/>
        <v>0</v>
      </c>
      <c r="S359" s="2">
        <f t="shared" si="96"/>
        <v>0</v>
      </c>
      <c r="T359" s="2">
        <f t="shared" si="84"/>
        <v>0</v>
      </c>
      <c r="U359" s="2">
        <f t="shared" si="85"/>
        <v>0</v>
      </c>
      <c r="V359" s="2">
        <f t="shared" si="86"/>
        <v>0</v>
      </c>
      <c r="W359" s="2">
        <f t="shared" si="87"/>
        <v>0</v>
      </c>
      <c r="X359" s="2">
        <f t="shared" si="88"/>
        <v>0</v>
      </c>
      <c r="Y359" s="2">
        <f t="shared" si="89"/>
        <v>0</v>
      </c>
      <c r="Z359" s="2">
        <f t="shared" si="90"/>
        <v>0</v>
      </c>
      <c r="AA359" s="2">
        <f t="shared" si="91"/>
        <v>0</v>
      </c>
      <c r="AB359" s="2">
        <f t="shared" si="92"/>
        <v>0</v>
      </c>
      <c r="AC359" s="2">
        <f t="shared" si="93"/>
        <v>0</v>
      </c>
      <c r="AD359" s="2">
        <f t="shared" si="94"/>
        <v>0</v>
      </c>
      <c r="AE359" s="2">
        <f t="shared" si="95"/>
        <v>0</v>
      </c>
    </row>
    <row r="360" spans="1:31">
      <c r="A360" s="1" t="s">
        <v>26</v>
      </c>
      <c r="B360">
        <v>170</v>
      </c>
      <c r="C360" s="5">
        <v>16.7254572794</v>
      </c>
      <c r="D360" s="5">
        <v>1.2173839172600001</v>
      </c>
      <c r="E360" s="11">
        <v>0</v>
      </c>
      <c r="F360" s="15">
        <v>0</v>
      </c>
      <c r="G360" s="15">
        <v>0</v>
      </c>
      <c r="H360" s="15">
        <v>0</v>
      </c>
      <c r="I360" s="15">
        <v>0</v>
      </c>
      <c r="J360" s="11">
        <v>0</v>
      </c>
      <c r="K360" s="15">
        <v>0</v>
      </c>
      <c r="L360" s="15">
        <v>0</v>
      </c>
      <c r="M360" s="15">
        <v>0</v>
      </c>
      <c r="N360" s="16">
        <v>0</v>
      </c>
      <c r="O360" s="2">
        <f t="shared" si="81"/>
        <v>0</v>
      </c>
      <c r="P360" s="2">
        <f t="shared" si="82"/>
        <v>0</v>
      </c>
      <c r="Q360" s="2">
        <f t="shared" si="83"/>
        <v>0</v>
      </c>
      <c r="S360" s="2">
        <f t="shared" si="96"/>
        <v>0</v>
      </c>
      <c r="T360" s="2">
        <f t="shared" si="84"/>
        <v>0</v>
      </c>
      <c r="U360" s="2">
        <f t="shared" si="85"/>
        <v>0</v>
      </c>
      <c r="V360" s="2">
        <f t="shared" si="86"/>
        <v>0</v>
      </c>
      <c r="W360" s="2">
        <f t="shared" si="87"/>
        <v>0</v>
      </c>
      <c r="X360" s="2">
        <f t="shared" si="88"/>
        <v>0</v>
      </c>
      <c r="Y360" s="2">
        <f t="shared" si="89"/>
        <v>0</v>
      </c>
      <c r="Z360" s="2">
        <f t="shared" si="90"/>
        <v>0</v>
      </c>
      <c r="AA360" s="2">
        <f t="shared" si="91"/>
        <v>0</v>
      </c>
      <c r="AB360" s="2">
        <f t="shared" si="92"/>
        <v>0</v>
      </c>
      <c r="AC360" s="2">
        <f t="shared" si="93"/>
        <v>0</v>
      </c>
      <c r="AD360" s="2">
        <f t="shared" si="94"/>
        <v>0</v>
      </c>
      <c r="AE360" s="2">
        <f t="shared" si="95"/>
        <v>0</v>
      </c>
    </row>
    <row r="361" spans="1:31">
      <c r="A361" s="1" t="s">
        <v>26</v>
      </c>
      <c r="B361">
        <v>256</v>
      </c>
      <c r="C361" s="5">
        <v>6.2137030233699999</v>
      </c>
      <c r="D361" s="5">
        <v>0.495962348213</v>
      </c>
      <c r="E361" s="11">
        <v>0</v>
      </c>
      <c r="F361" s="15">
        <v>0</v>
      </c>
      <c r="G361" s="15">
        <v>0</v>
      </c>
      <c r="H361" s="15">
        <v>0</v>
      </c>
      <c r="I361" s="15">
        <v>0</v>
      </c>
      <c r="J361" s="11">
        <v>0</v>
      </c>
      <c r="K361" s="15">
        <v>0</v>
      </c>
      <c r="L361" s="15">
        <v>0</v>
      </c>
      <c r="M361" s="15">
        <v>0</v>
      </c>
      <c r="N361" s="16">
        <v>0</v>
      </c>
      <c r="O361" s="2">
        <f t="shared" si="81"/>
        <v>0</v>
      </c>
      <c r="P361" s="2">
        <f t="shared" si="82"/>
        <v>0</v>
      </c>
      <c r="Q361" s="2">
        <f t="shared" si="83"/>
        <v>0</v>
      </c>
      <c r="S361" s="2">
        <f t="shared" si="96"/>
        <v>0</v>
      </c>
      <c r="T361" s="2">
        <f t="shared" si="84"/>
        <v>0</v>
      </c>
      <c r="U361" s="2">
        <f t="shared" si="85"/>
        <v>0</v>
      </c>
      <c r="V361" s="2">
        <f t="shared" si="86"/>
        <v>0</v>
      </c>
      <c r="W361" s="2">
        <f t="shared" si="87"/>
        <v>0</v>
      </c>
      <c r="X361" s="2">
        <f t="shared" si="88"/>
        <v>0</v>
      </c>
      <c r="Y361" s="2">
        <f t="shared" si="89"/>
        <v>0</v>
      </c>
      <c r="Z361" s="2">
        <f t="shared" si="90"/>
        <v>0</v>
      </c>
      <c r="AA361" s="2">
        <f t="shared" si="91"/>
        <v>0</v>
      </c>
      <c r="AB361" s="2">
        <f t="shared" si="92"/>
        <v>0</v>
      </c>
      <c r="AC361" s="2">
        <f t="shared" si="93"/>
        <v>0</v>
      </c>
      <c r="AD361" s="2">
        <f t="shared" si="94"/>
        <v>0</v>
      </c>
      <c r="AE361" s="2">
        <f t="shared" si="95"/>
        <v>0</v>
      </c>
    </row>
    <row r="362" spans="1:31">
      <c r="A362" s="1" t="s">
        <v>26</v>
      </c>
      <c r="B362">
        <v>259</v>
      </c>
      <c r="C362" s="5">
        <v>9.6044020018600005</v>
      </c>
      <c r="D362" s="5">
        <v>1.8490814444100001</v>
      </c>
      <c r="E362" s="11">
        <v>0</v>
      </c>
      <c r="F362" s="15">
        <v>0</v>
      </c>
      <c r="G362" s="15">
        <v>0</v>
      </c>
      <c r="H362" s="15">
        <v>0</v>
      </c>
      <c r="I362" s="15">
        <v>0</v>
      </c>
      <c r="J362" s="11">
        <v>0</v>
      </c>
      <c r="K362" s="15">
        <v>0</v>
      </c>
      <c r="L362" s="15">
        <v>0</v>
      </c>
      <c r="M362" s="15">
        <v>0</v>
      </c>
      <c r="N362" s="16">
        <v>0</v>
      </c>
      <c r="O362" s="2">
        <f t="shared" si="81"/>
        <v>0</v>
      </c>
      <c r="P362" s="2">
        <f t="shared" si="82"/>
        <v>0</v>
      </c>
      <c r="Q362" s="2">
        <f t="shared" si="83"/>
        <v>0</v>
      </c>
      <c r="S362" s="2">
        <f t="shared" si="96"/>
        <v>0</v>
      </c>
      <c r="T362" s="2">
        <f t="shared" si="84"/>
        <v>0</v>
      </c>
      <c r="U362" s="2">
        <f t="shared" si="85"/>
        <v>0</v>
      </c>
      <c r="V362" s="2">
        <f t="shared" si="86"/>
        <v>0</v>
      </c>
      <c r="W362" s="2">
        <f t="shared" si="87"/>
        <v>0</v>
      </c>
      <c r="X362" s="2">
        <f t="shared" si="88"/>
        <v>0</v>
      </c>
      <c r="Y362" s="2">
        <f t="shared" si="89"/>
        <v>0</v>
      </c>
      <c r="Z362" s="2">
        <f t="shared" si="90"/>
        <v>0</v>
      </c>
      <c r="AA362" s="2">
        <f t="shared" si="91"/>
        <v>0</v>
      </c>
      <c r="AB362" s="2">
        <f t="shared" si="92"/>
        <v>0</v>
      </c>
      <c r="AC362" s="2">
        <f t="shared" si="93"/>
        <v>0</v>
      </c>
      <c r="AD362" s="2">
        <f t="shared" si="94"/>
        <v>0</v>
      </c>
      <c r="AE362" s="2">
        <f t="shared" si="95"/>
        <v>0</v>
      </c>
    </row>
    <row r="363" spans="1:31">
      <c r="A363" s="1" t="s">
        <v>26</v>
      </c>
      <c r="B363">
        <v>260</v>
      </c>
      <c r="C363" s="5">
        <v>18.026874202199998</v>
      </c>
      <c r="D363" s="5">
        <v>0.73677549835199996</v>
      </c>
      <c r="E363" s="11">
        <v>0</v>
      </c>
      <c r="F363" s="15">
        <v>0</v>
      </c>
      <c r="G363" s="15">
        <v>0</v>
      </c>
      <c r="H363" s="15">
        <v>0</v>
      </c>
      <c r="I363" s="15">
        <v>0</v>
      </c>
      <c r="J363" s="11">
        <v>0</v>
      </c>
      <c r="K363" s="15">
        <v>0</v>
      </c>
      <c r="L363" s="15">
        <v>0</v>
      </c>
      <c r="M363" s="15">
        <v>0</v>
      </c>
      <c r="N363" s="16">
        <v>0</v>
      </c>
      <c r="O363" s="2">
        <f t="shared" si="81"/>
        <v>0</v>
      </c>
      <c r="P363" s="2">
        <f t="shared" si="82"/>
        <v>0</v>
      </c>
      <c r="Q363" s="2">
        <f t="shared" si="83"/>
        <v>0</v>
      </c>
      <c r="S363" s="2">
        <f t="shared" si="96"/>
        <v>0</v>
      </c>
      <c r="T363" s="2">
        <f t="shared" si="84"/>
        <v>0</v>
      </c>
      <c r="U363" s="2">
        <f t="shared" si="85"/>
        <v>0</v>
      </c>
      <c r="V363" s="2">
        <f t="shared" si="86"/>
        <v>0</v>
      </c>
      <c r="W363" s="2">
        <f t="shared" si="87"/>
        <v>0</v>
      </c>
      <c r="X363" s="2">
        <f t="shared" si="88"/>
        <v>0</v>
      </c>
      <c r="Y363" s="2">
        <f t="shared" si="89"/>
        <v>0</v>
      </c>
      <c r="Z363" s="2">
        <f t="shared" si="90"/>
        <v>0</v>
      </c>
      <c r="AA363" s="2">
        <f t="shared" si="91"/>
        <v>0</v>
      </c>
      <c r="AB363" s="2">
        <f t="shared" si="92"/>
        <v>0</v>
      </c>
      <c r="AC363" s="2">
        <f t="shared" si="93"/>
        <v>0</v>
      </c>
      <c r="AD363" s="2">
        <f t="shared" si="94"/>
        <v>0</v>
      </c>
      <c r="AE363" s="2">
        <f t="shared" si="95"/>
        <v>0</v>
      </c>
    </row>
    <row r="364" spans="1:31">
      <c r="A364" s="1" t="s">
        <v>27</v>
      </c>
      <c r="B364">
        <v>236</v>
      </c>
      <c r="C364" s="5">
        <v>8.6481842314299993</v>
      </c>
      <c r="D364" s="5">
        <v>0.62535532301899999</v>
      </c>
      <c r="E364" s="11">
        <v>0</v>
      </c>
      <c r="F364" s="15">
        <v>0</v>
      </c>
      <c r="G364" s="15">
        <v>0</v>
      </c>
      <c r="H364" s="15">
        <v>0</v>
      </c>
      <c r="I364" s="15">
        <v>0</v>
      </c>
      <c r="J364" s="11">
        <v>0</v>
      </c>
      <c r="K364" s="15">
        <v>0</v>
      </c>
      <c r="L364" s="15">
        <v>0</v>
      </c>
      <c r="M364" s="15">
        <v>0</v>
      </c>
      <c r="N364" s="16">
        <v>0</v>
      </c>
      <c r="O364" s="2">
        <f t="shared" si="81"/>
        <v>0</v>
      </c>
      <c r="P364" s="2">
        <f t="shared" si="82"/>
        <v>0</v>
      </c>
      <c r="Q364" s="2">
        <f t="shared" si="83"/>
        <v>0</v>
      </c>
      <c r="S364" s="2">
        <f t="shared" si="96"/>
        <v>0</v>
      </c>
      <c r="T364" s="2">
        <f t="shared" si="84"/>
        <v>0</v>
      </c>
      <c r="U364" s="2">
        <f t="shared" si="85"/>
        <v>0</v>
      </c>
      <c r="V364" s="2">
        <f t="shared" si="86"/>
        <v>0</v>
      </c>
      <c r="W364" s="2">
        <f t="shared" si="87"/>
        <v>0</v>
      </c>
      <c r="X364" s="2">
        <f t="shared" si="88"/>
        <v>0</v>
      </c>
      <c r="Y364" s="2">
        <f t="shared" si="89"/>
        <v>0</v>
      </c>
      <c r="Z364" s="2">
        <f t="shared" si="90"/>
        <v>0</v>
      </c>
      <c r="AA364" s="2">
        <f t="shared" si="91"/>
        <v>0</v>
      </c>
      <c r="AB364" s="2">
        <f t="shared" si="92"/>
        <v>0</v>
      </c>
      <c r="AC364" s="2">
        <f t="shared" si="93"/>
        <v>0</v>
      </c>
      <c r="AD364" s="2">
        <f t="shared" si="94"/>
        <v>0</v>
      </c>
      <c r="AE364" s="2">
        <f t="shared" si="95"/>
        <v>0</v>
      </c>
    </row>
    <row r="365" spans="1:31">
      <c r="A365" s="1" t="s">
        <v>27</v>
      </c>
      <c r="B365">
        <v>240</v>
      </c>
      <c r="C365" s="5">
        <v>5.1347956479499999</v>
      </c>
      <c r="D365" s="5">
        <v>0.57880635045600004</v>
      </c>
      <c r="E365" s="11">
        <v>0</v>
      </c>
      <c r="F365" s="15">
        <v>0</v>
      </c>
      <c r="G365" s="15">
        <v>0</v>
      </c>
      <c r="H365" s="15">
        <v>0</v>
      </c>
      <c r="I365" s="15">
        <v>0</v>
      </c>
      <c r="J365" s="11">
        <v>0</v>
      </c>
      <c r="K365" s="15">
        <v>0</v>
      </c>
      <c r="L365" s="15">
        <v>0</v>
      </c>
      <c r="M365" s="15">
        <v>0</v>
      </c>
      <c r="N365" s="16">
        <v>0</v>
      </c>
      <c r="O365" s="2">
        <f t="shared" si="81"/>
        <v>0</v>
      </c>
      <c r="P365" s="2">
        <f t="shared" si="82"/>
        <v>0</v>
      </c>
      <c r="Q365" s="2">
        <f t="shared" si="83"/>
        <v>0</v>
      </c>
      <c r="S365" s="2">
        <f t="shared" si="96"/>
        <v>0</v>
      </c>
      <c r="T365" s="2">
        <f t="shared" si="84"/>
        <v>0</v>
      </c>
      <c r="U365" s="2">
        <f t="shared" si="85"/>
        <v>0</v>
      </c>
      <c r="V365" s="2">
        <f t="shared" si="86"/>
        <v>0</v>
      </c>
      <c r="W365" s="2">
        <f t="shared" si="87"/>
        <v>0</v>
      </c>
      <c r="X365" s="2">
        <f t="shared" si="88"/>
        <v>0</v>
      </c>
      <c r="Y365" s="2">
        <f t="shared" si="89"/>
        <v>0</v>
      </c>
      <c r="Z365" s="2">
        <f t="shared" si="90"/>
        <v>0</v>
      </c>
      <c r="AA365" s="2">
        <f t="shared" si="91"/>
        <v>0</v>
      </c>
      <c r="AB365" s="2">
        <f t="shared" si="92"/>
        <v>0</v>
      </c>
      <c r="AC365" s="2">
        <f t="shared" si="93"/>
        <v>0</v>
      </c>
      <c r="AD365" s="2">
        <f t="shared" si="94"/>
        <v>0</v>
      </c>
      <c r="AE365" s="2">
        <f t="shared" si="95"/>
        <v>0</v>
      </c>
    </row>
    <row r="366" spans="1:31">
      <c r="A366" s="1" t="s">
        <v>27</v>
      </c>
      <c r="B366">
        <v>241</v>
      </c>
      <c r="C366" s="5">
        <v>50.106969702900003</v>
      </c>
      <c r="D366" s="5">
        <v>1.08638596641</v>
      </c>
      <c r="E366" s="11">
        <v>188.50399999999999</v>
      </c>
      <c r="F366" s="15">
        <v>26.952000000000002</v>
      </c>
      <c r="G366" s="15">
        <v>5.3</v>
      </c>
      <c r="H366" s="15">
        <v>1.6</v>
      </c>
      <c r="I366" s="15">
        <v>0</v>
      </c>
      <c r="J366" s="11">
        <v>0</v>
      </c>
      <c r="K366" s="15">
        <v>0</v>
      </c>
      <c r="L366" s="15">
        <v>0</v>
      </c>
      <c r="M366" s="15">
        <v>0</v>
      </c>
      <c r="N366" s="16">
        <v>0</v>
      </c>
      <c r="O366" s="2">
        <f t="shared" si="81"/>
        <v>222.35599999999999</v>
      </c>
      <c r="P366" s="2">
        <f t="shared" si="82"/>
        <v>0</v>
      </c>
      <c r="Q366" s="2">
        <f t="shared" si="83"/>
        <v>222.35599999999999</v>
      </c>
      <c r="S366" s="2">
        <f t="shared" si="96"/>
        <v>94.453642168754612</v>
      </c>
      <c r="T366" s="2">
        <f t="shared" si="84"/>
        <v>13.504830474325608</v>
      </c>
      <c r="U366" s="2">
        <f t="shared" si="85"/>
        <v>2.6556693942537</v>
      </c>
      <c r="V366" s="2">
        <f t="shared" si="86"/>
        <v>0.80171151524640005</v>
      </c>
      <c r="W366" s="2">
        <f t="shared" si="87"/>
        <v>0</v>
      </c>
      <c r="X366" s="2">
        <f t="shared" si="88"/>
        <v>0</v>
      </c>
      <c r="Y366" s="2">
        <f t="shared" si="89"/>
        <v>0</v>
      </c>
      <c r="Z366" s="2">
        <f t="shared" si="90"/>
        <v>0</v>
      </c>
      <c r="AA366" s="2">
        <f t="shared" si="91"/>
        <v>0</v>
      </c>
      <c r="AB366" s="2">
        <f t="shared" si="92"/>
        <v>0</v>
      </c>
      <c r="AC366" s="2">
        <f t="shared" si="93"/>
        <v>111.41585355258032</v>
      </c>
      <c r="AD366" s="2">
        <f t="shared" si="94"/>
        <v>0</v>
      </c>
      <c r="AE366" s="2">
        <f t="shared" si="95"/>
        <v>111.41585355258032</v>
      </c>
    </row>
    <row r="367" spans="1:31">
      <c r="A367" s="1" t="s">
        <v>27</v>
      </c>
      <c r="B367">
        <v>262</v>
      </c>
      <c r="C367" s="5">
        <v>2.9960309271500001</v>
      </c>
      <c r="D367" s="5">
        <v>0.91986069837700002</v>
      </c>
      <c r="E367" s="11">
        <v>0</v>
      </c>
      <c r="F367" s="15">
        <v>0</v>
      </c>
      <c r="G367" s="15">
        <v>0</v>
      </c>
      <c r="H367" s="15">
        <v>0</v>
      </c>
      <c r="I367" s="15">
        <v>0</v>
      </c>
      <c r="J367" s="11">
        <v>0</v>
      </c>
      <c r="K367" s="15">
        <v>0</v>
      </c>
      <c r="L367" s="15">
        <v>0</v>
      </c>
      <c r="M367" s="15">
        <v>0</v>
      </c>
      <c r="N367" s="16">
        <v>0</v>
      </c>
      <c r="O367" s="2">
        <f t="shared" si="81"/>
        <v>0</v>
      </c>
      <c r="P367" s="2">
        <f t="shared" si="82"/>
        <v>0</v>
      </c>
      <c r="Q367" s="2">
        <f t="shared" si="83"/>
        <v>0</v>
      </c>
      <c r="S367" s="2">
        <f t="shared" si="96"/>
        <v>0</v>
      </c>
      <c r="T367" s="2">
        <f t="shared" si="84"/>
        <v>0</v>
      </c>
      <c r="U367" s="2">
        <f t="shared" si="85"/>
        <v>0</v>
      </c>
      <c r="V367" s="2">
        <f t="shared" si="86"/>
        <v>0</v>
      </c>
      <c r="W367" s="2">
        <f t="shared" si="87"/>
        <v>0</v>
      </c>
      <c r="X367" s="2">
        <f t="shared" si="88"/>
        <v>0</v>
      </c>
      <c r="Y367" s="2">
        <f t="shared" si="89"/>
        <v>0</v>
      </c>
      <c r="Z367" s="2">
        <f t="shared" si="90"/>
        <v>0</v>
      </c>
      <c r="AA367" s="2">
        <f t="shared" si="91"/>
        <v>0</v>
      </c>
      <c r="AB367" s="2">
        <f t="shared" si="92"/>
        <v>0</v>
      </c>
      <c r="AC367" s="2">
        <f t="shared" si="93"/>
        <v>0</v>
      </c>
      <c r="AD367" s="2">
        <f t="shared" si="94"/>
        <v>0</v>
      </c>
      <c r="AE367" s="2">
        <f t="shared" si="95"/>
        <v>0</v>
      </c>
    </row>
    <row r="368" spans="1:31">
      <c r="A368" s="1" t="s">
        <v>27</v>
      </c>
      <c r="B368">
        <v>263</v>
      </c>
      <c r="C368" s="5">
        <v>84.807377356200007</v>
      </c>
      <c r="D368" s="5">
        <v>14.025736994900001</v>
      </c>
      <c r="E368" s="11">
        <v>0</v>
      </c>
      <c r="F368" s="15">
        <v>0</v>
      </c>
      <c r="G368" s="15">
        <v>0</v>
      </c>
      <c r="H368" s="15">
        <v>0</v>
      </c>
      <c r="I368" s="15">
        <v>0</v>
      </c>
      <c r="J368" s="11">
        <v>0</v>
      </c>
      <c r="K368" s="15">
        <v>0</v>
      </c>
      <c r="L368" s="15">
        <v>0</v>
      </c>
      <c r="M368" s="15">
        <v>0</v>
      </c>
      <c r="N368" s="16">
        <v>0</v>
      </c>
      <c r="O368" s="2">
        <f t="shared" si="81"/>
        <v>0</v>
      </c>
      <c r="P368" s="2">
        <f t="shared" si="82"/>
        <v>0</v>
      </c>
      <c r="Q368" s="2">
        <f t="shared" si="83"/>
        <v>0</v>
      </c>
      <c r="S368" s="2">
        <f t="shared" si="96"/>
        <v>0</v>
      </c>
      <c r="T368" s="2">
        <f t="shared" si="84"/>
        <v>0</v>
      </c>
      <c r="U368" s="2">
        <f t="shared" si="85"/>
        <v>0</v>
      </c>
      <c r="V368" s="2">
        <f t="shared" si="86"/>
        <v>0</v>
      </c>
      <c r="W368" s="2">
        <f t="shared" si="87"/>
        <v>0</v>
      </c>
      <c r="X368" s="2">
        <f t="shared" si="88"/>
        <v>0</v>
      </c>
      <c r="Y368" s="2">
        <f t="shared" si="89"/>
        <v>0</v>
      </c>
      <c r="Z368" s="2">
        <f t="shared" si="90"/>
        <v>0</v>
      </c>
      <c r="AA368" s="2">
        <f t="shared" si="91"/>
        <v>0</v>
      </c>
      <c r="AB368" s="2">
        <f t="shared" si="92"/>
        <v>0</v>
      </c>
      <c r="AC368" s="2">
        <f t="shared" si="93"/>
        <v>0</v>
      </c>
      <c r="AD368" s="2">
        <f t="shared" si="94"/>
        <v>0</v>
      </c>
      <c r="AE368" s="2">
        <f t="shared" si="95"/>
        <v>0</v>
      </c>
    </row>
    <row r="369" spans="1:31">
      <c r="A369" s="1" t="s">
        <v>27</v>
      </c>
      <c r="B369">
        <v>264</v>
      </c>
      <c r="C369" s="5">
        <v>5.0625784382800001</v>
      </c>
      <c r="D369" s="5">
        <v>0.75602195555399998</v>
      </c>
      <c r="E369" s="11">
        <v>0</v>
      </c>
      <c r="F369" s="15">
        <v>0</v>
      </c>
      <c r="G369" s="15">
        <v>0</v>
      </c>
      <c r="H369" s="15">
        <v>0</v>
      </c>
      <c r="I369" s="15">
        <v>0</v>
      </c>
      <c r="J369" s="11">
        <v>0</v>
      </c>
      <c r="K369" s="15">
        <v>0</v>
      </c>
      <c r="L369" s="15">
        <v>0</v>
      </c>
      <c r="M369" s="15">
        <v>0</v>
      </c>
      <c r="N369" s="16">
        <v>0</v>
      </c>
      <c r="O369" s="2">
        <f t="shared" si="81"/>
        <v>0</v>
      </c>
      <c r="P369" s="2">
        <f t="shared" si="82"/>
        <v>0</v>
      </c>
      <c r="Q369" s="2">
        <f t="shared" si="83"/>
        <v>0</v>
      </c>
      <c r="S369" s="2">
        <f t="shared" si="96"/>
        <v>0</v>
      </c>
      <c r="T369" s="2">
        <f t="shared" si="84"/>
        <v>0</v>
      </c>
      <c r="U369" s="2">
        <f t="shared" si="85"/>
        <v>0</v>
      </c>
      <c r="V369" s="2">
        <f t="shared" si="86"/>
        <v>0</v>
      </c>
      <c r="W369" s="2">
        <f t="shared" si="87"/>
        <v>0</v>
      </c>
      <c r="X369" s="2">
        <f t="shared" si="88"/>
        <v>0</v>
      </c>
      <c r="Y369" s="2">
        <f t="shared" si="89"/>
        <v>0</v>
      </c>
      <c r="Z369" s="2">
        <f t="shared" si="90"/>
        <v>0</v>
      </c>
      <c r="AA369" s="2">
        <f t="shared" si="91"/>
        <v>0</v>
      </c>
      <c r="AB369" s="2">
        <f t="shared" si="92"/>
        <v>0</v>
      </c>
      <c r="AC369" s="2">
        <f t="shared" si="93"/>
        <v>0</v>
      </c>
      <c r="AD369" s="2">
        <f t="shared" si="94"/>
        <v>0</v>
      </c>
      <c r="AE369" s="2">
        <f t="shared" si="95"/>
        <v>0</v>
      </c>
    </row>
    <row r="370" spans="1:31">
      <c r="A370" s="1" t="s">
        <v>27</v>
      </c>
      <c r="B370">
        <v>265</v>
      </c>
      <c r="C370" s="5">
        <v>46.789352632300002</v>
      </c>
      <c r="D370" s="5">
        <v>12.241412241600001</v>
      </c>
      <c r="E370" s="11">
        <v>0</v>
      </c>
      <c r="F370" s="15">
        <v>0</v>
      </c>
      <c r="G370" s="15">
        <v>0</v>
      </c>
      <c r="H370" s="15">
        <v>0</v>
      </c>
      <c r="I370" s="15">
        <v>0</v>
      </c>
      <c r="J370" s="11">
        <v>0</v>
      </c>
      <c r="K370" s="15">
        <v>0</v>
      </c>
      <c r="L370" s="15">
        <v>0</v>
      </c>
      <c r="M370" s="15">
        <v>0</v>
      </c>
      <c r="N370" s="16">
        <v>0</v>
      </c>
      <c r="O370" s="2">
        <f t="shared" si="81"/>
        <v>0</v>
      </c>
      <c r="P370" s="2">
        <f t="shared" si="82"/>
        <v>0</v>
      </c>
      <c r="Q370" s="2">
        <f t="shared" si="83"/>
        <v>0</v>
      </c>
      <c r="S370" s="2">
        <f t="shared" si="96"/>
        <v>0</v>
      </c>
      <c r="T370" s="2">
        <f t="shared" si="84"/>
        <v>0</v>
      </c>
      <c r="U370" s="2">
        <f t="shared" si="85"/>
        <v>0</v>
      </c>
      <c r="V370" s="2">
        <f t="shared" si="86"/>
        <v>0</v>
      </c>
      <c r="W370" s="2">
        <f t="shared" si="87"/>
        <v>0</v>
      </c>
      <c r="X370" s="2">
        <f t="shared" si="88"/>
        <v>0</v>
      </c>
      <c r="Y370" s="2">
        <f t="shared" si="89"/>
        <v>0</v>
      </c>
      <c r="Z370" s="2">
        <f t="shared" si="90"/>
        <v>0</v>
      </c>
      <c r="AA370" s="2">
        <f t="shared" si="91"/>
        <v>0</v>
      </c>
      <c r="AB370" s="2">
        <f t="shared" si="92"/>
        <v>0</v>
      </c>
      <c r="AC370" s="2">
        <f t="shared" si="93"/>
        <v>0</v>
      </c>
      <c r="AD370" s="2">
        <f t="shared" si="94"/>
        <v>0</v>
      </c>
      <c r="AE370" s="2">
        <f t="shared" si="95"/>
        <v>0</v>
      </c>
    </row>
    <row r="371" spans="1:31">
      <c r="A371" s="1" t="s">
        <v>27</v>
      </c>
      <c r="B371">
        <v>267</v>
      </c>
      <c r="C371" s="5">
        <v>2.2903959650900001</v>
      </c>
      <c r="D371" s="5">
        <v>0.84883711013999996</v>
      </c>
      <c r="E371" s="11">
        <v>0</v>
      </c>
      <c r="F371" s="15">
        <v>0</v>
      </c>
      <c r="G371" s="15">
        <v>0</v>
      </c>
      <c r="H371" s="15">
        <v>0</v>
      </c>
      <c r="I371" s="15">
        <v>0</v>
      </c>
      <c r="J371" s="11">
        <v>0</v>
      </c>
      <c r="K371" s="15">
        <v>0</v>
      </c>
      <c r="L371" s="15">
        <v>0</v>
      </c>
      <c r="M371" s="15">
        <v>0</v>
      </c>
      <c r="N371" s="16">
        <v>0</v>
      </c>
      <c r="O371" s="2">
        <f t="shared" si="81"/>
        <v>0</v>
      </c>
      <c r="P371" s="2">
        <f t="shared" si="82"/>
        <v>0</v>
      </c>
      <c r="Q371" s="2">
        <f t="shared" si="83"/>
        <v>0</v>
      </c>
      <c r="S371" s="2">
        <f t="shared" si="96"/>
        <v>0</v>
      </c>
      <c r="T371" s="2">
        <f t="shared" si="84"/>
        <v>0</v>
      </c>
      <c r="U371" s="2">
        <f t="shared" si="85"/>
        <v>0</v>
      </c>
      <c r="V371" s="2">
        <f t="shared" si="86"/>
        <v>0</v>
      </c>
      <c r="W371" s="2">
        <f t="shared" si="87"/>
        <v>0</v>
      </c>
      <c r="X371" s="2">
        <f t="shared" si="88"/>
        <v>0</v>
      </c>
      <c r="Y371" s="2">
        <f t="shared" si="89"/>
        <v>0</v>
      </c>
      <c r="Z371" s="2">
        <f t="shared" si="90"/>
        <v>0</v>
      </c>
      <c r="AA371" s="2">
        <f t="shared" si="91"/>
        <v>0</v>
      </c>
      <c r="AB371" s="2">
        <f t="shared" si="92"/>
        <v>0</v>
      </c>
      <c r="AC371" s="2">
        <f t="shared" si="93"/>
        <v>0</v>
      </c>
      <c r="AD371" s="2">
        <f t="shared" si="94"/>
        <v>0</v>
      </c>
      <c r="AE371" s="2">
        <f t="shared" si="95"/>
        <v>0</v>
      </c>
    </row>
    <row r="372" spans="1:31">
      <c r="A372" s="1" t="s">
        <v>27</v>
      </c>
      <c r="B372">
        <v>272</v>
      </c>
      <c r="C372" s="5">
        <v>17.064823073399999</v>
      </c>
      <c r="D372" s="5">
        <v>1.1643854141700001</v>
      </c>
      <c r="E372" s="11">
        <v>0</v>
      </c>
      <c r="F372" s="15">
        <v>0</v>
      </c>
      <c r="G372" s="15">
        <v>0</v>
      </c>
      <c r="H372" s="15">
        <v>0</v>
      </c>
      <c r="I372" s="15">
        <v>0</v>
      </c>
      <c r="J372" s="11">
        <v>0</v>
      </c>
      <c r="K372" s="15">
        <v>0</v>
      </c>
      <c r="L372" s="15">
        <v>0</v>
      </c>
      <c r="M372" s="15">
        <v>0</v>
      </c>
      <c r="N372" s="16">
        <v>0</v>
      </c>
      <c r="O372" s="2">
        <f t="shared" si="81"/>
        <v>0</v>
      </c>
      <c r="P372" s="2">
        <f t="shared" si="82"/>
        <v>0</v>
      </c>
      <c r="Q372" s="2">
        <f t="shared" si="83"/>
        <v>0</v>
      </c>
      <c r="S372" s="2">
        <f t="shared" si="96"/>
        <v>0</v>
      </c>
      <c r="T372" s="2">
        <f t="shared" si="84"/>
        <v>0</v>
      </c>
      <c r="U372" s="2">
        <f t="shared" si="85"/>
        <v>0</v>
      </c>
      <c r="V372" s="2">
        <f t="shared" si="86"/>
        <v>0</v>
      </c>
      <c r="W372" s="2">
        <f t="shared" si="87"/>
        <v>0</v>
      </c>
      <c r="X372" s="2">
        <f t="shared" si="88"/>
        <v>0</v>
      </c>
      <c r="Y372" s="2">
        <f t="shared" si="89"/>
        <v>0</v>
      </c>
      <c r="Z372" s="2">
        <f t="shared" si="90"/>
        <v>0</v>
      </c>
      <c r="AA372" s="2">
        <f t="shared" si="91"/>
        <v>0</v>
      </c>
      <c r="AB372" s="2">
        <f t="shared" si="92"/>
        <v>0</v>
      </c>
      <c r="AC372" s="2">
        <f t="shared" si="93"/>
        <v>0</v>
      </c>
      <c r="AD372" s="2">
        <f t="shared" si="94"/>
        <v>0</v>
      </c>
      <c r="AE372" s="2">
        <f t="shared" si="95"/>
        <v>0</v>
      </c>
    </row>
    <row r="373" spans="1:31">
      <c r="A373" s="1" t="s">
        <v>27</v>
      </c>
      <c r="B373">
        <v>276</v>
      </c>
      <c r="C373" s="5">
        <v>99.910236821500007</v>
      </c>
      <c r="D373" s="5">
        <v>2.56031559438</v>
      </c>
      <c r="E373" s="11">
        <v>0</v>
      </c>
      <c r="F373" s="15">
        <v>0</v>
      </c>
      <c r="G373" s="15">
        <v>0</v>
      </c>
      <c r="H373" s="15">
        <v>0</v>
      </c>
      <c r="I373" s="15">
        <v>0</v>
      </c>
      <c r="J373" s="11">
        <v>0</v>
      </c>
      <c r="K373" s="15">
        <v>0</v>
      </c>
      <c r="L373" s="15">
        <v>0</v>
      </c>
      <c r="M373" s="15">
        <v>0</v>
      </c>
      <c r="N373" s="16">
        <v>0</v>
      </c>
      <c r="O373" s="2">
        <f t="shared" si="81"/>
        <v>0</v>
      </c>
      <c r="P373" s="2">
        <f t="shared" si="82"/>
        <v>0</v>
      </c>
      <c r="Q373" s="2">
        <f t="shared" si="83"/>
        <v>0</v>
      </c>
      <c r="S373" s="2">
        <f t="shared" si="96"/>
        <v>0</v>
      </c>
      <c r="T373" s="2">
        <f t="shared" si="84"/>
        <v>0</v>
      </c>
      <c r="U373" s="2">
        <f t="shared" si="85"/>
        <v>0</v>
      </c>
      <c r="V373" s="2">
        <f t="shared" si="86"/>
        <v>0</v>
      </c>
      <c r="W373" s="2">
        <f t="shared" si="87"/>
        <v>0</v>
      </c>
      <c r="X373" s="2">
        <f t="shared" si="88"/>
        <v>0</v>
      </c>
      <c r="Y373" s="2">
        <f t="shared" si="89"/>
        <v>0</v>
      </c>
      <c r="Z373" s="2">
        <f t="shared" si="90"/>
        <v>0</v>
      </c>
      <c r="AA373" s="2">
        <f t="shared" si="91"/>
        <v>0</v>
      </c>
      <c r="AB373" s="2">
        <f t="shared" si="92"/>
        <v>0</v>
      </c>
      <c r="AC373" s="2">
        <f t="shared" si="93"/>
        <v>0</v>
      </c>
      <c r="AD373" s="2">
        <f t="shared" si="94"/>
        <v>0</v>
      </c>
      <c r="AE373" s="2">
        <f t="shared" si="95"/>
        <v>0</v>
      </c>
    </row>
    <row r="374" spans="1:31">
      <c r="A374" s="1" t="s">
        <v>27</v>
      </c>
      <c r="B374">
        <v>277</v>
      </c>
      <c r="C374" s="5">
        <v>99.999962461899997</v>
      </c>
      <c r="D374" s="5">
        <v>18.389633295300001</v>
      </c>
      <c r="E374" s="11">
        <v>0</v>
      </c>
      <c r="F374" s="15">
        <v>0</v>
      </c>
      <c r="G374" s="15">
        <v>0</v>
      </c>
      <c r="H374" s="15">
        <v>0</v>
      </c>
      <c r="I374" s="15">
        <v>0</v>
      </c>
      <c r="J374" s="11">
        <v>0</v>
      </c>
      <c r="K374" s="15">
        <v>0</v>
      </c>
      <c r="L374" s="15">
        <v>0</v>
      </c>
      <c r="M374" s="15">
        <v>0</v>
      </c>
      <c r="N374" s="16">
        <v>0</v>
      </c>
      <c r="O374" s="2">
        <f t="shared" si="81"/>
        <v>0</v>
      </c>
      <c r="P374" s="2">
        <f t="shared" si="82"/>
        <v>0</v>
      </c>
      <c r="Q374" s="2">
        <f t="shared" si="83"/>
        <v>0</v>
      </c>
      <c r="S374" s="2">
        <f t="shared" si="96"/>
        <v>0</v>
      </c>
      <c r="T374" s="2">
        <f t="shared" si="84"/>
        <v>0</v>
      </c>
      <c r="U374" s="2">
        <f t="shared" si="85"/>
        <v>0</v>
      </c>
      <c r="V374" s="2">
        <f t="shared" si="86"/>
        <v>0</v>
      </c>
      <c r="W374" s="2">
        <f t="shared" si="87"/>
        <v>0</v>
      </c>
      <c r="X374" s="2">
        <f t="shared" si="88"/>
        <v>0</v>
      </c>
      <c r="Y374" s="2">
        <f t="shared" si="89"/>
        <v>0</v>
      </c>
      <c r="Z374" s="2">
        <f t="shared" si="90"/>
        <v>0</v>
      </c>
      <c r="AA374" s="2">
        <f t="shared" si="91"/>
        <v>0</v>
      </c>
      <c r="AB374" s="2">
        <f t="shared" si="92"/>
        <v>0</v>
      </c>
      <c r="AC374" s="2">
        <f t="shared" si="93"/>
        <v>0</v>
      </c>
      <c r="AD374" s="2">
        <f t="shared" si="94"/>
        <v>0</v>
      </c>
      <c r="AE374" s="2">
        <f t="shared" si="95"/>
        <v>0</v>
      </c>
    </row>
    <row r="375" spans="1:31">
      <c r="A375" s="1" t="s">
        <v>27</v>
      </c>
      <c r="B375">
        <v>278</v>
      </c>
      <c r="C375" s="5">
        <v>99.999920550799999</v>
      </c>
      <c r="D375" s="5">
        <v>6.1031856151800001</v>
      </c>
      <c r="E375" s="11">
        <v>0</v>
      </c>
      <c r="F375" s="15">
        <v>0</v>
      </c>
      <c r="G375" s="15">
        <v>0</v>
      </c>
      <c r="H375" s="15">
        <v>0</v>
      </c>
      <c r="I375" s="15">
        <v>0</v>
      </c>
      <c r="J375" s="11">
        <v>0</v>
      </c>
      <c r="K375" s="15">
        <v>0</v>
      </c>
      <c r="L375" s="15">
        <v>0</v>
      </c>
      <c r="M375" s="15">
        <v>0</v>
      </c>
      <c r="N375" s="16">
        <v>0</v>
      </c>
      <c r="O375" s="2">
        <f t="shared" si="81"/>
        <v>0</v>
      </c>
      <c r="P375" s="2">
        <f t="shared" si="82"/>
        <v>0</v>
      </c>
      <c r="Q375" s="2">
        <f t="shared" si="83"/>
        <v>0</v>
      </c>
      <c r="S375" s="2">
        <f t="shared" si="96"/>
        <v>0</v>
      </c>
      <c r="T375" s="2">
        <f t="shared" si="84"/>
        <v>0</v>
      </c>
      <c r="U375" s="2">
        <f t="shared" si="85"/>
        <v>0</v>
      </c>
      <c r="V375" s="2">
        <f t="shared" si="86"/>
        <v>0</v>
      </c>
      <c r="W375" s="2">
        <f t="shared" si="87"/>
        <v>0</v>
      </c>
      <c r="X375" s="2">
        <f t="shared" si="88"/>
        <v>0</v>
      </c>
      <c r="Y375" s="2">
        <f t="shared" si="89"/>
        <v>0</v>
      </c>
      <c r="Z375" s="2">
        <f t="shared" si="90"/>
        <v>0</v>
      </c>
      <c r="AA375" s="2">
        <f t="shared" si="91"/>
        <v>0</v>
      </c>
      <c r="AB375" s="2">
        <f t="shared" si="92"/>
        <v>0</v>
      </c>
      <c r="AC375" s="2">
        <f t="shared" si="93"/>
        <v>0</v>
      </c>
      <c r="AD375" s="2">
        <f t="shared" si="94"/>
        <v>0</v>
      </c>
      <c r="AE375" s="2">
        <f t="shared" si="95"/>
        <v>0</v>
      </c>
    </row>
    <row r="376" spans="1:31">
      <c r="A376" s="1" t="s">
        <v>27</v>
      </c>
      <c r="B376">
        <v>279</v>
      </c>
      <c r="C376" s="5">
        <v>100</v>
      </c>
      <c r="D376" s="5">
        <v>10.9762030002</v>
      </c>
      <c r="E376" s="11">
        <v>0</v>
      </c>
      <c r="F376" s="15">
        <v>0</v>
      </c>
      <c r="G376" s="15">
        <v>0</v>
      </c>
      <c r="H376" s="15">
        <v>0</v>
      </c>
      <c r="I376" s="15">
        <v>0</v>
      </c>
      <c r="J376" s="11">
        <v>0</v>
      </c>
      <c r="K376" s="15">
        <v>0</v>
      </c>
      <c r="L376" s="15">
        <v>0</v>
      </c>
      <c r="M376" s="15">
        <v>0</v>
      </c>
      <c r="N376" s="16">
        <v>0</v>
      </c>
      <c r="O376" s="2">
        <f t="shared" si="81"/>
        <v>0</v>
      </c>
      <c r="P376" s="2">
        <f t="shared" si="82"/>
        <v>0</v>
      </c>
      <c r="Q376" s="2">
        <f t="shared" si="83"/>
        <v>0</v>
      </c>
      <c r="S376" s="2">
        <f t="shared" si="96"/>
        <v>0</v>
      </c>
      <c r="T376" s="2">
        <f t="shared" si="84"/>
        <v>0</v>
      </c>
      <c r="U376" s="2">
        <f t="shared" si="85"/>
        <v>0</v>
      </c>
      <c r="V376" s="2">
        <f t="shared" si="86"/>
        <v>0</v>
      </c>
      <c r="W376" s="2">
        <f t="shared" si="87"/>
        <v>0</v>
      </c>
      <c r="X376" s="2">
        <f t="shared" si="88"/>
        <v>0</v>
      </c>
      <c r="Y376" s="2">
        <f t="shared" si="89"/>
        <v>0</v>
      </c>
      <c r="Z376" s="2">
        <f t="shared" si="90"/>
        <v>0</v>
      </c>
      <c r="AA376" s="2">
        <f t="shared" si="91"/>
        <v>0</v>
      </c>
      <c r="AB376" s="2">
        <f t="shared" si="92"/>
        <v>0</v>
      </c>
      <c r="AC376" s="2">
        <f t="shared" si="93"/>
        <v>0</v>
      </c>
      <c r="AD376" s="2">
        <f t="shared" si="94"/>
        <v>0</v>
      </c>
      <c r="AE376" s="2">
        <f t="shared" si="95"/>
        <v>0</v>
      </c>
    </row>
    <row r="377" spans="1:31">
      <c r="A377" s="1" t="s">
        <v>27</v>
      </c>
      <c r="B377">
        <v>280</v>
      </c>
      <c r="C377" s="5">
        <v>99.995367197799993</v>
      </c>
      <c r="D377" s="5">
        <v>2.2004502591300001</v>
      </c>
      <c r="E377" s="11">
        <v>3.3210000000000002</v>
      </c>
      <c r="F377" s="15">
        <v>0.36899999999999999</v>
      </c>
      <c r="G377" s="15">
        <v>0</v>
      </c>
      <c r="H377" s="15">
        <v>0</v>
      </c>
      <c r="I377" s="15">
        <v>0</v>
      </c>
      <c r="J377" s="11">
        <v>0</v>
      </c>
      <c r="K377" s="15">
        <v>0</v>
      </c>
      <c r="L377" s="15">
        <v>0</v>
      </c>
      <c r="M377" s="15">
        <v>0</v>
      </c>
      <c r="N377" s="16">
        <v>0</v>
      </c>
      <c r="O377" s="2">
        <f t="shared" si="81"/>
        <v>3.6900000000000004</v>
      </c>
      <c r="P377" s="2">
        <f t="shared" si="82"/>
        <v>0</v>
      </c>
      <c r="Q377" s="2">
        <f t="shared" si="83"/>
        <v>3.6900000000000004</v>
      </c>
      <c r="S377" s="2">
        <f t="shared" si="96"/>
        <v>3.3208461446389377</v>
      </c>
      <c r="T377" s="2">
        <f t="shared" si="84"/>
        <v>0.36898290495988201</v>
      </c>
      <c r="U377" s="2">
        <f t="shared" si="85"/>
        <v>0</v>
      </c>
      <c r="V377" s="2">
        <f t="shared" si="86"/>
        <v>0</v>
      </c>
      <c r="W377" s="2">
        <f t="shared" si="87"/>
        <v>0</v>
      </c>
      <c r="X377" s="2">
        <f t="shared" si="88"/>
        <v>0</v>
      </c>
      <c r="Y377" s="2">
        <f t="shared" si="89"/>
        <v>0</v>
      </c>
      <c r="Z377" s="2">
        <f t="shared" si="90"/>
        <v>0</v>
      </c>
      <c r="AA377" s="2">
        <f t="shared" si="91"/>
        <v>0</v>
      </c>
      <c r="AB377" s="2">
        <f t="shared" si="92"/>
        <v>0</v>
      </c>
      <c r="AC377" s="2">
        <f t="shared" si="93"/>
        <v>3.6898290495988202</v>
      </c>
      <c r="AD377" s="2">
        <f t="shared" si="94"/>
        <v>0</v>
      </c>
      <c r="AE377" s="2">
        <f t="shared" si="95"/>
        <v>3.6898290495988202</v>
      </c>
    </row>
    <row r="378" spans="1:31">
      <c r="A378" s="1" t="s">
        <v>27</v>
      </c>
      <c r="B378">
        <v>281</v>
      </c>
      <c r="C378" s="5">
        <v>99.999797314700004</v>
      </c>
      <c r="D378" s="5">
        <v>4.5450488887300002</v>
      </c>
      <c r="E378" s="11">
        <v>370.68299999999999</v>
      </c>
      <c r="F378" s="15">
        <v>41.186999999999998</v>
      </c>
      <c r="G378" s="15">
        <v>0</v>
      </c>
      <c r="H378" s="15">
        <v>0</v>
      </c>
      <c r="I378" s="15">
        <v>0</v>
      </c>
      <c r="J378" s="11">
        <v>0</v>
      </c>
      <c r="K378" s="15">
        <v>0</v>
      </c>
      <c r="L378" s="15">
        <v>0</v>
      </c>
      <c r="M378" s="15">
        <v>0</v>
      </c>
      <c r="N378" s="16">
        <v>0</v>
      </c>
      <c r="O378" s="2">
        <f t="shared" si="81"/>
        <v>411.87</v>
      </c>
      <c r="P378" s="2">
        <f t="shared" si="82"/>
        <v>0</v>
      </c>
      <c r="Q378" s="2">
        <f t="shared" si="83"/>
        <v>411.87</v>
      </c>
      <c r="S378" s="2">
        <f t="shared" si="96"/>
        <v>370.68224868004938</v>
      </c>
      <c r="T378" s="2">
        <f t="shared" si="84"/>
        <v>41.186916520005489</v>
      </c>
      <c r="U378" s="2">
        <f t="shared" si="85"/>
        <v>0</v>
      </c>
      <c r="V378" s="2">
        <f t="shared" si="86"/>
        <v>0</v>
      </c>
      <c r="W378" s="2">
        <f t="shared" si="87"/>
        <v>0</v>
      </c>
      <c r="X378" s="2">
        <f t="shared" si="88"/>
        <v>0</v>
      </c>
      <c r="Y378" s="2">
        <f t="shared" si="89"/>
        <v>0</v>
      </c>
      <c r="Z378" s="2">
        <f t="shared" si="90"/>
        <v>0</v>
      </c>
      <c r="AA378" s="2">
        <f t="shared" si="91"/>
        <v>0</v>
      </c>
      <c r="AB378" s="2">
        <f t="shared" si="92"/>
        <v>0</v>
      </c>
      <c r="AC378" s="2">
        <f t="shared" si="93"/>
        <v>411.86916520005491</v>
      </c>
      <c r="AD378" s="2">
        <f t="shared" si="94"/>
        <v>0</v>
      </c>
      <c r="AE378" s="2">
        <f t="shared" si="95"/>
        <v>411.86916520005491</v>
      </c>
    </row>
    <row r="379" spans="1:31">
      <c r="A379" s="1" t="s">
        <v>27</v>
      </c>
      <c r="B379">
        <v>282</v>
      </c>
      <c r="C379" s="5">
        <v>100</v>
      </c>
      <c r="D379" s="5">
        <v>2.2624129539000002</v>
      </c>
      <c r="E379" s="11">
        <v>8.1225000000000005</v>
      </c>
      <c r="F379" s="15">
        <v>26.413499999999999</v>
      </c>
      <c r="G379" s="15">
        <v>2.7414999999999998</v>
      </c>
      <c r="H379" s="15">
        <v>0</v>
      </c>
      <c r="I379" s="15">
        <v>0</v>
      </c>
      <c r="J379" s="11">
        <v>0</v>
      </c>
      <c r="K379" s="15">
        <v>0</v>
      </c>
      <c r="L379" s="15">
        <v>0</v>
      </c>
      <c r="M379" s="15">
        <v>0</v>
      </c>
      <c r="N379" s="16">
        <v>0</v>
      </c>
      <c r="O379" s="2">
        <f t="shared" si="81"/>
        <v>37.277500000000003</v>
      </c>
      <c r="P379" s="2">
        <f t="shared" si="82"/>
        <v>0</v>
      </c>
      <c r="Q379" s="2">
        <f t="shared" si="83"/>
        <v>37.277500000000003</v>
      </c>
      <c r="S379" s="2">
        <f t="shared" si="96"/>
        <v>8.1225000000000005</v>
      </c>
      <c r="T379" s="2">
        <f t="shared" si="84"/>
        <v>26.413499999999999</v>
      </c>
      <c r="U379" s="2">
        <f t="shared" si="85"/>
        <v>2.7414999999999998</v>
      </c>
      <c r="V379" s="2">
        <f t="shared" si="86"/>
        <v>0</v>
      </c>
      <c r="W379" s="2">
        <f t="shared" si="87"/>
        <v>0</v>
      </c>
      <c r="X379" s="2">
        <f t="shared" si="88"/>
        <v>0</v>
      </c>
      <c r="Y379" s="2">
        <f t="shared" si="89"/>
        <v>0</v>
      </c>
      <c r="Z379" s="2">
        <f t="shared" si="90"/>
        <v>0</v>
      </c>
      <c r="AA379" s="2">
        <f t="shared" si="91"/>
        <v>0</v>
      </c>
      <c r="AB379" s="2">
        <f t="shared" si="92"/>
        <v>0</v>
      </c>
      <c r="AC379" s="2">
        <f t="shared" si="93"/>
        <v>37.277500000000003</v>
      </c>
      <c r="AD379" s="2">
        <f t="shared" si="94"/>
        <v>0</v>
      </c>
      <c r="AE379" s="2">
        <f t="shared" si="95"/>
        <v>37.277500000000003</v>
      </c>
    </row>
    <row r="380" spans="1:31">
      <c r="A380" s="1" t="s">
        <v>27</v>
      </c>
      <c r="B380">
        <v>283</v>
      </c>
      <c r="C380" s="5">
        <v>99.999958633399999</v>
      </c>
      <c r="D380" s="5">
        <v>1.99244845073</v>
      </c>
      <c r="E380" s="11">
        <v>1.3680000000000001</v>
      </c>
      <c r="F380" s="15">
        <v>129.09950000000001</v>
      </c>
      <c r="G380" s="15">
        <v>14.327500000000001</v>
      </c>
      <c r="H380" s="15">
        <v>0</v>
      </c>
      <c r="I380" s="15">
        <v>0</v>
      </c>
      <c r="J380" s="11">
        <v>0</v>
      </c>
      <c r="K380" s="15">
        <v>0</v>
      </c>
      <c r="L380" s="15">
        <v>0</v>
      </c>
      <c r="M380" s="15">
        <v>0</v>
      </c>
      <c r="N380" s="16">
        <v>0</v>
      </c>
      <c r="O380" s="2">
        <f t="shared" si="81"/>
        <v>144.79500000000002</v>
      </c>
      <c r="P380" s="2">
        <f t="shared" si="82"/>
        <v>0</v>
      </c>
      <c r="Q380" s="2">
        <f t="shared" si="83"/>
        <v>144.79500000000002</v>
      </c>
      <c r="S380" s="2">
        <f t="shared" si="96"/>
        <v>1.3679994341049122</v>
      </c>
      <c r="T380" s="2">
        <f t="shared" si="84"/>
        <v>129.09944659592622</v>
      </c>
      <c r="U380" s="2">
        <f t="shared" si="85"/>
        <v>14.327494073200384</v>
      </c>
      <c r="V380" s="2">
        <f t="shared" si="86"/>
        <v>0</v>
      </c>
      <c r="W380" s="2">
        <f t="shared" si="87"/>
        <v>0</v>
      </c>
      <c r="X380" s="2">
        <f t="shared" si="88"/>
        <v>0</v>
      </c>
      <c r="Y380" s="2">
        <f t="shared" si="89"/>
        <v>0</v>
      </c>
      <c r="Z380" s="2">
        <f t="shared" si="90"/>
        <v>0</v>
      </c>
      <c r="AA380" s="2">
        <f t="shared" si="91"/>
        <v>0</v>
      </c>
      <c r="AB380" s="2">
        <f t="shared" si="92"/>
        <v>0</v>
      </c>
      <c r="AC380" s="2">
        <f t="shared" si="93"/>
        <v>144.79494010323154</v>
      </c>
      <c r="AD380" s="2">
        <f t="shared" si="94"/>
        <v>0</v>
      </c>
      <c r="AE380" s="2">
        <f t="shared" si="95"/>
        <v>144.79494010323154</v>
      </c>
    </row>
    <row r="381" spans="1:31">
      <c r="A381" s="1" t="s">
        <v>27</v>
      </c>
      <c r="B381">
        <v>284</v>
      </c>
      <c r="C381" s="5">
        <v>99.999269573399999</v>
      </c>
      <c r="D381" s="5">
        <v>2.39150469448</v>
      </c>
      <c r="E381" s="11">
        <v>110.84950000000001</v>
      </c>
      <c r="F381" s="15">
        <v>99.17</v>
      </c>
      <c r="G381" s="15">
        <v>10.5405</v>
      </c>
      <c r="H381" s="15">
        <v>4.3935000000000004</v>
      </c>
      <c r="I381" s="15">
        <v>0.42149999999999999</v>
      </c>
      <c r="J381" s="11">
        <v>0</v>
      </c>
      <c r="K381" s="15">
        <v>0</v>
      </c>
      <c r="L381" s="15">
        <v>0</v>
      </c>
      <c r="M381" s="15">
        <v>0</v>
      </c>
      <c r="N381" s="16">
        <v>0</v>
      </c>
      <c r="O381" s="2">
        <f t="shared" si="81"/>
        <v>225.375</v>
      </c>
      <c r="P381" s="2">
        <f t="shared" si="82"/>
        <v>0</v>
      </c>
      <c r="Q381" s="2">
        <f t="shared" si="83"/>
        <v>225.375</v>
      </c>
      <c r="S381" s="2">
        <f t="shared" si="96"/>
        <v>110.84869032576604</v>
      </c>
      <c r="T381" s="2">
        <f t="shared" si="84"/>
        <v>99.169275635940778</v>
      </c>
      <c r="U381" s="2">
        <f t="shared" si="85"/>
        <v>10.540423009384225</v>
      </c>
      <c r="V381" s="2">
        <f t="shared" si="86"/>
        <v>4.3934679087073292</v>
      </c>
      <c r="W381" s="2">
        <f t="shared" si="87"/>
        <v>0.42149692125188098</v>
      </c>
      <c r="X381" s="2">
        <f t="shared" si="88"/>
        <v>0</v>
      </c>
      <c r="Y381" s="2">
        <f t="shared" si="89"/>
        <v>0</v>
      </c>
      <c r="Z381" s="2">
        <f t="shared" si="90"/>
        <v>0</v>
      </c>
      <c r="AA381" s="2">
        <f t="shared" si="91"/>
        <v>0</v>
      </c>
      <c r="AB381" s="2">
        <f t="shared" si="92"/>
        <v>0</v>
      </c>
      <c r="AC381" s="2">
        <f t="shared" si="93"/>
        <v>225.37335380105026</v>
      </c>
      <c r="AD381" s="2">
        <f t="shared" si="94"/>
        <v>0</v>
      </c>
      <c r="AE381" s="2">
        <f t="shared" si="95"/>
        <v>225.37335380105026</v>
      </c>
    </row>
    <row r="382" spans="1:31">
      <c r="A382" s="1" t="s">
        <v>27</v>
      </c>
      <c r="B382">
        <v>285</v>
      </c>
      <c r="C382" s="5">
        <v>99.997064516999998</v>
      </c>
      <c r="D382" s="5">
        <v>3.5479449110500001</v>
      </c>
      <c r="E382" s="11">
        <v>87.991</v>
      </c>
      <c r="F382" s="15">
        <v>82.048000000000002</v>
      </c>
      <c r="G382" s="15">
        <v>80.831500000000005</v>
      </c>
      <c r="H382" s="15">
        <v>12.2745</v>
      </c>
      <c r="I382" s="15">
        <v>3.7</v>
      </c>
      <c r="J382" s="11">
        <v>0</v>
      </c>
      <c r="K382" s="15">
        <v>0</v>
      </c>
      <c r="L382" s="15">
        <v>0</v>
      </c>
      <c r="M382" s="15">
        <v>0</v>
      </c>
      <c r="N382" s="16">
        <v>0</v>
      </c>
      <c r="O382" s="2">
        <f t="shared" si="81"/>
        <v>266.84499999999997</v>
      </c>
      <c r="P382" s="2">
        <f t="shared" si="82"/>
        <v>0</v>
      </c>
      <c r="Q382" s="2">
        <f t="shared" si="83"/>
        <v>266.84499999999997</v>
      </c>
      <c r="S382" s="2">
        <f t="shared" si="96"/>
        <v>87.988417039153461</v>
      </c>
      <c r="T382" s="2">
        <f t="shared" si="84"/>
        <v>82.045591494908166</v>
      </c>
      <c r="U382" s="2">
        <f t="shared" si="85"/>
        <v>80.829127205058853</v>
      </c>
      <c r="V382" s="2">
        <f t="shared" si="86"/>
        <v>12.274139684139165</v>
      </c>
      <c r="W382" s="2">
        <f t="shared" si="87"/>
        <v>3.699891387129</v>
      </c>
      <c r="X382" s="2">
        <f t="shared" si="88"/>
        <v>0</v>
      </c>
      <c r="Y382" s="2">
        <f t="shared" si="89"/>
        <v>0</v>
      </c>
      <c r="Z382" s="2">
        <f t="shared" si="90"/>
        <v>0</v>
      </c>
      <c r="AA382" s="2">
        <f t="shared" si="91"/>
        <v>0</v>
      </c>
      <c r="AB382" s="2">
        <f t="shared" si="92"/>
        <v>0</v>
      </c>
      <c r="AC382" s="2">
        <f t="shared" si="93"/>
        <v>266.83716681038862</v>
      </c>
      <c r="AD382" s="2">
        <f t="shared" si="94"/>
        <v>0</v>
      </c>
      <c r="AE382" s="2">
        <f t="shared" si="95"/>
        <v>266.83716681038862</v>
      </c>
    </row>
    <row r="383" spans="1:31">
      <c r="A383" s="1" t="s">
        <v>27</v>
      </c>
      <c r="B383">
        <v>286</v>
      </c>
      <c r="C383" s="5">
        <v>72.522670201699995</v>
      </c>
      <c r="D383" s="5">
        <v>6.4676965296000004</v>
      </c>
      <c r="E383" s="11">
        <v>0</v>
      </c>
      <c r="F383" s="15">
        <v>0</v>
      </c>
      <c r="G383" s="15">
        <v>0</v>
      </c>
      <c r="H383" s="15">
        <v>0</v>
      </c>
      <c r="I383" s="15">
        <v>0</v>
      </c>
      <c r="J383" s="11">
        <v>0</v>
      </c>
      <c r="K383" s="15">
        <v>0</v>
      </c>
      <c r="L383" s="15">
        <v>0</v>
      </c>
      <c r="M383" s="15">
        <v>0</v>
      </c>
      <c r="N383" s="16">
        <v>0</v>
      </c>
      <c r="O383" s="2">
        <f t="shared" si="81"/>
        <v>0</v>
      </c>
      <c r="P383" s="2">
        <f t="shared" si="82"/>
        <v>0</v>
      </c>
      <c r="Q383" s="2">
        <f t="shared" si="83"/>
        <v>0</v>
      </c>
      <c r="S383" s="2">
        <f t="shared" si="96"/>
        <v>0</v>
      </c>
      <c r="T383" s="2">
        <f t="shared" si="84"/>
        <v>0</v>
      </c>
      <c r="U383" s="2">
        <f t="shared" si="85"/>
        <v>0</v>
      </c>
      <c r="V383" s="2">
        <f t="shared" si="86"/>
        <v>0</v>
      </c>
      <c r="W383" s="2">
        <f t="shared" si="87"/>
        <v>0</v>
      </c>
      <c r="X383" s="2">
        <f t="shared" si="88"/>
        <v>0</v>
      </c>
      <c r="Y383" s="2">
        <f t="shared" si="89"/>
        <v>0</v>
      </c>
      <c r="Z383" s="2">
        <f t="shared" si="90"/>
        <v>0</v>
      </c>
      <c r="AA383" s="2">
        <f t="shared" si="91"/>
        <v>0</v>
      </c>
      <c r="AB383" s="2">
        <f t="shared" si="92"/>
        <v>0</v>
      </c>
      <c r="AC383" s="2">
        <f t="shared" si="93"/>
        <v>0</v>
      </c>
      <c r="AD383" s="2">
        <f t="shared" si="94"/>
        <v>0</v>
      </c>
      <c r="AE383" s="2">
        <f t="shared" si="95"/>
        <v>0</v>
      </c>
    </row>
    <row r="384" spans="1:31">
      <c r="A384" s="1" t="s">
        <v>27</v>
      </c>
      <c r="B384">
        <v>287</v>
      </c>
      <c r="C384" s="5">
        <v>77.536098495999994</v>
      </c>
      <c r="D384" s="5">
        <v>3.0484774439</v>
      </c>
      <c r="E384" s="11">
        <v>0</v>
      </c>
      <c r="F384" s="15">
        <v>0</v>
      </c>
      <c r="G384" s="15">
        <v>0</v>
      </c>
      <c r="H384" s="15">
        <v>0</v>
      </c>
      <c r="I384" s="15">
        <v>0</v>
      </c>
      <c r="J384" s="11">
        <v>0</v>
      </c>
      <c r="K384" s="15">
        <v>0</v>
      </c>
      <c r="L384" s="15">
        <v>0</v>
      </c>
      <c r="M384" s="15">
        <v>0</v>
      </c>
      <c r="N384" s="16">
        <v>0</v>
      </c>
      <c r="O384" s="2">
        <f t="shared" si="81"/>
        <v>0</v>
      </c>
      <c r="P384" s="2">
        <f t="shared" si="82"/>
        <v>0</v>
      </c>
      <c r="Q384" s="2">
        <f t="shared" si="83"/>
        <v>0</v>
      </c>
      <c r="S384" s="2">
        <f t="shared" si="96"/>
        <v>0</v>
      </c>
      <c r="T384" s="2">
        <f t="shared" si="84"/>
        <v>0</v>
      </c>
      <c r="U384" s="2">
        <f t="shared" si="85"/>
        <v>0</v>
      </c>
      <c r="V384" s="2">
        <f t="shared" si="86"/>
        <v>0</v>
      </c>
      <c r="W384" s="2">
        <f t="shared" si="87"/>
        <v>0</v>
      </c>
      <c r="X384" s="2">
        <f t="shared" si="88"/>
        <v>0</v>
      </c>
      <c r="Y384" s="2">
        <f t="shared" si="89"/>
        <v>0</v>
      </c>
      <c r="Z384" s="2">
        <f t="shared" si="90"/>
        <v>0</v>
      </c>
      <c r="AA384" s="2">
        <f t="shared" si="91"/>
        <v>0</v>
      </c>
      <c r="AB384" s="2">
        <f t="shared" si="92"/>
        <v>0</v>
      </c>
      <c r="AC384" s="2">
        <f t="shared" si="93"/>
        <v>0</v>
      </c>
      <c r="AD384" s="2">
        <f t="shared" si="94"/>
        <v>0</v>
      </c>
      <c r="AE384" s="2">
        <f t="shared" si="95"/>
        <v>0</v>
      </c>
    </row>
    <row r="385" spans="1:31">
      <c r="A385" s="1" t="s">
        <v>27</v>
      </c>
      <c r="B385">
        <v>288</v>
      </c>
      <c r="C385" s="5">
        <v>24.575959967199999</v>
      </c>
      <c r="D385" s="5">
        <v>3.26688928471</v>
      </c>
      <c r="E385" s="11">
        <v>643.20000000000005</v>
      </c>
      <c r="F385" s="15">
        <v>266.82749999999999</v>
      </c>
      <c r="G385" s="15">
        <v>112.3475</v>
      </c>
      <c r="H385" s="15">
        <v>83</v>
      </c>
      <c r="I385" s="15">
        <v>37.299999999999997</v>
      </c>
      <c r="J385" s="11">
        <v>0</v>
      </c>
      <c r="K385" s="15">
        <v>0</v>
      </c>
      <c r="L385" s="15">
        <v>0</v>
      </c>
      <c r="M385" s="15">
        <v>0</v>
      </c>
      <c r="N385" s="16">
        <v>0</v>
      </c>
      <c r="O385" s="2">
        <f t="shared" si="81"/>
        <v>1142.675</v>
      </c>
      <c r="P385" s="2">
        <f t="shared" si="82"/>
        <v>0</v>
      </c>
      <c r="Q385" s="2">
        <f t="shared" si="83"/>
        <v>1142.675</v>
      </c>
      <c r="S385" s="2">
        <f t="shared" si="96"/>
        <v>158.0725745090304</v>
      </c>
      <c r="T385" s="2">
        <f t="shared" si="84"/>
        <v>65.575419581480574</v>
      </c>
      <c r="U385" s="2">
        <f t="shared" si="85"/>
        <v>27.610476624150021</v>
      </c>
      <c r="V385" s="2">
        <f t="shared" si="86"/>
        <v>20.398046772775999</v>
      </c>
      <c r="W385" s="2">
        <f t="shared" si="87"/>
        <v>9.1668330677655998</v>
      </c>
      <c r="X385" s="2">
        <f t="shared" si="88"/>
        <v>0</v>
      </c>
      <c r="Y385" s="2">
        <f t="shared" si="89"/>
        <v>0</v>
      </c>
      <c r="Z385" s="2">
        <f t="shared" si="90"/>
        <v>0</v>
      </c>
      <c r="AA385" s="2">
        <f t="shared" si="91"/>
        <v>0</v>
      </c>
      <c r="AB385" s="2">
        <f t="shared" si="92"/>
        <v>0</v>
      </c>
      <c r="AC385" s="2">
        <f t="shared" si="93"/>
        <v>280.82335055520258</v>
      </c>
      <c r="AD385" s="2">
        <f t="shared" si="94"/>
        <v>0</v>
      </c>
      <c r="AE385" s="2">
        <f t="shared" si="95"/>
        <v>280.82335055520258</v>
      </c>
    </row>
    <row r="386" spans="1:31">
      <c r="A386" s="1" t="s">
        <v>28</v>
      </c>
      <c r="B386">
        <v>236</v>
      </c>
      <c r="C386" s="5">
        <v>91.345384457400002</v>
      </c>
      <c r="D386" s="5">
        <v>16.697710445599999</v>
      </c>
      <c r="E386" s="11">
        <v>0</v>
      </c>
      <c r="F386" s="15">
        <v>0</v>
      </c>
      <c r="G386" s="15">
        <v>0</v>
      </c>
      <c r="H386" s="15">
        <v>0</v>
      </c>
      <c r="I386" s="15">
        <v>0</v>
      </c>
      <c r="J386" s="11">
        <v>0</v>
      </c>
      <c r="K386" s="15">
        <v>0</v>
      </c>
      <c r="L386" s="15">
        <v>0</v>
      </c>
      <c r="M386" s="15">
        <v>0</v>
      </c>
      <c r="N386" s="16">
        <v>0</v>
      </c>
      <c r="O386" s="2">
        <f t="shared" si="81"/>
        <v>0</v>
      </c>
      <c r="P386" s="2">
        <f t="shared" si="82"/>
        <v>0</v>
      </c>
      <c r="Q386" s="2">
        <f t="shared" si="83"/>
        <v>0</v>
      </c>
      <c r="S386" s="2">
        <f t="shared" si="96"/>
        <v>0</v>
      </c>
      <c r="T386" s="2">
        <f t="shared" si="84"/>
        <v>0</v>
      </c>
      <c r="U386" s="2">
        <f t="shared" si="85"/>
        <v>0</v>
      </c>
      <c r="V386" s="2">
        <f t="shared" si="86"/>
        <v>0</v>
      </c>
      <c r="W386" s="2">
        <f t="shared" si="87"/>
        <v>0</v>
      </c>
      <c r="X386" s="2">
        <f t="shared" si="88"/>
        <v>0</v>
      </c>
      <c r="Y386" s="2">
        <f t="shared" si="89"/>
        <v>0</v>
      </c>
      <c r="Z386" s="2">
        <f t="shared" si="90"/>
        <v>0</v>
      </c>
      <c r="AA386" s="2">
        <f t="shared" si="91"/>
        <v>0</v>
      </c>
      <c r="AB386" s="2">
        <f t="shared" si="92"/>
        <v>0</v>
      </c>
      <c r="AC386" s="2">
        <f t="shared" si="93"/>
        <v>0</v>
      </c>
      <c r="AD386" s="2">
        <f t="shared" si="94"/>
        <v>0</v>
      </c>
      <c r="AE386" s="2">
        <f t="shared" si="95"/>
        <v>0</v>
      </c>
    </row>
    <row r="387" spans="1:31">
      <c r="A387" s="1" t="s">
        <v>28</v>
      </c>
      <c r="B387">
        <v>237</v>
      </c>
      <c r="C387" s="5">
        <v>99.987946186599999</v>
      </c>
      <c r="D387" s="5">
        <v>6.6126215218600004</v>
      </c>
      <c r="E387" s="11">
        <v>0</v>
      </c>
      <c r="F387" s="15">
        <v>0</v>
      </c>
      <c r="G387" s="15">
        <v>0</v>
      </c>
      <c r="H387" s="15">
        <v>0</v>
      </c>
      <c r="I387" s="15">
        <v>0</v>
      </c>
      <c r="J387" s="11">
        <v>0</v>
      </c>
      <c r="K387" s="15">
        <v>0</v>
      </c>
      <c r="L387" s="15">
        <v>0</v>
      </c>
      <c r="M387" s="15">
        <v>0</v>
      </c>
      <c r="N387" s="16">
        <v>0</v>
      </c>
      <c r="O387" s="2">
        <f t="shared" ref="O387:O435" si="97">SUM(E387:I387)</f>
        <v>0</v>
      </c>
      <c r="P387" s="2">
        <f t="shared" ref="P387:P435" si="98">SUM(J387:N387)</f>
        <v>0</v>
      </c>
      <c r="Q387" s="2">
        <f t="shared" ref="Q387:Q435" si="99">SUM(O387:P387)</f>
        <v>0</v>
      </c>
      <c r="S387" s="2">
        <f t="shared" si="96"/>
        <v>0</v>
      </c>
      <c r="T387" s="2">
        <f t="shared" ref="T387:T435" si="100">F387*$C387/100</f>
        <v>0</v>
      </c>
      <c r="U387" s="2">
        <f t="shared" ref="U387:U435" si="101">G387*$C387/100</f>
        <v>0</v>
      </c>
      <c r="V387" s="2">
        <f t="shared" ref="V387:V435" si="102">H387*$C387/100</f>
        <v>0</v>
      </c>
      <c r="W387" s="2">
        <f t="shared" ref="W387:W435" si="103">I387*$C387/100</f>
        <v>0</v>
      </c>
      <c r="X387" s="2">
        <f t="shared" ref="X387:X435" si="104">J387*$C387/100</f>
        <v>0</v>
      </c>
      <c r="Y387" s="2">
        <f t="shared" ref="Y387:Y435" si="105">K387*$C387/100</f>
        <v>0</v>
      </c>
      <c r="Z387" s="2">
        <f t="shared" ref="Z387:Z435" si="106">L387*$C387/100</f>
        <v>0</v>
      </c>
      <c r="AA387" s="2">
        <f t="shared" ref="AA387:AA435" si="107">M387*$C387/100</f>
        <v>0</v>
      </c>
      <c r="AB387" s="2">
        <f t="shared" ref="AB387:AB435" si="108">N387*$C387/100</f>
        <v>0</v>
      </c>
      <c r="AC387" s="2">
        <f t="shared" ref="AC387:AC435" si="109">O387*$C387/100</f>
        <v>0</v>
      </c>
      <c r="AD387" s="2">
        <f t="shared" ref="AD387:AD435" si="110">P387*$C387/100</f>
        <v>0</v>
      </c>
      <c r="AE387" s="2">
        <f t="shared" ref="AE387:AE435" si="111">Q387*$C387/100</f>
        <v>0</v>
      </c>
    </row>
    <row r="388" spans="1:31">
      <c r="A388" s="1" t="s">
        <v>28</v>
      </c>
      <c r="B388">
        <v>238</v>
      </c>
      <c r="C388" s="5">
        <v>91.1091423365</v>
      </c>
      <c r="D388" s="5">
        <v>20.660229856899999</v>
      </c>
      <c r="E388" s="11">
        <v>0</v>
      </c>
      <c r="F388" s="15">
        <v>0</v>
      </c>
      <c r="G388" s="15">
        <v>0</v>
      </c>
      <c r="H388" s="15">
        <v>0</v>
      </c>
      <c r="I388" s="15">
        <v>0</v>
      </c>
      <c r="J388" s="11">
        <v>0</v>
      </c>
      <c r="K388" s="15">
        <v>0</v>
      </c>
      <c r="L388" s="15">
        <v>0</v>
      </c>
      <c r="M388" s="15">
        <v>0</v>
      </c>
      <c r="N388" s="16">
        <v>0</v>
      </c>
      <c r="O388" s="2">
        <f t="shared" si="97"/>
        <v>0</v>
      </c>
      <c r="P388" s="2">
        <f t="shared" si="98"/>
        <v>0</v>
      </c>
      <c r="Q388" s="2">
        <f t="shared" si="99"/>
        <v>0</v>
      </c>
      <c r="S388" s="2">
        <f t="shared" ref="S388:S435" si="112">E388*$C388/100</f>
        <v>0</v>
      </c>
      <c r="T388" s="2">
        <f t="shared" si="100"/>
        <v>0</v>
      </c>
      <c r="U388" s="2">
        <f t="shared" si="101"/>
        <v>0</v>
      </c>
      <c r="V388" s="2">
        <f t="shared" si="102"/>
        <v>0</v>
      </c>
      <c r="W388" s="2">
        <f t="shared" si="103"/>
        <v>0</v>
      </c>
      <c r="X388" s="2">
        <f t="shared" si="104"/>
        <v>0</v>
      </c>
      <c r="Y388" s="2">
        <f t="shared" si="105"/>
        <v>0</v>
      </c>
      <c r="Z388" s="2">
        <f t="shared" si="106"/>
        <v>0</v>
      </c>
      <c r="AA388" s="2">
        <f t="shared" si="107"/>
        <v>0</v>
      </c>
      <c r="AB388" s="2">
        <f t="shared" si="108"/>
        <v>0</v>
      </c>
      <c r="AC388" s="2">
        <f t="shared" si="109"/>
        <v>0</v>
      </c>
      <c r="AD388" s="2">
        <f t="shared" si="110"/>
        <v>0</v>
      </c>
      <c r="AE388" s="2">
        <f t="shared" si="111"/>
        <v>0</v>
      </c>
    </row>
    <row r="389" spans="1:31">
      <c r="A389" s="1" t="s">
        <v>28</v>
      </c>
      <c r="B389">
        <v>239</v>
      </c>
      <c r="C389" s="5">
        <v>100</v>
      </c>
      <c r="D389" s="5">
        <v>4.89362466607</v>
      </c>
      <c r="E389" s="11">
        <v>0</v>
      </c>
      <c r="F389" s="15">
        <v>0</v>
      </c>
      <c r="G389" s="15">
        <v>0</v>
      </c>
      <c r="H389" s="15">
        <v>0</v>
      </c>
      <c r="I389" s="15">
        <v>0</v>
      </c>
      <c r="J389" s="11">
        <v>0</v>
      </c>
      <c r="K389" s="15">
        <v>0</v>
      </c>
      <c r="L389" s="15">
        <v>0</v>
      </c>
      <c r="M389" s="15">
        <v>0</v>
      </c>
      <c r="N389" s="16">
        <v>0</v>
      </c>
      <c r="O389" s="2">
        <f t="shared" si="97"/>
        <v>0</v>
      </c>
      <c r="P389" s="2">
        <f t="shared" si="98"/>
        <v>0</v>
      </c>
      <c r="Q389" s="2">
        <f t="shared" si="99"/>
        <v>0</v>
      </c>
      <c r="S389" s="2">
        <f t="shared" si="112"/>
        <v>0</v>
      </c>
      <c r="T389" s="2">
        <f t="shared" si="100"/>
        <v>0</v>
      </c>
      <c r="U389" s="2">
        <f t="shared" si="101"/>
        <v>0</v>
      </c>
      <c r="V389" s="2">
        <f t="shared" si="102"/>
        <v>0</v>
      </c>
      <c r="W389" s="2">
        <f t="shared" si="103"/>
        <v>0</v>
      </c>
      <c r="X389" s="2">
        <f t="shared" si="104"/>
        <v>0</v>
      </c>
      <c r="Y389" s="2">
        <f t="shared" si="105"/>
        <v>0</v>
      </c>
      <c r="Z389" s="2">
        <f t="shared" si="106"/>
        <v>0</v>
      </c>
      <c r="AA389" s="2">
        <f t="shared" si="107"/>
        <v>0</v>
      </c>
      <c r="AB389" s="2">
        <f t="shared" si="108"/>
        <v>0</v>
      </c>
      <c r="AC389" s="2">
        <f t="shared" si="109"/>
        <v>0</v>
      </c>
      <c r="AD389" s="2">
        <f t="shared" si="110"/>
        <v>0</v>
      </c>
      <c r="AE389" s="2">
        <f t="shared" si="111"/>
        <v>0</v>
      </c>
    </row>
    <row r="390" spans="1:31">
      <c r="A390" s="1" t="s">
        <v>28</v>
      </c>
      <c r="B390">
        <v>240</v>
      </c>
      <c r="C390" s="5">
        <v>94.865204347000002</v>
      </c>
      <c r="D390" s="5">
        <v>27.032453777800001</v>
      </c>
      <c r="E390" s="11">
        <v>0</v>
      </c>
      <c r="F390" s="15">
        <v>0</v>
      </c>
      <c r="G390" s="15">
        <v>0</v>
      </c>
      <c r="H390" s="15">
        <v>0</v>
      </c>
      <c r="I390" s="15">
        <v>0</v>
      </c>
      <c r="J390" s="11">
        <v>0</v>
      </c>
      <c r="K390" s="15">
        <v>0</v>
      </c>
      <c r="L390" s="15">
        <v>0</v>
      </c>
      <c r="M390" s="15">
        <v>0</v>
      </c>
      <c r="N390" s="16">
        <v>0</v>
      </c>
      <c r="O390" s="2">
        <f t="shared" si="97"/>
        <v>0</v>
      </c>
      <c r="P390" s="2">
        <f t="shared" si="98"/>
        <v>0</v>
      </c>
      <c r="Q390" s="2">
        <f t="shared" si="99"/>
        <v>0</v>
      </c>
      <c r="S390" s="2">
        <f t="shared" si="112"/>
        <v>0</v>
      </c>
      <c r="T390" s="2">
        <f t="shared" si="100"/>
        <v>0</v>
      </c>
      <c r="U390" s="2">
        <f t="shared" si="101"/>
        <v>0</v>
      </c>
      <c r="V390" s="2">
        <f t="shared" si="102"/>
        <v>0</v>
      </c>
      <c r="W390" s="2">
        <f t="shared" si="103"/>
        <v>0</v>
      </c>
      <c r="X390" s="2">
        <f t="shared" si="104"/>
        <v>0</v>
      </c>
      <c r="Y390" s="2">
        <f t="shared" si="105"/>
        <v>0</v>
      </c>
      <c r="Z390" s="2">
        <f t="shared" si="106"/>
        <v>0</v>
      </c>
      <c r="AA390" s="2">
        <f t="shared" si="107"/>
        <v>0</v>
      </c>
      <c r="AB390" s="2">
        <f t="shared" si="108"/>
        <v>0</v>
      </c>
      <c r="AC390" s="2">
        <f t="shared" si="109"/>
        <v>0</v>
      </c>
      <c r="AD390" s="2">
        <f t="shared" si="110"/>
        <v>0</v>
      </c>
      <c r="AE390" s="2">
        <f t="shared" si="111"/>
        <v>0</v>
      </c>
    </row>
    <row r="391" spans="1:31">
      <c r="A391" s="1" t="s">
        <v>28</v>
      </c>
      <c r="B391">
        <v>241</v>
      </c>
      <c r="C391" s="5">
        <v>49.8926142742</v>
      </c>
      <c r="D391" s="5">
        <v>2.7345802210099999</v>
      </c>
      <c r="E391" s="11">
        <v>188.50399999999999</v>
      </c>
      <c r="F391" s="15">
        <v>26.952000000000002</v>
      </c>
      <c r="G391" s="15">
        <v>5.3</v>
      </c>
      <c r="H391" s="15">
        <v>1.6</v>
      </c>
      <c r="I391" s="15">
        <v>0</v>
      </c>
      <c r="J391" s="11">
        <v>0</v>
      </c>
      <c r="K391" s="15">
        <v>0</v>
      </c>
      <c r="L391" s="15">
        <v>0</v>
      </c>
      <c r="M391" s="15">
        <v>0</v>
      </c>
      <c r="N391" s="16">
        <v>0</v>
      </c>
      <c r="O391" s="2">
        <f t="shared" si="97"/>
        <v>222.35599999999999</v>
      </c>
      <c r="P391" s="2">
        <f t="shared" si="98"/>
        <v>0</v>
      </c>
      <c r="Q391" s="2">
        <f t="shared" si="99"/>
        <v>222.35599999999999</v>
      </c>
      <c r="S391" s="2">
        <f t="shared" si="112"/>
        <v>94.04957361143795</v>
      </c>
      <c r="T391" s="2">
        <f t="shared" si="100"/>
        <v>13.447057399182386</v>
      </c>
      <c r="U391" s="2">
        <f t="shared" si="101"/>
        <v>2.6443085565325997</v>
      </c>
      <c r="V391" s="2">
        <f t="shared" si="102"/>
        <v>0.79828182838720008</v>
      </c>
      <c r="W391" s="2">
        <f t="shared" si="103"/>
        <v>0</v>
      </c>
      <c r="X391" s="2">
        <f t="shared" si="104"/>
        <v>0</v>
      </c>
      <c r="Y391" s="2">
        <f t="shared" si="105"/>
        <v>0</v>
      </c>
      <c r="Z391" s="2">
        <f t="shared" si="106"/>
        <v>0</v>
      </c>
      <c r="AA391" s="2">
        <f t="shared" si="107"/>
        <v>0</v>
      </c>
      <c r="AB391" s="2">
        <f t="shared" si="108"/>
        <v>0</v>
      </c>
      <c r="AC391" s="2">
        <f t="shared" si="109"/>
        <v>110.93922139554016</v>
      </c>
      <c r="AD391" s="2">
        <f t="shared" si="110"/>
        <v>0</v>
      </c>
      <c r="AE391" s="2">
        <f t="shared" si="111"/>
        <v>110.93922139554016</v>
      </c>
    </row>
    <row r="392" spans="1:31">
      <c r="A392" s="1" t="s">
        <v>28</v>
      </c>
      <c r="B392">
        <v>242</v>
      </c>
      <c r="C392" s="5">
        <v>90.3274326895</v>
      </c>
      <c r="D392" s="5">
        <v>12.937490199000001</v>
      </c>
      <c r="E392" s="11">
        <v>96.637</v>
      </c>
      <c r="F392" s="15">
        <v>12.493</v>
      </c>
      <c r="G392" s="15">
        <v>0.5</v>
      </c>
      <c r="H392" s="15">
        <v>0</v>
      </c>
      <c r="I392" s="15">
        <v>0</v>
      </c>
      <c r="J392" s="11">
        <v>0</v>
      </c>
      <c r="K392" s="15">
        <v>0</v>
      </c>
      <c r="L392" s="15">
        <v>0</v>
      </c>
      <c r="M392" s="15">
        <v>0</v>
      </c>
      <c r="N392" s="16">
        <v>0</v>
      </c>
      <c r="O392" s="2">
        <f t="shared" si="97"/>
        <v>109.63</v>
      </c>
      <c r="P392" s="2">
        <f t="shared" si="98"/>
        <v>0</v>
      </c>
      <c r="Q392" s="2">
        <f t="shared" si="99"/>
        <v>109.63</v>
      </c>
      <c r="S392" s="2">
        <f t="shared" si="112"/>
        <v>87.289721128152124</v>
      </c>
      <c r="T392" s="2">
        <f t="shared" si="100"/>
        <v>11.284606165899236</v>
      </c>
      <c r="U392" s="2">
        <f t="shared" si="101"/>
        <v>0.45163716344749999</v>
      </c>
      <c r="V392" s="2">
        <f t="shared" si="102"/>
        <v>0</v>
      </c>
      <c r="W392" s="2">
        <f t="shared" si="103"/>
        <v>0</v>
      </c>
      <c r="X392" s="2">
        <f t="shared" si="104"/>
        <v>0</v>
      </c>
      <c r="Y392" s="2">
        <f t="shared" si="105"/>
        <v>0</v>
      </c>
      <c r="Z392" s="2">
        <f t="shared" si="106"/>
        <v>0</v>
      </c>
      <c r="AA392" s="2">
        <f t="shared" si="107"/>
        <v>0</v>
      </c>
      <c r="AB392" s="2">
        <f t="shared" si="108"/>
        <v>0</v>
      </c>
      <c r="AC392" s="2">
        <f t="shared" si="109"/>
        <v>99.025964457498844</v>
      </c>
      <c r="AD392" s="2">
        <f t="shared" si="110"/>
        <v>0</v>
      </c>
      <c r="AE392" s="2">
        <f t="shared" si="111"/>
        <v>99.025964457498844</v>
      </c>
    </row>
    <row r="393" spans="1:31">
      <c r="A393" s="1" t="s">
        <v>28</v>
      </c>
      <c r="B393">
        <v>286</v>
      </c>
      <c r="C393" s="5">
        <v>27.474790211999998</v>
      </c>
      <c r="D393" s="5">
        <v>6.1941059946400001</v>
      </c>
      <c r="E393" s="11">
        <v>0</v>
      </c>
      <c r="F393" s="15">
        <v>0</v>
      </c>
      <c r="G393" s="15">
        <v>0</v>
      </c>
      <c r="H393" s="15">
        <v>0</v>
      </c>
      <c r="I393" s="15">
        <v>0</v>
      </c>
      <c r="J393" s="11">
        <v>0</v>
      </c>
      <c r="K393" s="15">
        <v>0</v>
      </c>
      <c r="L393" s="15">
        <v>0</v>
      </c>
      <c r="M393" s="15">
        <v>0</v>
      </c>
      <c r="N393" s="16">
        <v>0</v>
      </c>
      <c r="O393" s="2">
        <f t="shared" si="97"/>
        <v>0</v>
      </c>
      <c r="P393" s="2">
        <f t="shared" si="98"/>
        <v>0</v>
      </c>
      <c r="Q393" s="2">
        <f t="shared" si="99"/>
        <v>0</v>
      </c>
      <c r="S393" s="2">
        <f t="shared" si="112"/>
        <v>0</v>
      </c>
      <c r="T393" s="2">
        <f t="shared" si="100"/>
        <v>0</v>
      </c>
      <c r="U393" s="2">
        <f t="shared" si="101"/>
        <v>0</v>
      </c>
      <c r="V393" s="2">
        <f t="shared" si="102"/>
        <v>0</v>
      </c>
      <c r="W393" s="2">
        <f t="shared" si="103"/>
        <v>0</v>
      </c>
      <c r="X393" s="2">
        <f t="shared" si="104"/>
        <v>0</v>
      </c>
      <c r="Y393" s="2">
        <f t="shared" si="105"/>
        <v>0</v>
      </c>
      <c r="Z393" s="2">
        <f t="shared" si="106"/>
        <v>0</v>
      </c>
      <c r="AA393" s="2">
        <f t="shared" si="107"/>
        <v>0</v>
      </c>
      <c r="AB393" s="2">
        <f t="shared" si="108"/>
        <v>0</v>
      </c>
      <c r="AC393" s="2">
        <f t="shared" si="109"/>
        <v>0</v>
      </c>
      <c r="AD393" s="2">
        <f t="shared" si="110"/>
        <v>0</v>
      </c>
      <c r="AE393" s="2">
        <f t="shared" si="111"/>
        <v>0</v>
      </c>
    </row>
    <row r="394" spans="1:31">
      <c r="A394" s="1" t="s">
        <v>28</v>
      </c>
      <c r="B394">
        <v>287</v>
      </c>
      <c r="C394" s="5">
        <v>22.463901518299998</v>
      </c>
      <c r="D394" s="5">
        <v>2.2327115955300001</v>
      </c>
      <c r="E394" s="11">
        <v>0</v>
      </c>
      <c r="F394" s="15">
        <v>0</v>
      </c>
      <c r="G394" s="15">
        <v>0</v>
      </c>
      <c r="H394" s="15">
        <v>0</v>
      </c>
      <c r="I394" s="15">
        <v>0</v>
      </c>
      <c r="J394" s="11">
        <v>0</v>
      </c>
      <c r="K394" s="15">
        <v>0</v>
      </c>
      <c r="L394" s="15">
        <v>0</v>
      </c>
      <c r="M394" s="15">
        <v>0</v>
      </c>
      <c r="N394" s="16">
        <v>0</v>
      </c>
      <c r="O394" s="2">
        <f t="shared" si="97"/>
        <v>0</v>
      </c>
      <c r="P394" s="2">
        <f t="shared" si="98"/>
        <v>0</v>
      </c>
      <c r="Q394" s="2">
        <f t="shared" si="99"/>
        <v>0</v>
      </c>
      <c r="S394" s="2">
        <f t="shared" si="112"/>
        <v>0</v>
      </c>
      <c r="T394" s="2">
        <f t="shared" si="100"/>
        <v>0</v>
      </c>
      <c r="U394" s="2">
        <f t="shared" si="101"/>
        <v>0</v>
      </c>
      <c r="V394" s="2">
        <f t="shared" si="102"/>
        <v>0</v>
      </c>
      <c r="W394" s="2">
        <f t="shared" si="103"/>
        <v>0</v>
      </c>
      <c r="X394" s="2">
        <f t="shared" si="104"/>
        <v>0</v>
      </c>
      <c r="Y394" s="2">
        <f t="shared" si="105"/>
        <v>0</v>
      </c>
      <c r="Z394" s="2">
        <f t="shared" si="106"/>
        <v>0</v>
      </c>
      <c r="AA394" s="2">
        <f t="shared" si="107"/>
        <v>0</v>
      </c>
      <c r="AB394" s="2">
        <f t="shared" si="108"/>
        <v>0</v>
      </c>
      <c r="AC394" s="2">
        <f t="shared" si="109"/>
        <v>0</v>
      </c>
      <c r="AD394" s="2">
        <f t="shared" si="110"/>
        <v>0</v>
      </c>
      <c r="AE394" s="2">
        <f t="shared" si="111"/>
        <v>0</v>
      </c>
    </row>
    <row r="395" spans="1:31">
      <c r="A395" s="1" t="s">
        <v>29</v>
      </c>
      <c r="B395">
        <v>333</v>
      </c>
      <c r="C395" s="5">
        <v>99.999036387900006</v>
      </c>
      <c r="D395" s="5">
        <v>11.2387719468</v>
      </c>
      <c r="E395" s="11">
        <v>0</v>
      </c>
      <c r="F395" s="15">
        <v>301.72699999999998</v>
      </c>
      <c r="G395" s="15">
        <v>0.3</v>
      </c>
      <c r="H395" s="15">
        <v>0</v>
      </c>
      <c r="I395" s="15">
        <v>0</v>
      </c>
      <c r="J395" s="11">
        <v>0</v>
      </c>
      <c r="K395" s="15">
        <v>0</v>
      </c>
      <c r="L395" s="15">
        <v>0</v>
      </c>
      <c r="M395" s="15">
        <v>0</v>
      </c>
      <c r="N395" s="16">
        <v>0</v>
      </c>
      <c r="O395" s="2">
        <f t="shared" si="97"/>
        <v>302.02699999999999</v>
      </c>
      <c r="P395" s="2">
        <f t="shared" si="98"/>
        <v>0</v>
      </c>
      <c r="Q395" s="2">
        <f t="shared" si="99"/>
        <v>302.02699999999999</v>
      </c>
      <c r="S395" s="2">
        <f t="shared" si="112"/>
        <v>0</v>
      </c>
      <c r="T395" s="2">
        <f t="shared" si="100"/>
        <v>301.72409252211901</v>
      </c>
      <c r="U395" s="2">
        <f t="shared" si="101"/>
        <v>0.29999710916369998</v>
      </c>
      <c r="V395" s="2">
        <f t="shared" si="102"/>
        <v>0</v>
      </c>
      <c r="W395" s="2">
        <f t="shared" si="103"/>
        <v>0</v>
      </c>
      <c r="X395" s="2">
        <f t="shared" si="104"/>
        <v>0</v>
      </c>
      <c r="Y395" s="2">
        <f t="shared" si="105"/>
        <v>0</v>
      </c>
      <c r="Z395" s="2">
        <f t="shared" si="106"/>
        <v>0</v>
      </c>
      <c r="AA395" s="2">
        <f t="shared" si="107"/>
        <v>0</v>
      </c>
      <c r="AB395" s="2">
        <f t="shared" si="108"/>
        <v>0</v>
      </c>
      <c r="AC395" s="2">
        <f t="shared" si="109"/>
        <v>302.02408963128272</v>
      </c>
      <c r="AD395" s="2">
        <f t="shared" si="110"/>
        <v>0</v>
      </c>
      <c r="AE395" s="2">
        <f t="shared" si="111"/>
        <v>302.02408963128272</v>
      </c>
    </row>
    <row r="396" spans="1:31">
      <c r="A396" s="1" t="s">
        <v>29</v>
      </c>
      <c r="B396">
        <v>334</v>
      </c>
      <c r="C396" s="5">
        <v>100</v>
      </c>
      <c r="D396" s="5">
        <v>12.8383513291</v>
      </c>
      <c r="E396" s="11">
        <v>33.9</v>
      </c>
      <c r="F396" s="15">
        <v>7.6</v>
      </c>
      <c r="G396" s="15">
        <v>0</v>
      </c>
      <c r="H396" s="15">
        <v>0</v>
      </c>
      <c r="I396" s="15">
        <v>0</v>
      </c>
      <c r="J396" s="11">
        <v>0</v>
      </c>
      <c r="K396" s="15">
        <v>0</v>
      </c>
      <c r="L396" s="15">
        <v>0</v>
      </c>
      <c r="M396" s="15">
        <v>0</v>
      </c>
      <c r="N396" s="16">
        <v>0</v>
      </c>
      <c r="O396" s="2">
        <f t="shared" si="97"/>
        <v>41.5</v>
      </c>
      <c r="P396" s="2">
        <f t="shared" si="98"/>
        <v>0</v>
      </c>
      <c r="Q396" s="2">
        <f t="shared" si="99"/>
        <v>41.5</v>
      </c>
      <c r="S396" s="2">
        <f t="shared" si="112"/>
        <v>33.9</v>
      </c>
      <c r="T396" s="2">
        <f t="shared" si="100"/>
        <v>7.6</v>
      </c>
      <c r="U396" s="2">
        <f t="shared" si="101"/>
        <v>0</v>
      </c>
      <c r="V396" s="2">
        <f t="shared" si="102"/>
        <v>0</v>
      </c>
      <c r="W396" s="2">
        <f t="shared" si="103"/>
        <v>0</v>
      </c>
      <c r="X396" s="2">
        <f t="shared" si="104"/>
        <v>0</v>
      </c>
      <c r="Y396" s="2">
        <f t="shared" si="105"/>
        <v>0</v>
      </c>
      <c r="Z396" s="2">
        <f t="shared" si="106"/>
        <v>0</v>
      </c>
      <c r="AA396" s="2">
        <f t="shared" si="107"/>
        <v>0</v>
      </c>
      <c r="AB396" s="2">
        <f t="shared" si="108"/>
        <v>0</v>
      </c>
      <c r="AC396" s="2">
        <f t="shared" si="109"/>
        <v>41.5</v>
      </c>
      <c r="AD396" s="2">
        <f t="shared" si="110"/>
        <v>0</v>
      </c>
      <c r="AE396" s="2">
        <f t="shared" si="111"/>
        <v>41.5</v>
      </c>
    </row>
    <row r="397" spans="1:31">
      <c r="A397" s="1" t="s">
        <v>29</v>
      </c>
      <c r="B397">
        <v>335</v>
      </c>
      <c r="C397" s="5">
        <v>99.999335779299997</v>
      </c>
      <c r="D397" s="5">
        <v>23.912541654200002</v>
      </c>
      <c r="E397" s="11">
        <v>0</v>
      </c>
      <c r="F397" s="15">
        <v>57</v>
      </c>
      <c r="G397" s="15">
        <v>7.9</v>
      </c>
      <c r="H397" s="15">
        <v>0</v>
      </c>
      <c r="I397" s="15">
        <v>0</v>
      </c>
      <c r="J397" s="11">
        <v>0</v>
      </c>
      <c r="K397" s="15">
        <v>0</v>
      </c>
      <c r="L397" s="15">
        <v>0</v>
      </c>
      <c r="M397" s="15">
        <v>0</v>
      </c>
      <c r="N397" s="16">
        <v>0</v>
      </c>
      <c r="O397" s="2">
        <f t="shared" si="97"/>
        <v>64.900000000000006</v>
      </c>
      <c r="P397" s="2">
        <f t="shared" si="98"/>
        <v>0</v>
      </c>
      <c r="Q397" s="2">
        <f t="shared" si="99"/>
        <v>64.900000000000006</v>
      </c>
      <c r="S397" s="2">
        <f t="shared" si="112"/>
        <v>0</v>
      </c>
      <c r="T397" s="2">
        <f t="shared" si="100"/>
        <v>56.999621394200993</v>
      </c>
      <c r="U397" s="2">
        <f t="shared" si="101"/>
        <v>7.8999475265647003</v>
      </c>
      <c r="V397" s="2">
        <f t="shared" si="102"/>
        <v>0</v>
      </c>
      <c r="W397" s="2">
        <f t="shared" si="103"/>
        <v>0</v>
      </c>
      <c r="X397" s="2">
        <f t="shared" si="104"/>
        <v>0</v>
      </c>
      <c r="Y397" s="2">
        <f t="shared" si="105"/>
        <v>0</v>
      </c>
      <c r="Z397" s="2">
        <f t="shared" si="106"/>
        <v>0</v>
      </c>
      <c r="AA397" s="2">
        <f t="shared" si="107"/>
        <v>0</v>
      </c>
      <c r="AB397" s="2">
        <f t="shared" si="108"/>
        <v>0</v>
      </c>
      <c r="AC397" s="2">
        <f t="shared" si="109"/>
        <v>64.899568920765702</v>
      </c>
      <c r="AD397" s="2">
        <f t="shared" si="110"/>
        <v>0</v>
      </c>
      <c r="AE397" s="2">
        <f t="shared" si="111"/>
        <v>64.899568920765702</v>
      </c>
    </row>
    <row r="398" spans="1:31">
      <c r="A398" s="1" t="s">
        <v>29</v>
      </c>
      <c r="B398">
        <v>336</v>
      </c>
      <c r="C398" s="5">
        <v>100</v>
      </c>
      <c r="D398" s="5">
        <v>6.2443980551799996</v>
      </c>
      <c r="E398" s="11">
        <v>95.030519999999996</v>
      </c>
      <c r="F398" s="15">
        <v>141.1</v>
      </c>
      <c r="G398" s="15">
        <v>23.3</v>
      </c>
      <c r="H398" s="15">
        <v>0</v>
      </c>
      <c r="I398" s="15">
        <v>0</v>
      </c>
      <c r="J398" s="11">
        <v>0</v>
      </c>
      <c r="K398" s="15">
        <v>0</v>
      </c>
      <c r="L398" s="15">
        <v>0</v>
      </c>
      <c r="M398" s="15">
        <v>0</v>
      </c>
      <c r="N398" s="16">
        <v>0</v>
      </c>
      <c r="O398" s="2">
        <f t="shared" si="97"/>
        <v>259.43052</v>
      </c>
      <c r="P398" s="2">
        <f t="shared" si="98"/>
        <v>0</v>
      </c>
      <c r="Q398" s="2">
        <f t="shared" si="99"/>
        <v>259.43052</v>
      </c>
      <c r="S398" s="2">
        <f t="shared" si="112"/>
        <v>95.030519999999996</v>
      </c>
      <c r="T398" s="2">
        <f t="shared" si="100"/>
        <v>141.1</v>
      </c>
      <c r="U398" s="2">
        <f t="shared" si="101"/>
        <v>23.3</v>
      </c>
      <c r="V398" s="2">
        <f t="shared" si="102"/>
        <v>0</v>
      </c>
      <c r="W398" s="2">
        <f t="shared" si="103"/>
        <v>0</v>
      </c>
      <c r="X398" s="2">
        <f t="shared" si="104"/>
        <v>0</v>
      </c>
      <c r="Y398" s="2">
        <f t="shared" si="105"/>
        <v>0</v>
      </c>
      <c r="Z398" s="2">
        <f t="shared" si="106"/>
        <v>0</v>
      </c>
      <c r="AA398" s="2">
        <f t="shared" si="107"/>
        <v>0</v>
      </c>
      <c r="AB398" s="2">
        <f t="shared" si="108"/>
        <v>0</v>
      </c>
      <c r="AC398" s="2">
        <f t="shared" si="109"/>
        <v>259.43052</v>
      </c>
      <c r="AD398" s="2">
        <f t="shared" si="110"/>
        <v>0</v>
      </c>
      <c r="AE398" s="2">
        <f t="shared" si="111"/>
        <v>259.43052</v>
      </c>
    </row>
    <row r="399" spans="1:31">
      <c r="A399" s="1" t="s">
        <v>29</v>
      </c>
      <c r="B399">
        <v>337</v>
      </c>
      <c r="C399" s="5">
        <v>99.989945397699998</v>
      </c>
      <c r="D399" s="5">
        <v>15.0654990082</v>
      </c>
      <c r="E399" s="11">
        <v>109.878704</v>
      </c>
      <c r="F399" s="15">
        <v>32</v>
      </c>
      <c r="G399" s="15">
        <v>0</v>
      </c>
      <c r="H399" s="15">
        <v>0</v>
      </c>
      <c r="I399" s="15">
        <v>0</v>
      </c>
      <c r="J399" s="11">
        <v>0</v>
      </c>
      <c r="K399" s="15">
        <v>0</v>
      </c>
      <c r="L399" s="15">
        <v>0</v>
      </c>
      <c r="M399" s="15">
        <v>0</v>
      </c>
      <c r="N399" s="16">
        <v>0</v>
      </c>
      <c r="O399" s="2">
        <f t="shared" si="97"/>
        <v>141.878704</v>
      </c>
      <c r="P399" s="2">
        <f t="shared" si="98"/>
        <v>0</v>
      </c>
      <c r="Q399" s="2">
        <f t="shared" si="99"/>
        <v>141.878704</v>
      </c>
      <c r="S399" s="2">
        <f t="shared" si="112"/>
        <v>109.8676561333004</v>
      </c>
      <c r="T399" s="2">
        <f t="shared" si="100"/>
        <v>31.996782527263999</v>
      </c>
      <c r="U399" s="2">
        <f t="shared" si="101"/>
        <v>0</v>
      </c>
      <c r="V399" s="2">
        <f t="shared" si="102"/>
        <v>0</v>
      </c>
      <c r="W399" s="2">
        <f t="shared" si="103"/>
        <v>0</v>
      </c>
      <c r="X399" s="2">
        <f t="shared" si="104"/>
        <v>0</v>
      </c>
      <c r="Y399" s="2">
        <f t="shared" si="105"/>
        <v>0</v>
      </c>
      <c r="Z399" s="2">
        <f t="shared" si="106"/>
        <v>0</v>
      </c>
      <c r="AA399" s="2">
        <f t="shared" si="107"/>
        <v>0</v>
      </c>
      <c r="AB399" s="2">
        <f t="shared" si="108"/>
        <v>0</v>
      </c>
      <c r="AC399" s="2">
        <f t="shared" si="109"/>
        <v>141.86443866056442</v>
      </c>
      <c r="AD399" s="2">
        <f t="shared" si="110"/>
        <v>0</v>
      </c>
      <c r="AE399" s="2">
        <f t="shared" si="111"/>
        <v>141.86443866056442</v>
      </c>
    </row>
    <row r="400" spans="1:31">
      <c r="A400" s="1" t="s">
        <v>29</v>
      </c>
      <c r="B400">
        <v>338</v>
      </c>
      <c r="C400" s="5">
        <v>33.459099284300002</v>
      </c>
      <c r="D400" s="5">
        <v>7.6374947890199998</v>
      </c>
      <c r="E400" s="11">
        <v>21.318169999999999</v>
      </c>
      <c r="F400" s="15">
        <v>349.89997</v>
      </c>
      <c r="G400" s="15">
        <v>148.4</v>
      </c>
      <c r="H400" s="15">
        <v>47</v>
      </c>
      <c r="I400" s="15">
        <v>14.6</v>
      </c>
      <c r="J400" s="11">
        <v>0</v>
      </c>
      <c r="K400" s="15">
        <v>0</v>
      </c>
      <c r="L400" s="15">
        <v>0</v>
      </c>
      <c r="M400" s="15">
        <v>0</v>
      </c>
      <c r="N400" s="16">
        <v>0</v>
      </c>
      <c r="O400" s="2">
        <f t="shared" si="97"/>
        <v>581.21814000000006</v>
      </c>
      <c r="P400" s="2">
        <f t="shared" si="98"/>
        <v>0</v>
      </c>
      <c r="Q400" s="2">
        <f t="shared" si="99"/>
        <v>581.21814000000006</v>
      </c>
      <c r="S400" s="2">
        <f t="shared" si="112"/>
        <v>7.1328676658958567</v>
      </c>
      <c r="T400" s="2">
        <f t="shared" si="100"/>
        <v>117.07337835803591</v>
      </c>
      <c r="U400" s="2">
        <f t="shared" si="101"/>
        <v>49.653303337901207</v>
      </c>
      <c r="V400" s="2">
        <f t="shared" si="102"/>
        <v>15.725776663621001</v>
      </c>
      <c r="W400" s="2">
        <f t="shared" si="103"/>
        <v>4.8850284955078003</v>
      </c>
      <c r="X400" s="2">
        <f t="shared" si="104"/>
        <v>0</v>
      </c>
      <c r="Y400" s="2">
        <f t="shared" si="105"/>
        <v>0</v>
      </c>
      <c r="Z400" s="2">
        <f t="shared" si="106"/>
        <v>0</v>
      </c>
      <c r="AA400" s="2">
        <f t="shared" si="107"/>
        <v>0</v>
      </c>
      <c r="AB400" s="2">
        <f t="shared" si="108"/>
        <v>0</v>
      </c>
      <c r="AC400" s="2">
        <f t="shared" si="109"/>
        <v>194.47035452096182</v>
      </c>
      <c r="AD400" s="2">
        <f t="shared" si="110"/>
        <v>0</v>
      </c>
      <c r="AE400" s="2">
        <f t="shared" si="111"/>
        <v>194.47035452096182</v>
      </c>
    </row>
    <row r="401" spans="1:31">
      <c r="A401" s="1" t="s">
        <v>29</v>
      </c>
      <c r="B401">
        <v>339</v>
      </c>
      <c r="C401" s="5">
        <v>59.513681258699997</v>
      </c>
      <c r="D401" s="5">
        <v>11.8784641165</v>
      </c>
      <c r="E401" s="11">
        <v>121.4</v>
      </c>
      <c r="F401" s="15">
        <v>344.8</v>
      </c>
      <c r="G401" s="15">
        <v>165.8</v>
      </c>
      <c r="H401" s="15">
        <v>70.099999999999994</v>
      </c>
      <c r="I401" s="15">
        <v>31.7</v>
      </c>
      <c r="J401" s="11">
        <v>0</v>
      </c>
      <c r="K401" s="15">
        <v>0</v>
      </c>
      <c r="L401" s="15">
        <v>0</v>
      </c>
      <c r="M401" s="15">
        <v>0</v>
      </c>
      <c r="N401" s="16">
        <v>0</v>
      </c>
      <c r="O401" s="2">
        <f t="shared" si="97"/>
        <v>733.80000000000007</v>
      </c>
      <c r="P401" s="2">
        <f t="shared" si="98"/>
        <v>0</v>
      </c>
      <c r="Q401" s="2">
        <f t="shared" si="99"/>
        <v>733.80000000000007</v>
      </c>
      <c r="S401" s="2">
        <f t="shared" si="112"/>
        <v>72.249609048061799</v>
      </c>
      <c r="T401" s="2">
        <f t="shared" si="100"/>
        <v>205.20317297999759</v>
      </c>
      <c r="U401" s="2">
        <f t="shared" si="101"/>
        <v>98.673683526924592</v>
      </c>
      <c r="V401" s="2">
        <f t="shared" si="102"/>
        <v>41.71909056234869</v>
      </c>
      <c r="W401" s="2">
        <f t="shared" si="103"/>
        <v>18.8658369590079</v>
      </c>
      <c r="X401" s="2">
        <f t="shared" si="104"/>
        <v>0</v>
      </c>
      <c r="Y401" s="2">
        <f t="shared" si="105"/>
        <v>0</v>
      </c>
      <c r="Z401" s="2">
        <f t="shared" si="106"/>
        <v>0</v>
      </c>
      <c r="AA401" s="2">
        <f t="shared" si="107"/>
        <v>0</v>
      </c>
      <c r="AB401" s="2">
        <f t="shared" si="108"/>
        <v>0</v>
      </c>
      <c r="AC401" s="2">
        <f t="shared" si="109"/>
        <v>436.71139307634058</v>
      </c>
      <c r="AD401" s="2">
        <f t="shared" si="110"/>
        <v>0</v>
      </c>
      <c r="AE401" s="2">
        <f t="shared" si="111"/>
        <v>436.71139307634058</v>
      </c>
    </row>
    <row r="402" spans="1:31">
      <c r="A402" s="1" t="s">
        <v>30</v>
      </c>
      <c r="B402">
        <v>288</v>
      </c>
      <c r="C402" s="5">
        <v>75.423979120599995</v>
      </c>
      <c r="D402" s="5">
        <v>10.2001745334</v>
      </c>
      <c r="E402" s="11">
        <v>643.20000000000005</v>
      </c>
      <c r="F402" s="15">
        <v>266.82749999999999</v>
      </c>
      <c r="G402" s="15">
        <v>112.3475</v>
      </c>
      <c r="H402" s="15">
        <v>83</v>
      </c>
      <c r="I402" s="15">
        <v>37.299999999999997</v>
      </c>
      <c r="J402" s="11">
        <v>0</v>
      </c>
      <c r="K402" s="15">
        <v>0</v>
      </c>
      <c r="L402" s="15">
        <v>0</v>
      </c>
      <c r="M402" s="15">
        <v>0</v>
      </c>
      <c r="N402" s="16">
        <v>0</v>
      </c>
      <c r="O402" s="2">
        <f t="shared" si="97"/>
        <v>1142.675</v>
      </c>
      <c r="P402" s="2">
        <f t="shared" si="98"/>
        <v>0</v>
      </c>
      <c r="Q402" s="2">
        <f t="shared" si="99"/>
        <v>1142.675</v>
      </c>
      <c r="S402" s="2">
        <f t="shared" si="112"/>
        <v>485.12703370369923</v>
      </c>
      <c r="T402" s="2">
        <f t="shared" si="100"/>
        <v>201.25191788801894</v>
      </c>
      <c r="U402" s="2">
        <f t="shared" si="101"/>
        <v>84.736954942516078</v>
      </c>
      <c r="V402" s="2">
        <f t="shared" si="102"/>
        <v>62.601902670097999</v>
      </c>
      <c r="W402" s="2">
        <f t="shared" si="103"/>
        <v>28.133144211983794</v>
      </c>
      <c r="X402" s="2">
        <f t="shared" si="104"/>
        <v>0</v>
      </c>
      <c r="Y402" s="2">
        <f t="shared" si="105"/>
        <v>0</v>
      </c>
      <c r="Z402" s="2">
        <f t="shared" si="106"/>
        <v>0</v>
      </c>
      <c r="AA402" s="2">
        <f t="shared" si="107"/>
        <v>0</v>
      </c>
      <c r="AB402" s="2">
        <f t="shared" si="108"/>
        <v>0</v>
      </c>
      <c r="AC402" s="2">
        <f t="shared" si="109"/>
        <v>861.85095341631586</v>
      </c>
      <c r="AD402" s="2">
        <f t="shared" si="110"/>
        <v>0</v>
      </c>
      <c r="AE402" s="2">
        <f t="shared" si="111"/>
        <v>861.85095341631586</v>
      </c>
    </row>
    <row r="403" spans="1:31">
      <c r="A403" s="1" t="s">
        <v>30</v>
      </c>
      <c r="B403">
        <v>289</v>
      </c>
      <c r="C403" s="5">
        <v>99.999543991799996</v>
      </c>
      <c r="D403" s="5">
        <v>7.9333462038200002</v>
      </c>
      <c r="E403" s="11">
        <v>5.3</v>
      </c>
      <c r="F403" s="15">
        <v>1.7</v>
      </c>
      <c r="G403" s="15">
        <v>1</v>
      </c>
      <c r="H403" s="15">
        <v>0</v>
      </c>
      <c r="I403" s="15">
        <v>0</v>
      </c>
      <c r="J403" s="11">
        <v>0</v>
      </c>
      <c r="K403" s="15">
        <v>0</v>
      </c>
      <c r="L403" s="15">
        <v>0</v>
      </c>
      <c r="M403" s="15">
        <v>0</v>
      </c>
      <c r="N403" s="16">
        <v>0</v>
      </c>
      <c r="O403" s="2">
        <f t="shared" si="97"/>
        <v>8</v>
      </c>
      <c r="P403" s="2">
        <f t="shared" si="98"/>
        <v>0</v>
      </c>
      <c r="Q403" s="2">
        <f t="shared" si="99"/>
        <v>8</v>
      </c>
      <c r="S403" s="2">
        <f t="shared" si="112"/>
        <v>5.2999758315653995</v>
      </c>
      <c r="T403" s="2">
        <f t="shared" si="100"/>
        <v>1.6999922478605998</v>
      </c>
      <c r="U403" s="2">
        <f t="shared" si="101"/>
        <v>0.999995439918</v>
      </c>
      <c r="V403" s="2">
        <f t="shared" si="102"/>
        <v>0</v>
      </c>
      <c r="W403" s="2">
        <f t="shared" si="103"/>
        <v>0</v>
      </c>
      <c r="X403" s="2">
        <f t="shared" si="104"/>
        <v>0</v>
      </c>
      <c r="Y403" s="2">
        <f t="shared" si="105"/>
        <v>0</v>
      </c>
      <c r="Z403" s="2">
        <f t="shared" si="106"/>
        <v>0</v>
      </c>
      <c r="AA403" s="2">
        <f t="shared" si="107"/>
        <v>0</v>
      </c>
      <c r="AB403" s="2">
        <f t="shared" si="108"/>
        <v>0</v>
      </c>
      <c r="AC403" s="2">
        <f t="shared" si="109"/>
        <v>7.999963519344</v>
      </c>
      <c r="AD403" s="2">
        <f t="shared" si="110"/>
        <v>0</v>
      </c>
      <c r="AE403" s="2">
        <f t="shared" si="111"/>
        <v>7.999963519344</v>
      </c>
    </row>
    <row r="404" spans="1:31">
      <c r="A404" s="1" t="s">
        <v>30</v>
      </c>
      <c r="B404">
        <v>290</v>
      </c>
      <c r="C404" s="5">
        <v>100</v>
      </c>
      <c r="D404" s="5">
        <v>4.7508218001699998</v>
      </c>
      <c r="E404" s="11">
        <v>0</v>
      </c>
      <c r="F404" s="15">
        <v>0</v>
      </c>
      <c r="G404" s="15">
        <v>0</v>
      </c>
      <c r="H404" s="15">
        <v>0</v>
      </c>
      <c r="I404" s="15">
        <v>0</v>
      </c>
      <c r="J404" s="11">
        <v>0</v>
      </c>
      <c r="K404" s="15">
        <v>0</v>
      </c>
      <c r="L404" s="15">
        <v>0</v>
      </c>
      <c r="M404" s="15">
        <v>0</v>
      </c>
      <c r="N404" s="16">
        <v>0</v>
      </c>
      <c r="O404" s="2">
        <f t="shared" si="97"/>
        <v>0</v>
      </c>
      <c r="P404" s="2">
        <f t="shared" si="98"/>
        <v>0</v>
      </c>
      <c r="Q404" s="2">
        <f t="shared" si="99"/>
        <v>0</v>
      </c>
      <c r="S404" s="2">
        <f t="shared" si="112"/>
        <v>0</v>
      </c>
      <c r="T404" s="2">
        <f t="shared" si="100"/>
        <v>0</v>
      </c>
      <c r="U404" s="2">
        <f t="shared" si="101"/>
        <v>0</v>
      </c>
      <c r="V404" s="2">
        <f t="shared" si="102"/>
        <v>0</v>
      </c>
      <c r="W404" s="2">
        <f t="shared" si="103"/>
        <v>0</v>
      </c>
      <c r="X404" s="2">
        <f t="shared" si="104"/>
        <v>0</v>
      </c>
      <c r="Y404" s="2">
        <f t="shared" si="105"/>
        <v>0</v>
      </c>
      <c r="Z404" s="2">
        <f t="shared" si="106"/>
        <v>0</v>
      </c>
      <c r="AA404" s="2">
        <f t="shared" si="107"/>
        <v>0</v>
      </c>
      <c r="AB404" s="2">
        <f t="shared" si="108"/>
        <v>0</v>
      </c>
      <c r="AC404" s="2">
        <f t="shared" si="109"/>
        <v>0</v>
      </c>
      <c r="AD404" s="2">
        <f t="shared" si="110"/>
        <v>0</v>
      </c>
      <c r="AE404" s="2">
        <f t="shared" si="111"/>
        <v>0</v>
      </c>
    </row>
    <row r="405" spans="1:31">
      <c r="A405" s="1" t="s">
        <v>30</v>
      </c>
      <c r="B405">
        <v>291</v>
      </c>
      <c r="C405" s="5">
        <v>99.999735104699994</v>
      </c>
      <c r="D405" s="5">
        <v>7.4704345099599996</v>
      </c>
      <c r="E405" s="11">
        <v>0</v>
      </c>
      <c r="F405" s="15">
        <v>0</v>
      </c>
      <c r="G405" s="15">
        <v>0</v>
      </c>
      <c r="H405" s="15">
        <v>0</v>
      </c>
      <c r="I405" s="15">
        <v>0</v>
      </c>
      <c r="J405" s="11">
        <v>0</v>
      </c>
      <c r="K405" s="15">
        <v>0</v>
      </c>
      <c r="L405" s="15">
        <v>0</v>
      </c>
      <c r="M405" s="15">
        <v>0</v>
      </c>
      <c r="N405" s="16">
        <v>0</v>
      </c>
      <c r="O405" s="2">
        <f t="shared" si="97"/>
        <v>0</v>
      </c>
      <c r="P405" s="2">
        <f t="shared" si="98"/>
        <v>0</v>
      </c>
      <c r="Q405" s="2">
        <f t="shared" si="99"/>
        <v>0</v>
      </c>
      <c r="S405" s="2">
        <f t="shared" si="112"/>
        <v>0</v>
      </c>
      <c r="T405" s="2">
        <f t="shared" si="100"/>
        <v>0</v>
      </c>
      <c r="U405" s="2">
        <f t="shared" si="101"/>
        <v>0</v>
      </c>
      <c r="V405" s="2">
        <f t="shared" si="102"/>
        <v>0</v>
      </c>
      <c r="W405" s="2">
        <f t="shared" si="103"/>
        <v>0</v>
      </c>
      <c r="X405" s="2">
        <f t="shared" si="104"/>
        <v>0</v>
      </c>
      <c r="Y405" s="2">
        <f t="shared" si="105"/>
        <v>0</v>
      </c>
      <c r="Z405" s="2">
        <f t="shared" si="106"/>
        <v>0</v>
      </c>
      <c r="AA405" s="2">
        <f t="shared" si="107"/>
        <v>0</v>
      </c>
      <c r="AB405" s="2">
        <f t="shared" si="108"/>
        <v>0</v>
      </c>
      <c r="AC405" s="2">
        <f t="shared" si="109"/>
        <v>0</v>
      </c>
      <c r="AD405" s="2">
        <f t="shared" si="110"/>
        <v>0</v>
      </c>
      <c r="AE405" s="2">
        <f t="shared" si="111"/>
        <v>0</v>
      </c>
    </row>
    <row r="406" spans="1:31">
      <c r="A406" s="1" t="s">
        <v>30</v>
      </c>
      <c r="B406">
        <v>292</v>
      </c>
      <c r="C406" s="5">
        <v>100</v>
      </c>
      <c r="D406" s="5">
        <v>10.0516748593</v>
      </c>
      <c r="E406" s="11">
        <v>14.4</v>
      </c>
      <c r="F406" s="15">
        <v>0</v>
      </c>
      <c r="G406" s="15">
        <v>0</v>
      </c>
      <c r="H406" s="15">
        <v>0</v>
      </c>
      <c r="I406" s="15">
        <v>0</v>
      </c>
      <c r="J406" s="11">
        <v>0</v>
      </c>
      <c r="K406" s="15">
        <v>0</v>
      </c>
      <c r="L406" s="15">
        <v>0</v>
      </c>
      <c r="M406" s="15">
        <v>2428.8000000000002</v>
      </c>
      <c r="N406" s="16">
        <v>0</v>
      </c>
      <c r="O406" s="2">
        <f t="shared" si="97"/>
        <v>14.4</v>
      </c>
      <c r="P406" s="2">
        <f t="shared" si="98"/>
        <v>2428.8000000000002</v>
      </c>
      <c r="Q406" s="2">
        <f t="shared" si="99"/>
        <v>2443.2000000000003</v>
      </c>
      <c r="S406" s="2">
        <f t="shared" si="112"/>
        <v>14.4</v>
      </c>
      <c r="T406" s="2">
        <f t="shared" si="100"/>
        <v>0</v>
      </c>
      <c r="U406" s="2">
        <f t="shared" si="101"/>
        <v>0</v>
      </c>
      <c r="V406" s="2">
        <f t="shared" si="102"/>
        <v>0</v>
      </c>
      <c r="W406" s="2">
        <f t="shared" si="103"/>
        <v>0</v>
      </c>
      <c r="X406" s="2">
        <f t="shared" si="104"/>
        <v>0</v>
      </c>
      <c r="Y406" s="2">
        <f t="shared" si="105"/>
        <v>0</v>
      </c>
      <c r="Z406" s="2">
        <f t="shared" si="106"/>
        <v>0</v>
      </c>
      <c r="AA406" s="2">
        <f t="shared" si="107"/>
        <v>2428.8000000000002</v>
      </c>
      <c r="AB406" s="2">
        <f t="shared" si="108"/>
        <v>0</v>
      </c>
      <c r="AC406" s="2">
        <f t="shared" si="109"/>
        <v>14.4</v>
      </c>
      <c r="AD406" s="2">
        <f t="shared" si="110"/>
        <v>2428.8000000000002</v>
      </c>
      <c r="AE406" s="2">
        <f t="shared" si="111"/>
        <v>2443.2000000000003</v>
      </c>
    </row>
    <row r="407" spans="1:31">
      <c r="A407" s="1" t="s">
        <v>30</v>
      </c>
      <c r="B407">
        <v>293</v>
      </c>
      <c r="C407" s="5">
        <v>68.710071404399997</v>
      </c>
      <c r="D407" s="5">
        <v>10.6645697462</v>
      </c>
      <c r="E407" s="11">
        <v>13</v>
      </c>
      <c r="F407" s="15">
        <v>0</v>
      </c>
      <c r="G407" s="15">
        <v>0</v>
      </c>
      <c r="H407" s="15">
        <v>0</v>
      </c>
      <c r="I407" s="15">
        <v>0</v>
      </c>
      <c r="J407" s="11">
        <v>0</v>
      </c>
      <c r="K407" s="15">
        <v>0</v>
      </c>
      <c r="L407" s="15">
        <v>202.714</v>
      </c>
      <c r="M407" s="15">
        <v>663.6</v>
      </c>
      <c r="N407" s="16">
        <v>0</v>
      </c>
      <c r="O407" s="2">
        <f t="shared" si="97"/>
        <v>13</v>
      </c>
      <c r="P407" s="2">
        <f t="shared" si="98"/>
        <v>866.31400000000008</v>
      </c>
      <c r="Q407" s="2">
        <f t="shared" si="99"/>
        <v>879.31400000000008</v>
      </c>
      <c r="S407" s="2">
        <f t="shared" si="112"/>
        <v>8.9323092825719996</v>
      </c>
      <c r="T407" s="2">
        <f t="shared" si="100"/>
        <v>0</v>
      </c>
      <c r="U407" s="2">
        <f t="shared" si="101"/>
        <v>0</v>
      </c>
      <c r="V407" s="2">
        <f t="shared" si="102"/>
        <v>0</v>
      </c>
      <c r="W407" s="2">
        <f t="shared" si="103"/>
        <v>0</v>
      </c>
      <c r="X407" s="2">
        <f t="shared" si="104"/>
        <v>0</v>
      </c>
      <c r="Y407" s="2">
        <f t="shared" si="105"/>
        <v>0</v>
      </c>
      <c r="Z407" s="2">
        <f t="shared" si="106"/>
        <v>139.28493414671541</v>
      </c>
      <c r="AA407" s="2">
        <f t="shared" si="107"/>
        <v>455.9600338395984</v>
      </c>
      <c r="AB407" s="2">
        <f t="shared" si="108"/>
        <v>0</v>
      </c>
      <c r="AC407" s="2">
        <f t="shared" si="109"/>
        <v>8.9323092825719996</v>
      </c>
      <c r="AD407" s="2">
        <f t="shared" si="110"/>
        <v>595.2449679863139</v>
      </c>
      <c r="AE407" s="2">
        <f t="shared" si="111"/>
        <v>604.17727726888586</v>
      </c>
    </row>
    <row r="408" spans="1:31">
      <c r="A408" s="1" t="s">
        <v>30</v>
      </c>
      <c r="B408">
        <v>294</v>
      </c>
      <c r="C408" s="5">
        <v>51.075303227200003</v>
      </c>
      <c r="D408" s="5">
        <v>3.1961504780999999</v>
      </c>
      <c r="E408" s="11">
        <v>691.9</v>
      </c>
      <c r="F408" s="15">
        <v>18.3</v>
      </c>
      <c r="G408" s="15">
        <v>0</v>
      </c>
      <c r="H408" s="15">
        <v>0</v>
      </c>
      <c r="I408" s="15">
        <v>0</v>
      </c>
      <c r="J408" s="11">
        <v>0</v>
      </c>
      <c r="K408" s="15">
        <v>0</v>
      </c>
      <c r="L408" s="15">
        <v>0</v>
      </c>
      <c r="M408" s="15">
        <v>7141.3576999999996</v>
      </c>
      <c r="N408" s="16">
        <v>0</v>
      </c>
      <c r="O408" s="2">
        <f t="shared" si="97"/>
        <v>710.19999999999993</v>
      </c>
      <c r="P408" s="2">
        <f t="shared" si="98"/>
        <v>7141.3576999999996</v>
      </c>
      <c r="Q408" s="2">
        <f t="shared" si="99"/>
        <v>7851.5576999999994</v>
      </c>
      <c r="S408" s="2">
        <f t="shared" si="112"/>
        <v>353.39002302899678</v>
      </c>
      <c r="T408" s="2">
        <f t="shared" si="100"/>
        <v>9.3467804905776006</v>
      </c>
      <c r="U408" s="2">
        <f t="shared" si="101"/>
        <v>0</v>
      </c>
      <c r="V408" s="2">
        <f t="shared" si="102"/>
        <v>0</v>
      </c>
      <c r="W408" s="2">
        <f t="shared" si="103"/>
        <v>0</v>
      </c>
      <c r="X408" s="2">
        <f t="shared" si="104"/>
        <v>0</v>
      </c>
      <c r="Y408" s="2">
        <f t="shared" si="105"/>
        <v>0</v>
      </c>
      <c r="Z408" s="2">
        <f t="shared" si="106"/>
        <v>0</v>
      </c>
      <c r="AA408" s="2">
        <f t="shared" si="107"/>
        <v>3647.4700998139956</v>
      </c>
      <c r="AB408" s="2">
        <f t="shared" si="108"/>
        <v>0</v>
      </c>
      <c r="AC408" s="2">
        <f t="shared" si="109"/>
        <v>362.73680351957438</v>
      </c>
      <c r="AD408" s="2">
        <f t="shared" si="110"/>
        <v>3647.4700998139956</v>
      </c>
      <c r="AE408" s="2">
        <f t="shared" si="111"/>
        <v>4010.2069033335702</v>
      </c>
    </row>
    <row r="409" spans="1:31">
      <c r="A409" s="1" t="s">
        <v>30</v>
      </c>
      <c r="B409">
        <v>295</v>
      </c>
      <c r="C409" s="5">
        <v>99.999858038400006</v>
      </c>
      <c r="D409" s="5">
        <v>10.6234234887</v>
      </c>
      <c r="E409" s="11">
        <v>20.5</v>
      </c>
      <c r="F409" s="15">
        <v>6.6</v>
      </c>
      <c r="G409" s="15">
        <v>5</v>
      </c>
      <c r="H409" s="15">
        <v>1</v>
      </c>
      <c r="I409" s="15">
        <v>0</v>
      </c>
      <c r="J409" s="11">
        <v>0</v>
      </c>
      <c r="K409" s="15">
        <v>0</v>
      </c>
      <c r="L409" s="15">
        <v>0</v>
      </c>
      <c r="M409" s="15">
        <v>0</v>
      </c>
      <c r="N409" s="16">
        <v>0</v>
      </c>
      <c r="O409" s="2">
        <f t="shared" si="97"/>
        <v>33.1</v>
      </c>
      <c r="P409" s="2">
        <f t="shared" si="98"/>
        <v>0</v>
      </c>
      <c r="Q409" s="2">
        <f t="shared" si="99"/>
        <v>33.1</v>
      </c>
      <c r="S409" s="2">
        <f t="shared" si="112"/>
        <v>20.499970897872</v>
      </c>
      <c r="T409" s="2">
        <f t="shared" si="100"/>
        <v>6.5999906305343998</v>
      </c>
      <c r="U409" s="2">
        <f t="shared" si="101"/>
        <v>4.9999929019200007</v>
      </c>
      <c r="V409" s="2">
        <f t="shared" si="102"/>
        <v>0.99999858038400002</v>
      </c>
      <c r="W409" s="2">
        <f t="shared" si="103"/>
        <v>0</v>
      </c>
      <c r="X409" s="2">
        <f t="shared" si="104"/>
        <v>0</v>
      </c>
      <c r="Y409" s="2">
        <f t="shared" si="105"/>
        <v>0</v>
      </c>
      <c r="Z409" s="2">
        <f t="shared" si="106"/>
        <v>0</v>
      </c>
      <c r="AA409" s="2">
        <f t="shared" si="107"/>
        <v>0</v>
      </c>
      <c r="AB409" s="2">
        <f t="shared" si="108"/>
        <v>0</v>
      </c>
      <c r="AC409" s="2">
        <f t="shared" si="109"/>
        <v>33.099953010710408</v>
      </c>
      <c r="AD409" s="2">
        <f t="shared" si="110"/>
        <v>0</v>
      </c>
      <c r="AE409" s="2">
        <f t="shared" si="111"/>
        <v>33.099953010710408</v>
      </c>
    </row>
    <row r="410" spans="1:31">
      <c r="A410" s="1" t="s">
        <v>30</v>
      </c>
      <c r="B410">
        <v>296</v>
      </c>
      <c r="C410" s="5">
        <v>100</v>
      </c>
      <c r="D410" s="5">
        <v>5.3359275861700004</v>
      </c>
      <c r="E410" s="11">
        <v>0</v>
      </c>
      <c r="F410" s="15">
        <v>0</v>
      </c>
      <c r="G410" s="15">
        <v>0</v>
      </c>
      <c r="H410" s="15">
        <v>0</v>
      </c>
      <c r="I410" s="15">
        <v>0</v>
      </c>
      <c r="J410" s="11">
        <v>0</v>
      </c>
      <c r="K410" s="15">
        <v>0</v>
      </c>
      <c r="L410" s="15">
        <v>0</v>
      </c>
      <c r="M410" s="15">
        <v>0</v>
      </c>
      <c r="N410" s="16">
        <v>0</v>
      </c>
      <c r="O410" s="2">
        <f t="shared" si="97"/>
        <v>0</v>
      </c>
      <c r="P410" s="2">
        <f t="shared" si="98"/>
        <v>0</v>
      </c>
      <c r="Q410" s="2">
        <f t="shared" si="99"/>
        <v>0</v>
      </c>
      <c r="S410" s="2">
        <f t="shared" si="112"/>
        <v>0</v>
      </c>
      <c r="T410" s="2">
        <f t="shared" si="100"/>
        <v>0</v>
      </c>
      <c r="U410" s="2">
        <f t="shared" si="101"/>
        <v>0</v>
      </c>
      <c r="V410" s="2">
        <f t="shared" si="102"/>
        <v>0</v>
      </c>
      <c r="W410" s="2">
        <f t="shared" si="103"/>
        <v>0</v>
      </c>
      <c r="X410" s="2">
        <f t="shared" si="104"/>
        <v>0</v>
      </c>
      <c r="Y410" s="2">
        <f t="shared" si="105"/>
        <v>0</v>
      </c>
      <c r="Z410" s="2">
        <f t="shared" si="106"/>
        <v>0</v>
      </c>
      <c r="AA410" s="2">
        <f t="shared" si="107"/>
        <v>0</v>
      </c>
      <c r="AB410" s="2">
        <f t="shared" si="108"/>
        <v>0</v>
      </c>
      <c r="AC410" s="2">
        <f t="shared" si="109"/>
        <v>0</v>
      </c>
      <c r="AD410" s="2">
        <f t="shared" si="110"/>
        <v>0</v>
      </c>
      <c r="AE410" s="2">
        <f t="shared" si="111"/>
        <v>0</v>
      </c>
    </row>
    <row r="411" spans="1:31">
      <c r="A411" s="1" t="s">
        <v>30</v>
      </c>
      <c r="B411">
        <v>297</v>
      </c>
      <c r="C411" s="5">
        <v>99.994559669099999</v>
      </c>
      <c r="D411" s="5">
        <v>10.4217762855</v>
      </c>
      <c r="E411" s="11">
        <v>0</v>
      </c>
      <c r="F411" s="15">
        <v>0</v>
      </c>
      <c r="G411" s="15">
        <v>0</v>
      </c>
      <c r="H411" s="15">
        <v>0</v>
      </c>
      <c r="I411" s="15">
        <v>0</v>
      </c>
      <c r="J411" s="11">
        <v>0</v>
      </c>
      <c r="K411" s="15">
        <v>0</v>
      </c>
      <c r="L411" s="15">
        <v>691.5136</v>
      </c>
      <c r="M411" s="15">
        <v>0</v>
      </c>
      <c r="N411" s="16">
        <v>0</v>
      </c>
      <c r="O411" s="2">
        <f t="shared" si="97"/>
        <v>0</v>
      </c>
      <c r="P411" s="2">
        <f t="shared" si="98"/>
        <v>691.5136</v>
      </c>
      <c r="Q411" s="2">
        <f t="shared" si="99"/>
        <v>691.5136</v>
      </c>
      <c r="S411" s="2">
        <f t="shared" si="112"/>
        <v>0</v>
      </c>
      <c r="T411" s="2">
        <f t="shared" si="100"/>
        <v>0</v>
      </c>
      <c r="U411" s="2">
        <f t="shared" si="101"/>
        <v>0</v>
      </c>
      <c r="V411" s="2">
        <f t="shared" si="102"/>
        <v>0</v>
      </c>
      <c r="W411" s="2">
        <f t="shared" si="103"/>
        <v>0</v>
      </c>
      <c r="X411" s="2">
        <f t="shared" si="104"/>
        <v>0</v>
      </c>
      <c r="Y411" s="2">
        <f t="shared" si="105"/>
        <v>0</v>
      </c>
      <c r="Z411" s="2">
        <f t="shared" si="106"/>
        <v>691.47597937194155</v>
      </c>
      <c r="AA411" s="2">
        <f t="shared" si="107"/>
        <v>0</v>
      </c>
      <c r="AB411" s="2">
        <f t="shared" si="108"/>
        <v>0</v>
      </c>
      <c r="AC411" s="2">
        <f t="shared" si="109"/>
        <v>0</v>
      </c>
      <c r="AD411" s="2">
        <f t="shared" si="110"/>
        <v>691.47597937194155</v>
      </c>
      <c r="AE411" s="2">
        <f t="shared" si="111"/>
        <v>691.47597937194155</v>
      </c>
    </row>
    <row r="412" spans="1:31">
      <c r="A412" s="1" t="s">
        <v>30</v>
      </c>
      <c r="B412">
        <v>298</v>
      </c>
      <c r="C412" s="5">
        <v>100</v>
      </c>
      <c r="D412" s="5">
        <v>10.987719438899999</v>
      </c>
      <c r="E412" s="11">
        <v>228.2</v>
      </c>
      <c r="F412" s="15">
        <v>0</v>
      </c>
      <c r="G412" s="15">
        <v>0</v>
      </c>
      <c r="H412" s="15">
        <v>0</v>
      </c>
      <c r="I412" s="15">
        <v>0</v>
      </c>
      <c r="J412" s="11">
        <v>0</v>
      </c>
      <c r="K412" s="15">
        <v>0</v>
      </c>
      <c r="L412" s="15">
        <v>1581.8320000000001</v>
      </c>
      <c r="M412" s="15">
        <v>28.6</v>
      </c>
      <c r="N412" s="16">
        <v>0</v>
      </c>
      <c r="O412" s="2">
        <f t="shared" si="97"/>
        <v>228.2</v>
      </c>
      <c r="P412" s="2">
        <f t="shared" si="98"/>
        <v>1610.432</v>
      </c>
      <c r="Q412" s="2">
        <f t="shared" si="99"/>
        <v>1838.6320000000001</v>
      </c>
      <c r="S412" s="2">
        <f t="shared" si="112"/>
        <v>228.2</v>
      </c>
      <c r="T412" s="2">
        <f t="shared" si="100"/>
        <v>0</v>
      </c>
      <c r="U412" s="2">
        <f t="shared" si="101"/>
        <v>0</v>
      </c>
      <c r="V412" s="2">
        <f t="shared" si="102"/>
        <v>0</v>
      </c>
      <c r="W412" s="2">
        <f t="shared" si="103"/>
        <v>0</v>
      </c>
      <c r="X412" s="2">
        <f t="shared" si="104"/>
        <v>0</v>
      </c>
      <c r="Y412" s="2">
        <f t="shared" si="105"/>
        <v>0</v>
      </c>
      <c r="Z412" s="2">
        <f t="shared" si="106"/>
        <v>1581.8320000000001</v>
      </c>
      <c r="AA412" s="2">
        <f t="shared" si="107"/>
        <v>28.6</v>
      </c>
      <c r="AB412" s="2">
        <f t="shared" si="108"/>
        <v>0</v>
      </c>
      <c r="AC412" s="2">
        <f t="shared" si="109"/>
        <v>228.2</v>
      </c>
      <c r="AD412" s="2">
        <f t="shared" si="110"/>
        <v>1610.432</v>
      </c>
      <c r="AE412" s="2">
        <f t="shared" si="111"/>
        <v>1838.6320000000001</v>
      </c>
    </row>
    <row r="413" spans="1:31">
      <c r="A413" s="1" t="s">
        <v>30</v>
      </c>
      <c r="B413">
        <v>299</v>
      </c>
      <c r="C413" s="5">
        <v>100</v>
      </c>
      <c r="D413" s="5">
        <v>3.7039615120299998</v>
      </c>
      <c r="E413" s="11">
        <v>65.599999999999994</v>
      </c>
      <c r="F413" s="15">
        <v>0</v>
      </c>
      <c r="G413" s="15">
        <v>0</v>
      </c>
      <c r="H413" s="15">
        <v>0</v>
      </c>
      <c r="I413" s="15">
        <v>0</v>
      </c>
      <c r="J413" s="11">
        <v>0</v>
      </c>
      <c r="K413" s="15">
        <v>0</v>
      </c>
      <c r="L413" s="15">
        <v>824.10329999999999</v>
      </c>
      <c r="M413" s="15">
        <v>0</v>
      </c>
      <c r="N413" s="16">
        <v>0</v>
      </c>
      <c r="O413" s="2">
        <f t="shared" si="97"/>
        <v>65.599999999999994</v>
      </c>
      <c r="P413" s="2">
        <f t="shared" si="98"/>
        <v>824.10329999999999</v>
      </c>
      <c r="Q413" s="2">
        <f t="shared" si="99"/>
        <v>889.70330000000001</v>
      </c>
      <c r="S413" s="2">
        <f t="shared" si="112"/>
        <v>65.599999999999994</v>
      </c>
      <c r="T413" s="2">
        <f t="shared" si="100"/>
        <v>0</v>
      </c>
      <c r="U413" s="2">
        <f t="shared" si="101"/>
        <v>0</v>
      </c>
      <c r="V413" s="2">
        <f t="shared" si="102"/>
        <v>0</v>
      </c>
      <c r="W413" s="2">
        <f t="shared" si="103"/>
        <v>0</v>
      </c>
      <c r="X413" s="2">
        <f t="shared" si="104"/>
        <v>0</v>
      </c>
      <c r="Y413" s="2">
        <f t="shared" si="105"/>
        <v>0</v>
      </c>
      <c r="Z413" s="2">
        <f t="shared" si="106"/>
        <v>824.10329999999999</v>
      </c>
      <c r="AA413" s="2">
        <f t="shared" si="107"/>
        <v>0</v>
      </c>
      <c r="AB413" s="2">
        <f t="shared" si="108"/>
        <v>0</v>
      </c>
      <c r="AC413" s="2">
        <f t="shared" si="109"/>
        <v>65.599999999999994</v>
      </c>
      <c r="AD413" s="2">
        <f t="shared" si="110"/>
        <v>824.10329999999999</v>
      </c>
      <c r="AE413" s="2">
        <f t="shared" si="111"/>
        <v>889.70330000000001</v>
      </c>
    </row>
    <row r="414" spans="1:31">
      <c r="A414" s="1" t="s">
        <v>31</v>
      </c>
      <c r="B414">
        <v>244</v>
      </c>
      <c r="C414" s="5">
        <v>36.504308000899997</v>
      </c>
      <c r="D414" s="5">
        <v>3.7392976999899998</v>
      </c>
      <c r="E414" s="11">
        <v>0</v>
      </c>
      <c r="F414" s="15">
        <v>28</v>
      </c>
      <c r="G414" s="15">
        <v>8.3000000000000007</v>
      </c>
      <c r="H414" s="15">
        <v>10.199999999999999</v>
      </c>
      <c r="I414" s="15">
        <v>3.8</v>
      </c>
      <c r="J414" s="11">
        <v>0</v>
      </c>
      <c r="K414" s="15">
        <v>0</v>
      </c>
      <c r="L414" s="15">
        <v>0</v>
      </c>
      <c r="M414" s="15">
        <v>0</v>
      </c>
      <c r="N414" s="16">
        <v>0</v>
      </c>
      <c r="O414" s="2">
        <f t="shared" si="97"/>
        <v>50.3</v>
      </c>
      <c r="P414" s="2">
        <f t="shared" si="98"/>
        <v>0</v>
      </c>
      <c r="Q414" s="2">
        <f t="shared" si="99"/>
        <v>50.3</v>
      </c>
      <c r="S414" s="2">
        <f t="shared" si="112"/>
        <v>0</v>
      </c>
      <c r="T414" s="2">
        <f t="shared" si="100"/>
        <v>10.221206240252</v>
      </c>
      <c r="U414" s="2">
        <f t="shared" si="101"/>
        <v>3.0298575640746996</v>
      </c>
      <c r="V414" s="2">
        <f t="shared" si="102"/>
        <v>3.7234394160917992</v>
      </c>
      <c r="W414" s="2">
        <f t="shared" si="103"/>
        <v>1.3871637040341998</v>
      </c>
      <c r="X414" s="2">
        <f t="shared" si="104"/>
        <v>0</v>
      </c>
      <c r="Y414" s="2">
        <f t="shared" si="105"/>
        <v>0</v>
      </c>
      <c r="Z414" s="2">
        <f t="shared" si="106"/>
        <v>0</v>
      </c>
      <c r="AA414" s="2">
        <f t="shared" si="107"/>
        <v>0</v>
      </c>
      <c r="AB414" s="2">
        <f t="shared" si="108"/>
        <v>0</v>
      </c>
      <c r="AC414" s="2">
        <f t="shared" si="109"/>
        <v>18.361666924452699</v>
      </c>
      <c r="AD414" s="2">
        <f t="shared" si="110"/>
        <v>0</v>
      </c>
      <c r="AE414" s="2">
        <f t="shared" si="111"/>
        <v>18.361666924452699</v>
      </c>
    </row>
    <row r="415" spans="1:31">
      <c r="A415" s="1" t="s">
        <v>31</v>
      </c>
      <c r="B415">
        <v>245</v>
      </c>
      <c r="C415" s="5">
        <v>99.999465055200005</v>
      </c>
      <c r="D415" s="5">
        <v>7.4040705028399998</v>
      </c>
      <c r="E415" s="11">
        <v>47.9</v>
      </c>
      <c r="F415" s="15">
        <v>33.799999999999997</v>
      </c>
      <c r="G415" s="15">
        <v>22.6</v>
      </c>
      <c r="H415" s="15">
        <v>14.7</v>
      </c>
      <c r="I415" s="15">
        <v>0.4</v>
      </c>
      <c r="J415" s="11">
        <v>0</v>
      </c>
      <c r="K415" s="15">
        <v>0</v>
      </c>
      <c r="L415" s="15">
        <v>0</v>
      </c>
      <c r="M415" s="15">
        <v>0</v>
      </c>
      <c r="N415" s="16">
        <v>0</v>
      </c>
      <c r="O415" s="2">
        <f t="shared" si="97"/>
        <v>119.39999999999999</v>
      </c>
      <c r="P415" s="2">
        <f t="shared" si="98"/>
        <v>0</v>
      </c>
      <c r="Q415" s="2">
        <f t="shared" si="99"/>
        <v>119.39999999999999</v>
      </c>
      <c r="S415" s="2">
        <f t="shared" si="112"/>
        <v>47.899743761440803</v>
      </c>
      <c r="T415" s="2">
        <f t="shared" si="100"/>
        <v>33.799819188657601</v>
      </c>
      <c r="U415" s="2">
        <f t="shared" si="101"/>
        <v>22.599879102475203</v>
      </c>
      <c r="V415" s="2">
        <f t="shared" si="102"/>
        <v>14.699921363114399</v>
      </c>
      <c r="W415" s="2">
        <f t="shared" si="103"/>
        <v>0.39999786022080003</v>
      </c>
      <c r="X415" s="2">
        <f t="shared" si="104"/>
        <v>0</v>
      </c>
      <c r="Y415" s="2">
        <f t="shared" si="105"/>
        <v>0</v>
      </c>
      <c r="Z415" s="2">
        <f t="shared" si="106"/>
        <v>0</v>
      </c>
      <c r="AA415" s="2">
        <f t="shared" si="107"/>
        <v>0</v>
      </c>
      <c r="AB415" s="2">
        <f t="shared" si="108"/>
        <v>0</v>
      </c>
      <c r="AC415" s="2">
        <f t="shared" si="109"/>
        <v>119.3993612759088</v>
      </c>
      <c r="AD415" s="2">
        <f t="shared" si="110"/>
        <v>0</v>
      </c>
      <c r="AE415" s="2">
        <f t="shared" si="111"/>
        <v>119.3993612759088</v>
      </c>
    </row>
    <row r="416" spans="1:31">
      <c r="A416" s="1" t="s">
        <v>31</v>
      </c>
      <c r="B416">
        <v>293</v>
      </c>
      <c r="C416" s="5">
        <v>31.289928595799999</v>
      </c>
      <c r="D416" s="5">
        <v>9.1437962226499998</v>
      </c>
      <c r="E416" s="11">
        <v>13</v>
      </c>
      <c r="F416" s="15">
        <v>0</v>
      </c>
      <c r="G416" s="15">
        <v>0</v>
      </c>
      <c r="H416" s="15">
        <v>0</v>
      </c>
      <c r="I416" s="15">
        <v>0</v>
      </c>
      <c r="J416" s="11">
        <v>0</v>
      </c>
      <c r="K416" s="15">
        <v>0</v>
      </c>
      <c r="L416" s="15">
        <v>202.714</v>
      </c>
      <c r="M416" s="15">
        <v>663.6</v>
      </c>
      <c r="N416" s="16">
        <v>0</v>
      </c>
      <c r="O416" s="2">
        <f t="shared" si="97"/>
        <v>13</v>
      </c>
      <c r="P416" s="2">
        <f t="shared" si="98"/>
        <v>866.31400000000008</v>
      </c>
      <c r="Q416" s="2">
        <f t="shared" si="99"/>
        <v>879.31400000000008</v>
      </c>
      <c r="S416" s="2">
        <f t="shared" si="112"/>
        <v>4.067690717454</v>
      </c>
      <c r="T416" s="2">
        <f t="shared" si="100"/>
        <v>0</v>
      </c>
      <c r="U416" s="2">
        <f t="shared" si="101"/>
        <v>0</v>
      </c>
      <c r="V416" s="2">
        <f t="shared" si="102"/>
        <v>0</v>
      </c>
      <c r="W416" s="2">
        <f t="shared" si="103"/>
        <v>0</v>
      </c>
      <c r="X416" s="2">
        <f t="shared" si="104"/>
        <v>0</v>
      </c>
      <c r="Y416" s="2">
        <f t="shared" si="105"/>
        <v>0</v>
      </c>
      <c r="Z416" s="2">
        <f t="shared" si="106"/>
        <v>63.429065853690005</v>
      </c>
      <c r="AA416" s="2">
        <f t="shared" si="107"/>
        <v>207.63996616172881</v>
      </c>
      <c r="AB416" s="2">
        <f t="shared" si="108"/>
        <v>0</v>
      </c>
      <c r="AC416" s="2">
        <f t="shared" si="109"/>
        <v>4.067690717454</v>
      </c>
      <c r="AD416" s="2">
        <f t="shared" si="110"/>
        <v>271.06903201541883</v>
      </c>
      <c r="AE416" s="2">
        <f t="shared" si="111"/>
        <v>275.13672273287284</v>
      </c>
    </row>
    <row r="417" spans="1:31">
      <c r="A417" s="1" t="s">
        <v>31</v>
      </c>
      <c r="B417">
        <v>294</v>
      </c>
      <c r="C417" s="5">
        <v>48.924696772799997</v>
      </c>
      <c r="D417" s="5">
        <v>5.7642583180500004</v>
      </c>
      <c r="E417" s="11">
        <v>691.9</v>
      </c>
      <c r="F417" s="15">
        <v>18.3</v>
      </c>
      <c r="G417" s="15">
        <v>0</v>
      </c>
      <c r="H417" s="15">
        <v>0</v>
      </c>
      <c r="I417" s="15">
        <v>0</v>
      </c>
      <c r="J417" s="11">
        <v>0</v>
      </c>
      <c r="K417" s="15">
        <v>0</v>
      </c>
      <c r="L417" s="15">
        <v>0</v>
      </c>
      <c r="M417" s="15">
        <v>7141.3576999999996</v>
      </c>
      <c r="N417" s="16">
        <v>0</v>
      </c>
      <c r="O417" s="2">
        <f t="shared" si="97"/>
        <v>710.19999999999993</v>
      </c>
      <c r="P417" s="2">
        <f t="shared" si="98"/>
        <v>7141.3576999999996</v>
      </c>
      <c r="Q417" s="2">
        <f t="shared" si="99"/>
        <v>7851.5576999999994</v>
      </c>
      <c r="S417" s="2">
        <f t="shared" si="112"/>
        <v>338.5099769710032</v>
      </c>
      <c r="T417" s="2">
        <f t="shared" si="100"/>
        <v>8.9532195094224001</v>
      </c>
      <c r="U417" s="2">
        <f t="shared" si="101"/>
        <v>0</v>
      </c>
      <c r="V417" s="2">
        <f t="shared" si="102"/>
        <v>0</v>
      </c>
      <c r="W417" s="2">
        <f t="shared" si="103"/>
        <v>0</v>
      </c>
      <c r="X417" s="2">
        <f t="shared" si="104"/>
        <v>0</v>
      </c>
      <c r="Y417" s="2">
        <f t="shared" si="105"/>
        <v>0</v>
      </c>
      <c r="Z417" s="2">
        <f t="shared" si="106"/>
        <v>0</v>
      </c>
      <c r="AA417" s="2">
        <f t="shared" si="107"/>
        <v>3493.887600186004</v>
      </c>
      <c r="AB417" s="2">
        <f t="shared" si="108"/>
        <v>0</v>
      </c>
      <c r="AC417" s="2">
        <f t="shared" si="109"/>
        <v>347.46319648042555</v>
      </c>
      <c r="AD417" s="2">
        <f t="shared" si="110"/>
        <v>3493.887600186004</v>
      </c>
      <c r="AE417" s="2">
        <f t="shared" si="111"/>
        <v>3841.3507966664292</v>
      </c>
    </row>
    <row r="418" spans="1:31">
      <c r="A418" s="1" t="s">
        <v>31</v>
      </c>
      <c r="B418">
        <v>300</v>
      </c>
      <c r="C418" s="5">
        <v>91.908622529100001</v>
      </c>
      <c r="D418" s="5">
        <v>11.8054100653</v>
      </c>
      <c r="E418" s="11">
        <v>175.5</v>
      </c>
      <c r="F418" s="15">
        <v>104.19999899999999</v>
      </c>
      <c r="G418" s="15">
        <v>71.8</v>
      </c>
      <c r="H418" s="15">
        <v>84.4</v>
      </c>
      <c r="I418" s="15">
        <v>41.9</v>
      </c>
      <c r="J418" s="11">
        <v>0</v>
      </c>
      <c r="K418" s="15">
        <v>0</v>
      </c>
      <c r="L418" s="15">
        <v>0</v>
      </c>
      <c r="M418" s="15">
        <v>0</v>
      </c>
      <c r="N418" s="16">
        <v>0</v>
      </c>
      <c r="O418" s="2">
        <f t="shared" si="97"/>
        <v>477.79999899999996</v>
      </c>
      <c r="P418" s="2">
        <f t="shared" si="98"/>
        <v>0</v>
      </c>
      <c r="Q418" s="2">
        <f t="shared" si="99"/>
        <v>477.79999899999996</v>
      </c>
      <c r="S418" s="2">
        <f t="shared" si="112"/>
        <v>161.29963253857051</v>
      </c>
      <c r="T418" s="2">
        <f t="shared" si="100"/>
        <v>95.768783756235976</v>
      </c>
      <c r="U418" s="2">
        <f t="shared" si="101"/>
        <v>65.990390975893803</v>
      </c>
      <c r="V418" s="2">
        <f t="shared" si="102"/>
        <v>77.570877414560414</v>
      </c>
      <c r="W418" s="2">
        <f t="shared" si="103"/>
        <v>38.509712839692895</v>
      </c>
      <c r="X418" s="2">
        <f t="shared" si="104"/>
        <v>0</v>
      </c>
      <c r="Y418" s="2">
        <f t="shared" si="105"/>
        <v>0</v>
      </c>
      <c r="Z418" s="2">
        <f t="shared" si="106"/>
        <v>0</v>
      </c>
      <c r="AA418" s="2">
        <f t="shared" si="107"/>
        <v>0</v>
      </c>
      <c r="AB418" s="2">
        <f t="shared" si="108"/>
        <v>0</v>
      </c>
      <c r="AC418" s="2">
        <f t="shared" si="109"/>
        <v>439.13939752495355</v>
      </c>
      <c r="AD418" s="2">
        <f t="shared" si="110"/>
        <v>0</v>
      </c>
      <c r="AE418" s="2">
        <f t="shared" si="111"/>
        <v>439.13939752495355</v>
      </c>
    </row>
    <row r="419" spans="1:31">
      <c r="A419" s="1" t="s">
        <v>31</v>
      </c>
      <c r="B419">
        <v>301</v>
      </c>
      <c r="C419" s="5">
        <v>67.914079230499993</v>
      </c>
      <c r="D419" s="5">
        <v>3.1887130904599998</v>
      </c>
      <c r="E419" s="11">
        <v>76.599999999999994</v>
      </c>
      <c r="F419" s="15">
        <v>27.3</v>
      </c>
      <c r="G419" s="15">
        <v>9.6999999999999993</v>
      </c>
      <c r="H419" s="15">
        <v>12.4</v>
      </c>
      <c r="I419" s="15">
        <v>0</v>
      </c>
      <c r="J419" s="11">
        <v>0</v>
      </c>
      <c r="K419" s="15">
        <v>0</v>
      </c>
      <c r="L419" s="15">
        <v>0</v>
      </c>
      <c r="M419" s="15">
        <v>0</v>
      </c>
      <c r="N419" s="16">
        <v>0</v>
      </c>
      <c r="O419" s="2">
        <f t="shared" si="97"/>
        <v>126</v>
      </c>
      <c r="P419" s="2">
        <f t="shared" si="98"/>
        <v>0</v>
      </c>
      <c r="Q419" s="2">
        <f t="shared" si="99"/>
        <v>126</v>
      </c>
      <c r="S419" s="2">
        <f t="shared" si="112"/>
        <v>52.022184690562987</v>
      </c>
      <c r="T419" s="2">
        <f t="shared" si="100"/>
        <v>18.5405436299265</v>
      </c>
      <c r="U419" s="2">
        <f t="shared" si="101"/>
        <v>6.5876656853584983</v>
      </c>
      <c r="V419" s="2">
        <f t="shared" si="102"/>
        <v>8.4213458245819997</v>
      </c>
      <c r="W419" s="2">
        <f t="shared" si="103"/>
        <v>0</v>
      </c>
      <c r="X419" s="2">
        <f t="shared" si="104"/>
        <v>0</v>
      </c>
      <c r="Y419" s="2">
        <f t="shared" si="105"/>
        <v>0</v>
      </c>
      <c r="Z419" s="2">
        <f t="shared" si="106"/>
        <v>0</v>
      </c>
      <c r="AA419" s="2">
        <f t="shared" si="107"/>
        <v>0</v>
      </c>
      <c r="AB419" s="2">
        <f t="shared" si="108"/>
        <v>0</v>
      </c>
      <c r="AC419" s="2">
        <f t="shared" si="109"/>
        <v>85.571739830429991</v>
      </c>
      <c r="AD419" s="2">
        <f t="shared" si="110"/>
        <v>0</v>
      </c>
      <c r="AE419" s="2">
        <f t="shared" si="111"/>
        <v>85.571739830429991</v>
      </c>
    </row>
    <row r="420" spans="1:31">
      <c r="A420" s="1" t="s">
        <v>31</v>
      </c>
      <c r="B420">
        <v>302</v>
      </c>
      <c r="C420" s="5">
        <v>99.992515197299994</v>
      </c>
      <c r="D420" s="5">
        <v>3.88506949825</v>
      </c>
      <c r="E420" s="11">
        <v>63.4</v>
      </c>
      <c r="F420" s="15">
        <v>22.6</v>
      </c>
      <c r="G420" s="15">
        <v>7.9</v>
      </c>
      <c r="H420" s="15">
        <v>5.5</v>
      </c>
      <c r="I420" s="15">
        <v>0</v>
      </c>
      <c r="J420" s="11">
        <v>0</v>
      </c>
      <c r="K420" s="15">
        <v>0</v>
      </c>
      <c r="L420" s="15">
        <v>0</v>
      </c>
      <c r="M420" s="15">
        <v>0</v>
      </c>
      <c r="N420" s="16">
        <v>0</v>
      </c>
      <c r="O420" s="2">
        <f t="shared" si="97"/>
        <v>99.4</v>
      </c>
      <c r="P420" s="2">
        <f t="shared" si="98"/>
        <v>0</v>
      </c>
      <c r="Q420" s="2">
        <f t="shared" si="99"/>
        <v>99.4</v>
      </c>
      <c r="S420" s="2">
        <f t="shared" si="112"/>
        <v>63.395254635088193</v>
      </c>
      <c r="T420" s="2">
        <f t="shared" si="100"/>
        <v>22.5983084345898</v>
      </c>
      <c r="U420" s="2">
        <f t="shared" si="101"/>
        <v>7.8994087005867009</v>
      </c>
      <c r="V420" s="2">
        <f t="shared" si="102"/>
        <v>5.4995883358514996</v>
      </c>
      <c r="W420" s="2">
        <f t="shared" si="103"/>
        <v>0</v>
      </c>
      <c r="X420" s="2">
        <f t="shared" si="104"/>
        <v>0</v>
      </c>
      <c r="Y420" s="2">
        <f t="shared" si="105"/>
        <v>0</v>
      </c>
      <c r="Z420" s="2">
        <f t="shared" si="106"/>
        <v>0</v>
      </c>
      <c r="AA420" s="2">
        <f t="shared" si="107"/>
        <v>0</v>
      </c>
      <c r="AB420" s="2">
        <f t="shared" si="108"/>
        <v>0</v>
      </c>
      <c r="AC420" s="2">
        <f t="shared" si="109"/>
        <v>99.392560106116193</v>
      </c>
      <c r="AD420" s="2">
        <f t="shared" si="110"/>
        <v>0</v>
      </c>
      <c r="AE420" s="2">
        <f t="shared" si="111"/>
        <v>99.392560106116193</v>
      </c>
    </row>
    <row r="421" spans="1:31">
      <c r="A421" s="1" t="s">
        <v>31</v>
      </c>
      <c r="B421">
        <v>303</v>
      </c>
      <c r="C421" s="5">
        <v>98.507776137500002</v>
      </c>
      <c r="D421" s="5">
        <v>2.69919352894</v>
      </c>
      <c r="E421" s="11">
        <v>0</v>
      </c>
      <c r="F421" s="15">
        <v>0</v>
      </c>
      <c r="G421" s="15">
        <v>0</v>
      </c>
      <c r="H421" s="15">
        <v>0</v>
      </c>
      <c r="I421" s="15">
        <v>0</v>
      </c>
      <c r="J421" s="11">
        <v>0</v>
      </c>
      <c r="K421" s="15">
        <v>0</v>
      </c>
      <c r="L421" s="15">
        <v>0</v>
      </c>
      <c r="M421" s="15">
        <v>0</v>
      </c>
      <c r="N421" s="16">
        <v>0</v>
      </c>
      <c r="O421" s="2">
        <f t="shared" si="97"/>
        <v>0</v>
      </c>
      <c r="P421" s="2">
        <f t="shared" si="98"/>
        <v>0</v>
      </c>
      <c r="Q421" s="2">
        <f t="shared" si="99"/>
        <v>0</v>
      </c>
      <c r="S421" s="2">
        <f t="shared" si="112"/>
        <v>0</v>
      </c>
      <c r="T421" s="2">
        <f t="shared" si="100"/>
        <v>0</v>
      </c>
      <c r="U421" s="2">
        <f t="shared" si="101"/>
        <v>0</v>
      </c>
      <c r="V421" s="2">
        <f t="shared" si="102"/>
        <v>0</v>
      </c>
      <c r="W421" s="2">
        <f t="shared" si="103"/>
        <v>0</v>
      </c>
      <c r="X421" s="2">
        <f t="shared" si="104"/>
        <v>0</v>
      </c>
      <c r="Y421" s="2">
        <f t="shared" si="105"/>
        <v>0</v>
      </c>
      <c r="Z421" s="2">
        <f t="shared" si="106"/>
        <v>0</v>
      </c>
      <c r="AA421" s="2">
        <f t="shared" si="107"/>
        <v>0</v>
      </c>
      <c r="AB421" s="2">
        <f t="shared" si="108"/>
        <v>0</v>
      </c>
      <c r="AC421" s="2">
        <f t="shared" si="109"/>
        <v>0</v>
      </c>
      <c r="AD421" s="2">
        <f t="shared" si="110"/>
        <v>0</v>
      </c>
      <c r="AE421" s="2">
        <f t="shared" si="111"/>
        <v>0</v>
      </c>
    </row>
    <row r="422" spans="1:31">
      <c r="A422" s="1" t="s">
        <v>31</v>
      </c>
      <c r="B422">
        <v>304</v>
      </c>
      <c r="C422" s="5">
        <v>99.999855548200003</v>
      </c>
      <c r="D422" s="5">
        <v>26.9787841401</v>
      </c>
      <c r="E422" s="11">
        <v>0</v>
      </c>
      <c r="F422" s="15">
        <v>0</v>
      </c>
      <c r="G422" s="15">
        <v>0</v>
      </c>
      <c r="H422" s="15">
        <v>0</v>
      </c>
      <c r="I422" s="15">
        <v>0</v>
      </c>
      <c r="J422" s="11">
        <v>0</v>
      </c>
      <c r="K422" s="15">
        <v>0</v>
      </c>
      <c r="L422" s="15">
        <v>0</v>
      </c>
      <c r="M422" s="15">
        <v>0</v>
      </c>
      <c r="N422" s="16">
        <v>0</v>
      </c>
      <c r="O422" s="2">
        <f t="shared" si="97"/>
        <v>0</v>
      </c>
      <c r="P422" s="2">
        <f t="shared" si="98"/>
        <v>0</v>
      </c>
      <c r="Q422" s="2">
        <f t="shared" si="99"/>
        <v>0</v>
      </c>
      <c r="S422" s="2">
        <f t="shared" si="112"/>
        <v>0</v>
      </c>
      <c r="T422" s="2">
        <f t="shared" si="100"/>
        <v>0</v>
      </c>
      <c r="U422" s="2">
        <f t="shared" si="101"/>
        <v>0</v>
      </c>
      <c r="V422" s="2">
        <f t="shared" si="102"/>
        <v>0</v>
      </c>
      <c r="W422" s="2">
        <f t="shared" si="103"/>
        <v>0</v>
      </c>
      <c r="X422" s="2">
        <f t="shared" si="104"/>
        <v>0</v>
      </c>
      <c r="Y422" s="2">
        <f t="shared" si="105"/>
        <v>0</v>
      </c>
      <c r="Z422" s="2">
        <f t="shared" si="106"/>
        <v>0</v>
      </c>
      <c r="AA422" s="2">
        <f t="shared" si="107"/>
        <v>0</v>
      </c>
      <c r="AB422" s="2">
        <f t="shared" si="108"/>
        <v>0</v>
      </c>
      <c r="AC422" s="2">
        <f t="shared" si="109"/>
        <v>0</v>
      </c>
      <c r="AD422" s="2">
        <f t="shared" si="110"/>
        <v>0</v>
      </c>
      <c r="AE422" s="2">
        <f t="shared" si="111"/>
        <v>0</v>
      </c>
    </row>
    <row r="423" spans="1:31">
      <c r="A423" s="1" t="s">
        <v>31</v>
      </c>
      <c r="B423">
        <v>305</v>
      </c>
      <c r="C423" s="5">
        <v>99.9934713233</v>
      </c>
      <c r="D423" s="5">
        <v>7.47540351523</v>
      </c>
      <c r="E423" s="11">
        <v>0</v>
      </c>
      <c r="F423" s="15">
        <v>0</v>
      </c>
      <c r="G423" s="15">
        <v>0</v>
      </c>
      <c r="H423" s="15">
        <v>0</v>
      </c>
      <c r="I423" s="15">
        <v>0</v>
      </c>
      <c r="J423" s="11">
        <v>0</v>
      </c>
      <c r="K423" s="15">
        <v>0</v>
      </c>
      <c r="L423" s="15">
        <v>0</v>
      </c>
      <c r="M423" s="15">
        <v>0</v>
      </c>
      <c r="N423" s="16">
        <v>0</v>
      </c>
      <c r="O423" s="2">
        <f t="shared" si="97"/>
        <v>0</v>
      </c>
      <c r="P423" s="2">
        <f t="shared" si="98"/>
        <v>0</v>
      </c>
      <c r="Q423" s="2">
        <f t="shared" si="99"/>
        <v>0</v>
      </c>
      <c r="S423" s="2">
        <f t="shared" si="112"/>
        <v>0</v>
      </c>
      <c r="T423" s="2">
        <f t="shared" si="100"/>
        <v>0</v>
      </c>
      <c r="U423" s="2">
        <f t="shared" si="101"/>
        <v>0</v>
      </c>
      <c r="V423" s="2">
        <f t="shared" si="102"/>
        <v>0</v>
      </c>
      <c r="W423" s="2">
        <f t="shared" si="103"/>
        <v>0</v>
      </c>
      <c r="X423" s="2">
        <f t="shared" si="104"/>
        <v>0</v>
      </c>
      <c r="Y423" s="2">
        <f t="shared" si="105"/>
        <v>0</v>
      </c>
      <c r="Z423" s="2">
        <f t="shared" si="106"/>
        <v>0</v>
      </c>
      <c r="AA423" s="2">
        <f t="shared" si="107"/>
        <v>0</v>
      </c>
      <c r="AB423" s="2">
        <f t="shared" si="108"/>
        <v>0</v>
      </c>
      <c r="AC423" s="2">
        <f t="shared" si="109"/>
        <v>0</v>
      </c>
      <c r="AD423" s="2">
        <f t="shared" si="110"/>
        <v>0</v>
      </c>
      <c r="AE423" s="2">
        <f t="shared" si="111"/>
        <v>0</v>
      </c>
    </row>
    <row r="424" spans="1:31">
      <c r="A424" s="1" t="s">
        <v>31</v>
      </c>
      <c r="B424">
        <v>306</v>
      </c>
      <c r="C424" s="5">
        <v>100</v>
      </c>
      <c r="D424" s="5">
        <v>4.8487210637000002</v>
      </c>
      <c r="E424" s="11">
        <v>0</v>
      </c>
      <c r="F424" s="15">
        <v>0</v>
      </c>
      <c r="G424" s="15">
        <v>0</v>
      </c>
      <c r="H424" s="15">
        <v>0</v>
      </c>
      <c r="I424" s="15">
        <v>0</v>
      </c>
      <c r="J424" s="11">
        <v>0</v>
      </c>
      <c r="K424" s="15">
        <v>0</v>
      </c>
      <c r="L424" s="15">
        <v>0</v>
      </c>
      <c r="M424" s="15">
        <v>0</v>
      </c>
      <c r="N424" s="16">
        <v>0</v>
      </c>
      <c r="O424" s="2">
        <f t="shared" si="97"/>
        <v>0</v>
      </c>
      <c r="P424" s="2">
        <f t="shared" si="98"/>
        <v>0</v>
      </c>
      <c r="Q424" s="2">
        <f t="shared" si="99"/>
        <v>0</v>
      </c>
      <c r="S424" s="2">
        <f t="shared" si="112"/>
        <v>0</v>
      </c>
      <c r="T424" s="2">
        <f t="shared" si="100"/>
        <v>0</v>
      </c>
      <c r="U424" s="2">
        <f t="shared" si="101"/>
        <v>0</v>
      </c>
      <c r="V424" s="2">
        <f t="shared" si="102"/>
        <v>0</v>
      </c>
      <c r="W424" s="2">
        <f t="shared" si="103"/>
        <v>0</v>
      </c>
      <c r="X424" s="2">
        <f t="shared" si="104"/>
        <v>0</v>
      </c>
      <c r="Y424" s="2">
        <f t="shared" si="105"/>
        <v>0</v>
      </c>
      <c r="Z424" s="2">
        <f t="shared" si="106"/>
        <v>0</v>
      </c>
      <c r="AA424" s="2">
        <f t="shared" si="107"/>
        <v>0</v>
      </c>
      <c r="AB424" s="2">
        <f t="shared" si="108"/>
        <v>0</v>
      </c>
      <c r="AC424" s="2">
        <f t="shared" si="109"/>
        <v>0</v>
      </c>
      <c r="AD424" s="2">
        <f t="shared" si="110"/>
        <v>0</v>
      </c>
      <c r="AE424" s="2">
        <f t="shared" si="111"/>
        <v>0</v>
      </c>
    </row>
    <row r="425" spans="1:31">
      <c r="A425" s="1" t="s">
        <v>31</v>
      </c>
      <c r="B425">
        <v>307</v>
      </c>
      <c r="C425" s="5">
        <v>100</v>
      </c>
      <c r="D425" s="5">
        <v>4.87939588324</v>
      </c>
      <c r="E425" s="11">
        <v>0</v>
      </c>
      <c r="F425" s="15">
        <v>0</v>
      </c>
      <c r="G425" s="15">
        <v>0</v>
      </c>
      <c r="H425" s="15">
        <v>0</v>
      </c>
      <c r="I425" s="15">
        <v>0</v>
      </c>
      <c r="J425" s="11">
        <v>0</v>
      </c>
      <c r="K425" s="15">
        <v>0</v>
      </c>
      <c r="L425" s="15">
        <v>0</v>
      </c>
      <c r="M425" s="15">
        <v>3511.7799999999997</v>
      </c>
      <c r="N425" s="16">
        <v>0</v>
      </c>
      <c r="O425" s="2">
        <f t="shared" si="97"/>
        <v>0</v>
      </c>
      <c r="P425" s="2">
        <f t="shared" si="98"/>
        <v>3511.7799999999997</v>
      </c>
      <c r="Q425" s="2">
        <f t="shared" si="99"/>
        <v>3511.7799999999997</v>
      </c>
      <c r="S425" s="2">
        <f t="shared" si="112"/>
        <v>0</v>
      </c>
      <c r="T425" s="2">
        <f t="shared" si="100"/>
        <v>0</v>
      </c>
      <c r="U425" s="2">
        <f t="shared" si="101"/>
        <v>0</v>
      </c>
      <c r="V425" s="2">
        <f t="shared" si="102"/>
        <v>0</v>
      </c>
      <c r="W425" s="2">
        <f t="shared" si="103"/>
        <v>0</v>
      </c>
      <c r="X425" s="2">
        <f t="shared" si="104"/>
        <v>0</v>
      </c>
      <c r="Y425" s="2">
        <f t="shared" si="105"/>
        <v>0</v>
      </c>
      <c r="Z425" s="2">
        <f t="shared" si="106"/>
        <v>0</v>
      </c>
      <c r="AA425" s="2">
        <f t="shared" si="107"/>
        <v>3511.78</v>
      </c>
      <c r="AB425" s="2">
        <f t="shared" si="108"/>
        <v>0</v>
      </c>
      <c r="AC425" s="2">
        <f t="shared" si="109"/>
        <v>0</v>
      </c>
      <c r="AD425" s="2">
        <f t="shared" si="110"/>
        <v>3511.78</v>
      </c>
      <c r="AE425" s="2">
        <f t="shared" si="111"/>
        <v>3511.78</v>
      </c>
    </row>
    <row r="426" spans="1:31">
      <c r="A426" s="1" t="s">
        <v>32</v>
      </c>
      <c r="B426">
        <v>177</v>
      </c>
      <c r="C426" s="5">
        <v>15.2435336744</v>
      </c>
      <c r="D426" s="5">
        <v>0.95651378755600003</v>
      </c>
      <c r="E426" s="11">
        <v>0</v>
      </c>
      <c r="F426" s="15">
        <v>0.8</v>
      </c>
      <c r="G426" s="15">
        <v>0</v>
      </c>
      <c r="H426" s="15">
        <v>0</v>
      </c>
      <c r="I426" s="15">
        <v>0</v>
      </c>
      <c r="J426" s="11">
        <v>0</v>
      </c>
      <c r="K426" s="15">
        <v>0</v>
      </c>
      <c r="L426" s="15">
        <v>0</v>
      </c>
      <c r="M426" s="15">
        <v>0</v>
      </c>
      <c r="N426" s="16">
        <v>0</v>
      </c>
      <c r="O426" s="2">
        <f t="shared" si="97"/>
        <v>0.8</v>
      </c>
      <c r="P426" s="2">
        <f t="shared" si="98"/>
        <v>0</v>
      </c>
      <c r="Q426" s="2">
        <f t="shared" si="99"/>
        <v>0.8</v>
      </c>
      <c r="S426" s="2">
        <f t="shared" si="112"/>
        <v>0</v>
      </c>
      <c r="T426" s="2">
        <f t="shared" si="100"/>
        <v>0.12194826939520001</v>
      </c>
      <c r="U426" s="2">
        <f t="shared" si="101"/>
        <v>0</v>
      </c>
      <c r="V426" s="2">
        <f t="shared" si="102"/>
        <v>0</v>
      </c>
      <c r="W426" s="2">
        <f t="shared" si="103"/>
        <v>0</v>
      </c>
      <c r="X426" s="2">
        <f t="shared" si="104"/>
        <v>0</v>
      </c>
      <c r="Y426" s="2">
        <f t="shared" si="105"/>
        <v>0</v>
      </c>
      <c r="Z426" s="2">
        <f t="shared" si="106"/>
        <v>0</v>
      </c>
      <c r="AA426" s="2">
        <f t="shared" si="107"/>
        <v>0</v>
      </c>
      <c r="AB426" s="2">
        <f t="shared" si="108"/>
        <v>0</v>
      </c>
      <c r="AC426" s="2">
        <f t="shared" si="109"/>
        <v>0.12194826939520001</v>
      </c>
      <c r="AD426" s="2">
        <f t="shared" si="110"/>
        <v>0</v>
      </c>
      <c r="AE426" s="2">
        <f t="shared" si="111"/>
        <v>0.12194826939520001</v>
      </c>
    </row>
    <row r="427" spans="1:31">
      <c r="A427" s="1" t="s">
        <v>32</v>
      </c>
      <c r="B427">
        <v>183</v>
      </c>
      <c r="C427" s="5">
        <v>11.3370350594</v>
      </c>
      <c r="D427" s="5">
        <v>0.895298430315</v>
      </c>
      <c r="E427" s="11">
        <v>0</v>
      </c>
      <c r="F427" s="15">
        <v>4</v>
      </c>
      <c r="G427" s="15">
        <v>0</v>
      </c>
      <c r="H427" s="15">
        <v>0</v>
      </c>
      <c r="I427" s="15">
        <v>0</v>
      </c>
      <c r="J427" s="11">
        <v>0</v>
      </c>
      <c r="K427" s="15">
        <v>0</v>
      </c>
      <c r="L427" s="15">
        <v>0</v>
      </c>
      <c r="M427" s="15">
        <v>0</v>
      </c>
      <c r="N427" s="16">
        <v>0</v>
      </c>
      <c r="O427" s="2">
        <f t="shared" si="97"/>
        <v>4</v>
      </c>
      <c r="P427" s="2">
        <f t="shared" si="98"/>
        <v>0</v>
      </c>
      <c r="Q427" s="2">
        <f t="shared" si="99"/>
        <v>4</v>
      </c>
      <c r="S427" s="2">
        <f t="shared" si="112"/>
        <v>0</v>
      </c>
      <c r="T427" s="2">
        <f t="shared" si="100"/>
        <v>0.45348140237599999</v>
      </c>
      <c r="U427" s="2">
        <f t="shared" si="101"/>
        <v>0</v>
      </c>
      <c r="V427" s="2">
        <f t="shared" si="102"/>
        <v>0</v>
      </c>
      <c r="W427" s="2">
        <f t="shared" si="103"/>
        <v>0</v>
      </c>
      <c r="X427" s="2">
        <f t="shared" si="104"/>
        <v>0</v>
      </c>
      <c r="Y427" s="2">
        <f t="shared" si="105"/>
        <v>0</v>
      </c>
      <c r="Z427" s="2">
        <f t="shared" si="106"/>
        <v>0</v>
      </c>
      <c r="AA427" s="2">
        <f t="shared" si="107"/>
        <v>0</v>
      </c>
      <c r="AB427" s="2">
        <f t="shared" si="108"/>
        <v>0</v>
      </c>
      <c r="AC427" s="2">
        <f t="shared" si="109"/>
        <v>0.45348140237599999</v>
      </c>
      <c r="AD427" s="2">
        <f t="shared" si="110"/>
        <v>0</v>
      </c>
      <c r="AE427" s="2">
        <f t="shared" si="111"/>
        <v>0.45348140237599999</v>
      </c>
    </row>
    <row r="428" spans="1:31">
      <c r="A428" s="1" t="s">
        <v>32</v>
      </c>
      <c r="B428">
        <v>191</v>
      </c>
      <c r="C428" s="5">
        <v>99.999720756299993</v>
      </c>
      <c r="D428" s="5">
        <v>17.438906051</v>
      </c>
      <c r="E428" s="11">
        <v>1126.2175200000001</v>
      </c>
      <c r="F428" s="15">
        <v>250.80004599999998</v>
      </c>
      <c r="G428" s="15">
        <v>41.4</v>
      </c>
      <c r="H428" s="15">
        <v>0.2</v>
      </c>
      <c r="I428" s="15">
        <v>0</v>
      </c>
      <c r="J428" s="11">
        <v>0</v>
      </c>
      <c r="K428" s="15">
        <v>0</v>
      </c>
      <c r="L428" s="15">
        <v>0</v>
      </c>
      <c r="M428" s="15">
        <v>0</v>
      </c>
      <c r="N428" s="16">
        <v>0</v>
      </c>
      <c r="O428" s="2">
        <f t="shared" si="97"/>
        <v>1418.6175660000004</v>
      </c>
      <c r="P428" s="2">
        <f t="shared" si="98"/>
        <v>0</v>
      </c>
      <c r="Q428" s="2">
        <f t="shared" si="99"/>
        <v>1418.6175660000004</v>
      </c>
      <c r="S428" s="2">
        <f t="shared" si="112"/>
        <v>1126.2143751085271</v>
      </c>
      <c r="T428" s="2">
        <f t="shared" si="100"/>
        <v>250.7993456566719</v>
      </c>
      <c r="U428" s="2">
        <f t="shared" si="101"/>
        <v>41.399884393108195</v>
      </c>
      <c r="V428" s="2">
        <f t="shared" si="102"/>
        <v>0.19999944151259999</v>
      </c>
      <c r="W428" s="2">
        <f t="shared" si="103"/>
        <v>0</v>
      </c>
      <c r="X428" s="2">
        <f t="shared" si="104"/>
        <v>0</v>
      </c>
      <c r="Y428" s="2">
        <f t="shared" si="105"/>
        <v>0</v>
      </c>
      <c r="Z428" s="2">
        <f t="shared" si="106"/>
        <v>0</v>
      </c>
      <c r="AA428" s="2">
        <f t="shared" si="107"/>
        <v>0</v>
      </c>
      <c r="AB428" s="2">
        <f t="shared" si="108"/>
        <v>0</v>
      </c>
      <c r="AC428" s="2">
        <f t="shared" si="109"/>
        <v>1418.6136045998201</v>
      </c>
      <c r="AD428" s="2">
        <f t="shared" si="110"/>
        <v>0</v>
      </c>
      <c r="AE428" s="2">
        <f t="shared" si="111"/>
        <v>1418.6136045998201</v>
      </c>
    </row>
    <row r="429" spans="1:31">
      <c r="A429" s="1" t="s">
        <v>32</v>
      </c>
      <c r="B429">
        <v>192</v>
      </c>
      <c r="C429" s="5">
        <v>99.999757826999996</v>
      </c>
      <c r="D429" s="5">
        <v>15.1566792682</v>
      </c>
      <c r="E429" s="11">
        <v>1177.8769</v>
      </c>
      <c r="F429" s="15">
        <v>0</v>
      </c>
      <c r="G429" s="15">
        <v>0</v>
      </c>
      <c r="H429" s="15">
        <v>0</v>
      </c>
      <c r="I429" s="15">
        <v>0</v>
      </c>
      <c r="J429" s="11">
        <v>0</v>
      </c>
      <c r="K429" s="15">
        <v>0</v>
      </c>
      <c r="L429" s="15">
        <v>0</v>
      </c>
      <c r="M429" s="15">
        <v>0</v>
      </c>
      <c r="N429" s="16">
        <v>0</v>
      </c>
      <c r="O429" s="2">
        <f t="shared" si="97"/>
        <v>1177.8769</v>
      </c>
      <c r="P429" s="2">
        <f t="shared" si="98"/>
        <v>0</v>
      </c>
      <c r="Q429" s="2">
        <f t="shared" si="99"/>
        <v>1177.8769</v>
      </c>
      <c r="S429" s="2">
        <f t="shared" si="112"/>
        <v>1177.874047500175</v>
      </c>
      <c r="T429" s="2">
        <f t="shared" si="100"/>
        <v>0</v>
      </c>
      <c r="U429" s="2">
        <f t="shared" si="101"/>
        <v>0</v>
      </c>
      <c r="V429" s="2">
        <f t="shared" si="102"/>
        <v>0</v>
      </c>
      <c r="W429" s="2">
        <f t="shared" si="103"/>
        <v>0</v>
      </c>
      <c r="X429" s="2">
        <f t="shared" si="104"/>
        <v>0</v>
      </c>
      <c r="Y429" s="2">
        <f t="shared" si="105"/>
        <v>0</v>
      </c>
      <c r="Z429" s="2">
        <f t="shared" si="106"/>
        <v>0</v>
      </c>
      <c r="AA429" s="2">
        <f t="shared" si="107"/>
        <v>0</v>
      </c>
      <c r="AB429" s="2">
        <f t="shared" si="108"/>
        <v>0</v>
      </c>
      <c r="AC429" s="2">
        <f t="shared" si="109"/>
        <v>1177.874047500175</v>
      </c>
      <c r="AD429" s="2">
        <f t="shared" si="110"/>
        <v>0</v>
      </c>
      <c r="AE429" s="2">
        <f t="shared" si="111"/>
        <v>1177.874047500175</v>
      </c>
    </row>
    <row r="430" spans="1:31">
      <c r="A430" s="1" t="s">
        <v>32</v>
      </c>
      <c r="B430">
        <v>193</v>
      </c>
      <c r="C430" s="5">
        <v>99.999269698800006</v>
      </c>
      <c r="D430" s="5">
        <v>12.0409325814</v>
      </c>
      <c r="E430" s="11">
        <v>313.24779999999998</v>
      </c>
      <c r="F430" s="15">
        <v>0</v>
      </c>
      <c r="G430" s="15">
        <v>0</v>
      </c>
      <c r="H430" s="15">
        <v>0</v>
      </c>
      <c r="I430" s="15">
        <v>0</v>
      </c>
      <c r="J430" s="11">
        <v>0</v>
      </c>
      <c r="K430" s="15">
        <v>0</v>
      </c>
      <c r="L430" s="15">
        <v>0</v>
      </c>
      <c r="M430" s="15">
        <v>0</v>
      </c>
      <c r="N430" s="16">
        <v>0</v>
      </c>
      <c r="O430" s="2">
        <f t="shared" si="97"/>
        <v>313.24779999999998</v>
      </c>
      <c r="P430" s="2">
        <f t="shared" si="98"/>
        <v>0</v>
      </c>
      <c r="Q430" s="2">
        <f t="shared" si="99"/>
        <v>313.24779999999998</v>
      </c>
      <c r="S430" s="2">
        <f t="shared" si="112"/>
        <v>313.24551234755762</v>
      </c>
      <c r="T430" s="2">
        <f t="shared" si="100"/>
        <v>0</v>
      </c>
      <c r="U430" s="2">
        <f t="shared" si="101"/>
        <v>0</v>
      </c>
      <c r="V430" s="2">
        <f t="shared" si="102"/>
        <v>0</v>
      </c>
      <c r="W430" s="2">
        <f t="shared" si="103"/>
        <v>0</v>
      </c>
      <c r="X430" s="2">
        <f t="shared" si="104"/>
        <v>0</v>
      </c>
      <c r="Y430" s="2">
        <f t="shared" si="105"/>
        <v>0</v>
      </c>
      <c r="Z430" s="2">
        <f t="shared" si="106"/>
        <v>0</v>
      </c>
      <c r="AA430" s="2">
        <f t="shared" si="107"/>
        <v>0</v>
      </c>
      <c r="AB430" s="2">
        <f t="shared" si="108"/>
        <v>0</v>
      </c>
      <c r="AC430" s="2">
        <f t="shared" si="109"/>
        <v>313.24551234755762</v>
      </c>
      <c r="AD430" s="2">
        <f t="shared" si="110"/>
        <v>0</v>
      </c>
      <c r="AE430" s="2">
        <f t="shared" si="111"/>
        <v>313.24551234755762</v>
      </c>
    </row>
    <row r="431" spans="1:31">
      <c r="A431" s="1" t="s">
        <v>32</v>
      </c>
      <c r="B431">
        <v>194</v>
      </c>
      <c r="C431" s="5">
        <v>54.895457696900003</v>
      </c>
      <c r="D431" s="5">
        <v>5.8569428565699999</v>
      </c>
      <c r="E431" s="11">
        <v>30</v>
      </c>
      <c r="F431" s="15">
        <v>0</v>
      </c>
      <c r="G431" s="15">
        <v>0</v>
      </c>
      <c r="H431" s="15">
        <v>0</v>
      </c>
      <c r="I431" s="15">
        <v>0</v>
      </c>
      <c r="J431" s="11">
        <v>0</v>
      </c>
      <c r="K431" s="15">
        <v>0</v>
      </c>
      <c r="L431" s="15">
        <v>0</v>
      </c>
      <c r="M431" s="15">
        <v>0</v>
      </c>
      <c r="N431" s="16">
        <v>0</v>
      </c>
      <c r="O431" s="2">
        <f t="shared" si="97"/>
        <v>30</v>
      </c>
      <c r="P431" s="2">
        <f t="shared" si="98"/>
        <v>0</v>
      </c>
      <c r="Q431" s="2">
        <f t="shared" si="99"/>
        <v>30</v>
      </c>
      <c r="S431" s="2">
        <f t="shared" si="112"/>
        <v>16.468637309070001</v>
      </c>
      <c r="T431" s="2">
        <f t="shared" si="100"/>
        <v>0</v>
      </c>
      <c r="U431" s="2">
        <f t="shared" si="101"/>
        <v>0</v>
      </c>
      <c r="V431" s="2">
        <f t="shared" si="102"/>
        <v>0</v>
      </c>
      <c r="W431" s="2">
        <f t="shared" si="103"/>
        <v>0</v>
      </c>
      <c r="X431" s="2">
        <f t="shared" si="104"/>
        <v>0</v>
      </c>
      <c r="Y431" s="2">
        <f t="shared" si="105"/>
        <v>0</v>
      </c>
      <c r="Z431" s="2">
        <f t="shared" si="106"/>
        <v>0</v>
      </c>
      <c r="AA431" s="2">
        <f t="shared" si="107"/>
        <v>0</v>
      </c>
      <c r="AB431" s="2">
        <f t="shared" si="108"/>
        <v>0</v>
      </c>
      <c r="AC431" s="2">
        <f t="shared" si="109"/>
        <v>16.468637309070001</v>
      </c>
      <c r="AD431" s="2">
        <f t="shared" si="110"/>
        <v>0</v>
      </c>
      <c r="AE431" s="2">
        <f t="shared" si="111"/>
        <v>16.468637309070001</v>
      </c>
    </row>
    <row r="432" spans="1:31">
      <c r="A432" s="1" t="s">
        <v>32</v>
      </c>
      <c r="B432">
        <v>195</v>
      </c>
      <c r="C432" s="5">
        <v>99.993582952500006</v>
      </c>
      <c r="D432" s="5">
        <v>3.7011211354300002</v>
      </c>
      <c r="E432" s="11">
        <v>0</v>
      </c>
      <c r="F432" s="15">
        <v>0</v>
      </c>
      <c r="G432" s="15">
        <v>0</v>
      </c>
      <c r="H432" s="15">
        <v>0</v>
      </c>
      <c r="I432" s="15">
        <v>0</v>
      </c>
      <c r="J432" s="11">
        <v>0</v>
      </c>
      <c r="K432" s="15">
        <v>0</v>
      </c>
      <c r="L432" s="15">
        <v>0</v>
      </c>
      <c r="M432" s="15">
        <v>0</v>
      </c>
      <c r="N432" s="16">
        <v>0</v>
      </c>
      <c r="O432" s="2">
        <f t="shared" si="97"/>
        <v>0</v>
      </c>
      <c r="P432" s="2">
        <f t="shared" si="98"/>
        <v>0</v>
      </c>
      <c r="Q432" s="2">
        <f t="shared" si="99"/>
        <v>0</v>
      </c>
      <c r="S432" s="2">
        <f t="shared" si="112"/>
        <v>0</v>
      </c>
      <c r="T432" s="2">
        <f t="shared" si="100"/>
        <v>0</v>
      </c>
      <c r="U432" s="2">
        <f t="shared" si="101"/>
        <v>0</v>
      </c>
      <c r="V432" s="2">
        <f t="shared" si="102"/>
        <v>0</v>
      </c>
      <c r="W432" s="2">
        <f t="shared" si="103"/>
        <v>0</v>
      </c>
      <c r="X432" s="2">
        <f t="shared" si="104"/>
        <v>0</v>
      </c>
      <c r="Y432" s="2">
        <f t="shared" si="105"/>
        <v>0</v>
      </c>
      <c r="Z432" s="2">
        <f t="shared" si="106"/>
        <v>0</v>
      </c>
      <c r="AA432" s="2">
        <f t="shared" si="107"/>
        <v>0</v>
      </c>
      <c r="AB432" s="2">
        <f t="shared" si="108"/>
        <v>0</v>
      </c>
      <c r="AC432" s="2">
        <f t="shared" si="109"/>
        <v>0</v>
      </c>
      <c r="AD432" s="2">
        <f t="shared" si="110"/>
        <v>0</v>
      </c>
      <c r="AE432" s="2">
        <f t="shared" si="111"/>
        <v>0</v>
      </c>
    </row>
    <row r="433" spans="1:31">
      <c r="A433" s="1" t="s">
        <v>32</v>
      </c>
      <c r="B433">
        <v>196</v>
      </c>
      <c r="C433" s="5">
        <v>100</v>
      </c>
      <c r="D433" s="5">
        <v>2.3524979881900001</v>
      </c>
      <c r="E433" s="11">
        <v>0</v>
      </c>
      <c r="F433" s="15">
        <v>0</v>
      </c>
      <c r="G433" s="15">
        <v>0</v>
      </c>
      <c r="H433" s="15">
        <v>0</v>
      </c>
      <c r="I433" s="15">
        <v>0</v>
      </c>
      <c r="J433" s="11">
        <v>0</v>
      </c>
      <c r="K433" s="15">
        <v>0</v>
      </c>
      <c r="L433" s="15">
        <v>0</v>
      </c>
      <c r="M433" s="15">
        <v>0</v>
      </c>
      <c r="N433" s="16">
        <v>0</v>
      </c>
      <c r="O433" s="2">
        <f t="shared" si="97"/>
        <v>0</v>
      </c>
      <c r="P433" s="2">
        <f t="shared" si="98"/>
        <v>0</v>
      </c>
      <c r="Q433" s="2">
        <f t="shared" si="99"/>
        <v>0</v>
      </c>
      <c r="S433" s="2">
        <f t="shared" si="112"/>
        <v>0</v>
      </c>
      <c r="T433" s="2">
        <f t="shared" si="100"/>
        <v>0</v>
      </c>
      <c r="U433" s="2">
        <f t="shared" si="101"/>
        <v>0</v>
      </c>
      <c r="V433" s="2">
        <f t="shared" si="102"/>
        <v>0</v>
      </c>
      <c r="W433" s="2">
        <f t="shared" si="103"/>
        <v>0</v>
      </c>
      <c r="X433" s="2">
        <f t="shared" si="104"/>
        <v>0</v>
      </c>
      <c r="Y433" s="2">
        <f t="shared" si="105"/>
        <v>0</v>
      </c>
      <c r="Z433" s="2">
        <f t="shared" si="106"/>
        <v>0</v>
      </c>
      <c r="AA433" s="2">
        <f t="shared" si="107"/>
        <v>0</v>
      </c>
      <c r="AB433" s="2">
        <f t="shared" si="108"/>
        <v>0</v>
      </c>
      <c r="AC433" s="2">
        <f t="shared" si="109"/>
        <v>0</v>
      </c>
      <c r="AD433" s="2">
        <f t="shared" si="110"/>
        <v>0</v>
      </c>
      <c r="AE433" s="2">
        <f t="shared" si="111"/>
        <v>0</v>
      </c>
    </row>
    <row r="434" spans="1:31">
      <c r="A434" s="1" t="s">
        <v>32</v>
      </c>
      <c r="B434">
        <v>197</v>
      </c>
      <c r="C434" s="5">
        <v>100</v>
      </c>
      <c r="D434" s="5">
        <v>2.8502367945499998</v>
      </c>
      <c r="E434" s="11">
        <v>21.66</v>
      </c>
      <c r="F434" s="15">
        <v>0</v>
      </c>
      <c r="G434" s="15">
        <v>0</v>
      </c>
      <c r="H434" s="15">
        <v>0</v>
      </c>
      <c r="I434" s="15">
        <v>0</v>
      </c>
      <c r="J434" s="11">
        <v>0</v>
      </c>
      <c r="K434" s="15">
        <v>0</v>
      </c>
      <c r="L434" s="15">
        <v>0</v>
      </c>
      <c r="M434" s="15">
        <v>0</v>
      </c>
      <c r="N434" s="16">
        <v>0</v>
      </c>
      <c r="O434" s="2">
        <f t="shared" si="97"/>
        <v>21.66</v>
      </c>
      <c r="P434" s="2">
        <f t="shared" si="98"/>
        <v>0</v>
      </c>
      <c r="Q434" s="2">
        <f t="shared" si="99"/>
        <v>21.66</v>
      </c>
      <c r="S434" s="2">
        <f t="shared" si="112"/>
        <v>21.66</v>
      </c>
      <c r="T434" s="2">
        <f t="shared" si="100"/>
        <v>0</v>
      </c>
      <c r="U434" s="2">
        <f t="shared" si="101"/>
        <v>0</v>
      </c>
      <c r="V434" s="2">
        <f t="shared" si="102"/>
        <v>0</v>
      </c>
      <c r="W434" s="2">
        <f t="shared" si="103"/>
        <v>0</v>
      </c>
      <c r="X434" s="2">
        <f t="shared" si="104"/>
        <v>0</v>
      </c>
      <c r="Y434" s="2">
        <f t="shared" si="105"/>
        <v>0</v>
      </c>
      <c r="Z434" s="2">
        <f t="shared" si="106"/>
        <v>0</v>
      </c>
      <c r="AA434" s="2">
        <f t="shared" si="107"/>
        <v>0</v>
      </c>
      <c r="AB434" s="2">
        <f t="shared" si="108"/>
        <v>0</v>
      </c>
      <c r="AC434" s="2">
        <f t="shared" si="109"/>
        <v>21.66</v>
      </c>
      <c r="AD434" s="2">
        <f t="shared" si="110"/>
        <v>0</v>
      </c>
      <c r="AE434" s="2">
        <f t="shared" si="111"/>
        <v>21.66</v>
      </c>
    </row>
    <row r="435" spans="1:31">
      <c r="A435" s="1" t="s">
        <v>32</v>
      </c>
      <c r="B435">
        <v>198</v>
      </c>
      <c r="C435" s="5">
        <v>99.980338221099998</v>
      </c>
      <c r="D435" s="5">
        <v>5.5018329488499997</v>
      </c>
      <c r="E435" s="11">
        <v>0</v>
      </c>
      <c r="F435" s="15">
        <v>0</v>
      </c>
      <c r="G435" s="15">
        <v>0</v>
      </c>
      <c r="H435" s="15">
        <v>0</v>
      </c>
      <c r="I435" s="15">
        <v>0</v>
      </c>
      <c r="J435" s="11">
        <v>0</v>
      </c>
      <c r="K435" s="15">
        <v>0</v>
      </c>
      <c r="L435" s="15">
        <v>0</v>
      </c>
      <c r="M435" s="15">
        <v>0</v>
      </c>
      <c r="N435" s="16">
        <v>0</v>
      </c>
      <c r="O435" s="2">
        <f t="shared" si="97"/>
        <v>0</v>
      </c>
      <c r="P435" s="2">
        <f t="shared" si="98"/>
        <v>0</v>
      </c>
      <c r="Q435" s="2">
        <f t="shared" si="99"/>
        <v>0</v>
      </c>
      <c r="S435" s="2">
        <f t="shared" si="112"/>
        <v>0</v>
      </c>
      <c r="T435" s="2">
        <f t="shared" si="100"/>
        <v>0</v>
      </c>
      <c r="U435" s="2">
        <f t="shared" si="101"/>
        <v>0</v>
      </c>
      <c r="V435" s="2">
        <f t="shared" si="102"/>
        <v>0</v>
      </c>
      <c r="W435" s="2">
        <f t="shared" si="103"/>
        <v>0</v>
      </c>
      <c r="X435" s="2">
        <f t="shared" si="104"/>
        <v>0</v>
      </c>
      <c r="Y435" s="2">
        <f t="shared" si="105"/>
        <v>0</v>
      </c>
      <c r="Z435" s="2">
        <f t="shared" si="106"/>
        <v>0</v>
      </c>
      <c r="AA435" s="2">
        <f t="shared" si="107"/>
        <v>0</v>
      </c>
      <c r="AB435" s="2">
        <f t="shared" si="108"/>
        <v>0</v>
      </c>
      <c r="AC435" s="2">
        <f t="shared" si="109"/>
        <v>0</v>
      </c>
      <c r="AD435" s="2">
        <f t="shared" si="110"/>
        <v>0</v>
      </c>
      <c r="AE435" s="2">
        <f t="shared" si="111"/>
        <v>0</v>
      </c>
    </row>
  </sheetData>
  <sortState ref="A2:Q434">
    <sortCondition ref="A2:A434"/>
    <sortCondition ref="B2:B434"/>
  </sortState>
  <printOptions gridLines="1"/>
  <pageMargins left="0.5" right="0.5" top="0.5" bottom="0.5" header="0" footer="0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68"/>
  <sheetViews>
    <sheetView workbookViewId="0">
      <selection activeCell="A6" sqref="A6"/>
    </sheetView>
  </sheetViews>
  <sheetFormatPr defaultRowHeight="15" outlineLevelRow="2"/>
  <cols>
    <col min="1" max="1" width="11.7109375" bestFit="1" customWidth="1"/>
    <col min="2" max="2" width="13.28515625" bestFit="1" customWidth="1"/>
    <col min="3" max="3" width="10" style="5" bestFit="1" customWidth="1"/>
    <col min="4" max="4" width="9.42578125" style="5" bestFit="1" customWidth="1"/>
    <col min="15" max="15" width="4.7109375" customWidth="1"/>
  </cols>
  <sheetData>
    <row r="1" spans="1:25">
      <c r="E1" t="s">
        <v>40</v>
      </c>
      <c r="P1" t="s">
        <v>88</v>
      </c>
    </row>
    <row r="2" spans="1:25" s="8" customFormat="1" ht="60">
      <c r="A2" s="6" t="s">
        <v>0</v>
      </c>
      <c r="B2" s="6" t="s">
        <v>33</v>
      </c>
      <c r="C2" s="7" t="s">
        <v>35</v>
      </c>
      <c r="D2" s="7" t="s">
        <v>36</v>
      </c>
      <c r="E2" s="8" t="s">
        <v>42</v>
      </c>
      <c r="F2" s="8" t="s">
        <v>43</v>
      </c>
      <c r="G2" s="8" t="s">
        <v>44</v>
      </c>
      <c r="H2" s="8" t="s">
        <v>45</v>
      </c>
      <c r="I2" s="8" t="s">
        <v>46</v>
      </c>
      <c r="J2" s="8" t="s">
        <v>47</v>
      </c>
      <c r="K2" s="8" t="s">
        <v>48</v>
      </c>
      <c r="L2" s="8" t="s">
        <v>49</v>
      </c>
      <c r="M2" s="8" t="s">
        <v>50</v>
      </c>
      <c r="N2" s="8" t="s">
        <v>51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  <c r="U2" s="8" t="s">
        <v>47</v>
      </c>
      <c r="V2" s="8" t="s">
        <v>48</v>
      </c>
      <c r="W2" s="8" t="s">
        <v>49</v>
      </c>
      <c r="X2" s="8" t="s">
        <v>50</v>
      </c>
      <c r="Y2" s="8" t="s">
        <v>51</v>
      </c>
    </row>
    <row r="3" spans="1:25" outlineLevel="2">
      <c r="A3" s="1" t="s">
        <v>1</v>
      </c>
      <c r="B3">
        <v>33</v>
      </c>
      <c r="C3" s="5">
        <v>14.053567625499999</v>
      </c>
      <c r="D3" s="5">
        <v>2.0475920464000001</v>
      </c>
      <c r="E3" s="2">
        <v>0</v>
      </c>
      <c r="F3" s="2">
        <v>546.71187371363328</v>
      </c>
      <c r="G3" s="2">
        <v>164.21593770396751</v>
      </c>
      <c r="H3" s="2">
        <v>96.295045369925987</v>
      </c>
      <c r="I3" s="2">
        <v>56.312645475378496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P3" s="19">
        <f>IF(E$19&gt;0, E3/E$19, 0)</f>
        <v>0</v>
      </c>
      <c r="Q3" s="19">
        <f t="shared" ref="Q3:Q18" si="0">IF(F$19&gt;0, F3/F$19, 0)</f>
        <v>0.20549525160838145</v>
      </c>
      <c r="R3" s="19">
        <f t="shared" ref="R3:R18" si="1">IF(G$19&gt;0, G3/G$19, 0)</f>
        <v>4.4425795061217084E-2</v>
      </c>
      <c r="S3" s="19">
        <f t="shared" ref="S3:S18" si="2">IF(H$19&gt;0, H3/H$19, 0)</f>
        <v>6.447269224745944E-2</v>
      </c>
      <c r="T3" s="19">
        <f t="shared" ref="T3:T18" si="3">IF(I$19&gt;0, I3/I$19, 0)</f>
        <v>0.13545074595117285</v>
      </c>
      <c r="U3" s="19">
        <f t="shared" ref="U3:U18" si="4">IF(J$19&gt;0, J3/J$19, 0)</f>
        <v>0</v>
      </c>
      <c r="V3" s="19">
        <f t="shared" ref="V3:V18" si="5">IF(K$19&gt;0, K3/K$19, 0)</f>
        <v>0</v>
      </c>
      <c r="W3" s="19">
        <f t="shared" ref="W3:W18" si="6">IF(L$19&gt;0, L3/L$19, 0)</f>
        <v>0</v>
      </c>
      <c r="X3" s="19">
        <f t="shared" ref="X3:X18" si="7">IF(M$19&gt;0, M3/M$19, 0)</f>
        <v>0</v>
      </c>
      <c r="Y3" s="19">
        <f t="shared" ref="Y3:Y18" si="8">IF(N$19&gt;0, N3/N$19, 0)</f>
        <v>0</v>
      </c>
    </row>
    <row r="4" spans="1:25" outlineLevel="2">
      <c r="A4" s="1" t="s">
        <v>1</v>
      </c>
      <c r="B4">
        <v>53</v>
      </c>
      <c r="C4" s="5">
        <v>99.984108315699999</v>
      </c>
      <c r="D4" s="5">
        <v>6.1538951275100002</v>
      </c>
      <c r="E4" s="2">
        <v>0</v>
      </c>
      <c r="F4" s="2">
        <v>225.96407479507118</v>
      </c>
      <c r="G4" s="2">
        <v>47.1924991250104</v>
      </c>
      <c r="H4" s="2">
        <v>8.5986333151501988</v>
      </c>
      <c r="I4" s="2">
        <v>1.3997775164197999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P4" s="19">
        <f t="shared" ref="P4:P18" si="9">IF(E$19&gt;0, E4/E$19, 0)</f>
        <v>0</v>
      </c>
      <c r="Q4" s="19">
        <f t="shared" si="0"/>
        <v>8.4934216059830092E-2</v>
      </c>
      <c r="R4" s="19">
        <f t="shared" si="1"/>
        <v>1.2767118246061235E-2</v>
      </c>
      <c r="S4" s="19">
        <f t="shared" si="2"/>
        <v>5.7570671195671793E-3</v>
      </c>
      <c r="T4" s="19">
        <f t="shared" si="3"/>
        <v>3.3669330780710873E-3</v>
      </c>
      <c r="U4" s="19">
        <f t="shared" si="4"/>
        <v>0</v>
      </c>
      <c r="V4" s="19">
        <f t="shared" si="5"/>
        <v>0</v>
      </c>
      <c r="W4" s="19">
        <f t="shared" si="6"/>
        <v>0</v>
      </c>
      <c r="X4" s="19">
        <f t="shared" si="7"/>
        <v>0</v>
      </c>
      <c r="Y4" s="19">
        <f t="shared" si="8"/>
        <v>0</v>
      </c>
    </row>
    <row r="5" spans="1:25" outlineLevel="2">
      <c r="A5" s="1" t="s">
        <v>1</v>
      </c>
      <c r="B5">
        <v>54</v>
      </c>
      <c r="C5" s="5">
        <v>99.9996403114</v>
      </c>
      <c r="D5" s="5">
        <v>13.0753938174</v>
      </c>
      <c r="E5" s="2">
        <v>125.73924772863342</v>
      </c>
      <c r="F5" s="2">
        <v>584.29789833951008</v>
      </c>
      <c r="G5" s="2">
        <v>240.29913566829421</v>
      </c>
      <c r="H5" s="2">
        <v>104.0996255641674</v>
      </c>
      <c r="I5" s="2">
        <v>11.999956837368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P5" s="19">
        <f t="shared" si="9"/>
        <v>0.48747894699551308</v>
      </c>
      <c r="Q5" s="19">
        <f t="shared" si="0"/>
        <v>0.21962289353243275</v>
      </c>
      <c r="R5" s="19">
        <f t="shared" si="1"/>
        <v>6.5008794541197054E-2</v>
      </c>
      <c r="S5" s="19">
        <f t="shared" si="2"/>
        <v>6.9698114750257209E-2</v>
      </c>
      <c r="T5" s="19">
        <f t="shared" si="3"/>
        <v>2.8863909540780594E-2</v>
      </c>
      <c r="U5" s="19">
        <f t="shared" si="4"/>
        <v>0</v>
      </c>
      <c r="V5" s="19">
        <f t="shared" si="5"/>
        <v>0</v>
      </c>
      <c r="W5" s="19">
        <f t="shared" si="6"/>
        <v>0</v>
      </c>
      <c r="X5" s="19">
        <f t="shared" si="7"/>
        <v>0</v>
      </c>
      <c r="Y5" s="19">
        <f t="shared" si="8"/>
        <v>0</v>
      </c>
    </row>
    <row r="6" spans="1:25" outlineLevel="2">
      <c r="A6" s="1" t="s">
        <v>1</v>
      </c>
      <c r="B6">
        <v>55</v>
      </c>
      <c r="C6" s="5">
        <v>99.999866455599999</v>
      </c>
      <c r="D6" s="5">
        <v>5.1253520658799996</v>
      </c>
      <c r="E6" s="2">
        <v>2.1999970620232001</v>
      </c>
      <c r="F6" s="2">
        <v>406.49945714201402</v>
      </c>
      <c r="G6" s="2">
        <v>62.099917068927596</v>
      </c>
      <c r="H6" s="2">
        <v>17.999975962008001</v>
      </c>
      <c r="I6" s="2">
        <v>0.59999919873359997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P6" s="19">
        <f t="shared" si="9"/>
        <v>8.529176613994268E-3</v>
      </c>
      <c r="Q6" s="19">
        <f t="shared" si="0"/>
        <v>0.15279292848836762</v>
      </c>
      <c r="R6" s="19">
        <f t="shared" si="1"/>
        <v>1.6800063548010294E-2</v>
      </c>
      <c r="S6" s="19">
        <f t="shared" si="2"/>
        <v>1.2051574473037724E-2</v>
      </c>
      <c r="T6" s="19">
        <f t="shared" si="3"/>
        <v>1.4431987407536348E-3</v>
      </c>
      <c r="U6" s="19">
        <f t="shared" si="4"/>
        <v>0</v>
      </c>
      <c r="V6" s="19">
        <f t="shared" si="5"/>
        <v>0</v>
      </c>
      <c r="W6" s="19">
        <f t="shared" si="6"/>
        <v>0</v>
      </c>
      <c r="X6" s="19">
        <f t="shared" si="7"/>
        <v>0</v>
      </c>
      <c r="Y6" s="19">
        <f t="shared" si="8"/>
        <v>0</v>
      </c>
    </row>
    <row r="7" spans="1:25" outlineLevel="2">
      <c r="A7" s="1" t="s">
        <v>1</v>
      </c>
      <c r="B7">
        <v>56</v>
      </c>
      <c r="C7" s="5">
        <v>99.998879328599998</v>
      </c>
      <c r="D7" s="5">
        <v>8.25456340629</v>
      </c>
      <c r="E7" s="2">
        <v>128.59855881657958</v>
      </c>
      <c r="F7" s="2">
        <v>21.599757934977603</v>
      </c>
      <c r="G7" s="2">
        <v>2.0999764659006002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P7" s="19">
        <f t="shared" si="9"/>
        <v>0.49856422055538646</v>
      </c>
      <c r="Q7" s="19">
        <f t="shared" si="0"/>
        <v>8.1188060931951002E-3</v>
      </c>
      <c r="R7" s="19">
        <f t="shared" si="1"/>
        <v>5.6811248294095997E-4</v>
      </c>
      <c r="S7" s="19">
        <f t="shared" si="2"/>
        <v>0</v>
      </c>
      <c r="T7" s="19">
        <f t="shared" si="3"/>
        <v>0</v>
      </c>
      <c r="U7" s="19">
        <f t="shared" si="4"/>
        <v>0</v>
      </c>
      <c r="V7" s="19">
        <f t="shared" si="5"/>
        <v>0</v>
      </c>
      <c r="W7" s="19">
        <f t="shared" si="6"/>
        <v>0</v>
      </c>
      <c r="X7" s="19">
        <f t="shared" si="7"/>
        <v>0</v>
      </c>
      <c r="Y7" s="19">
        <f t="shared" si="8"/>
        <v>0</v>
      </c>
    </row>
    <row r="8" spans="1:25" outlineLevel="2">
      <c r="A8" s="1" t="s">
        <v>1</v>
      </c>
      <c r="B8">
        <v>57</v>
      </c>
      <c r="C8" s="5">
        <v>100</v>
      </c>
      <c r="D8" s="5">
        <v>6.6696216167099998</v>
      </c>
      <c r="E8" s="2">
        <v>0</v>
      </c>
      <c r="F8" s="2">
        <v>115.2</v>
      </c>
      <c r="G8" s="2">
        <v>33.1</v>
      </c>
      <c r="H8" s="2">
        <v>16.3</v>
      </c>
      <c r="I8" s="2">
        <v>1.6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P8" s="19">
        <f t="shared" si="9"/>
        <v>0</v>
      </c>
      <c r="Q8" s="19">
        <f t="shared" si="0"/>
        <v>4.3300784423214202E-2</v>
      </c>
      <c r="R8" s="19">
        <f t="shared" si="1"/>
        <v>8.9546352022003405E-3</v>
      </c>
      <c r="S8" s="19">
        <f t="shared" si="2"/>
        <v>1.0913384791465067E-2</v>
      </c>
      <c r="T8" s="19">
        <f t="shared" si="3"/>
        <v>3.8485351148461549E-3</v>
      </c>
      <c r="U8" s="19">
        <f t="shared" si="4"/>
        <v>0</v>
      </c>
      <c r="V8" s="19">
        <f t="shared" si="5"/>
        <v>0</v>
      </c>
      <c r="W8" s="19">
        <f t="shared" si="6"/>
        <v>0</v>
      </c>
      <c r="X8" s="19">
        <f t="shared" si="7"/>
        <v>0</v>
      </c>
      <c r="Y8" s="19">
        <f t="shared" si="8"/>
        <v>0</v>
      </c>
    </row>
    <row r="9" spans="1:25" outlineLevel="2">
      <c r="A9" s="1" t="s">
        <v>1</v>
      </c>
      <c r="B9">
        <v>58</v>
      </c>
      <c r="C9" s="5">
        <v>99.999994251900006</v>
      </c>
      <c r="D9" s="5">
        <v>4.7005329788400001</v>
      </c>
      <c r="E9" s="2">
        <v>0</v>
      </c>
      <c r="F9" s="2">
        <v>59.799996562636196</v>
      </c>
      <c r="G9" s="2">
        <v>11.699999327472302</v>
      </c>
      <c r="H9" s="2">
        <v>1.7999998965342001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P9" s="19">
        <f t="shared" si="9"/>
        <v>0</v>
      </c>
      <c r="Q9" s="19">
        <f t="shared" si="0"/>
        <v>2.2477315622115107E-2</v>
      </c>
      <c r="R9" s="19">
        <f t="shared" si="1"/>
        <v>3.1652334091692982E-3</v>
      </c>
      <c r="S9" s="19">
        <f t="shared" si="2"/>
        <v>1.205158987452456E-3</v>
      </c>
      <c r="T9" s="19">
        <f t="shared" si="3"/>
        <v>0</v>
      </c>
      <c r="U9" s="19">
        <f t="shared" si="4"/>
        <v>0</v>
      </c>
      <c r="V9" s="19">
        <f t="shared" si="5"/>
        <v>0</v>
      </c>
      <c r="W9" s="19">
        <f t="shared" si="6"/>
        <v>0</v>
      </c>
      <c r="X9" s="19">
        <f t="shared" si="7"/>
        <v>0</v>
      </c>
      <c r="Y9" s="19">
        <f t="shared" si="8"/>
        <v>0</v>
      </c>
    </row>
    <row r="10" spans="1:25" outlineLevel="2">
      <c r="A10" s="1" t="s">
        <v>1</v>
      </c>
      <c r="B10">
        <v>59</v>
      </c>
      <c r="C10" s="5">
        <v>99.999990118300005</v>
      </c>
      <c r="D10" s="5">
        <v>7.9975691549299999</v>
      </c>
      <c r="E10" s="2">
        <v>0</v>
      </c>
      <c r="F10" s="2">
        <v>305.79413978233754</v>
      </c>
      <c r="G10" s="2">
        <v>122.69997287515558</v>
      </c>
      <c r="H10" s="2">
        <v>52.999994762699004</v>
      </c>
      <c r="I10" s="2">
        <v>4.1999995849685998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P10" s="19">
        <f t="shared" si="9"/>
        <v>0</v>
      </c>
      <c r="Q10" s="19">
        <f t="shared" si="0"/>
        <v>0.11494033094268427</v>
      </c>
      <c r="R10" s="19">
        <f t="shared" si="1"/>
        <v>3.3194365450661477E-2</v>
      </c>
      <c r="S10" s="19">
        <f t="shared" si="2"/>
        <v>3.5485235385948923E-2</v>
      </c>
      <c r="T10" s="19">
        <f t="shared" si="3"/>
        <v>1.0102403678181831E-2</v>
      </c>
      <c r="U10" s="19">
        <f t="shared" si="4"/>
        <v>0</v>
      </c>
      <c r="V10" s="19">
        <f t="shared" si="5"/>
        <v>0</v>
      </c>
      <c r="W10" s="19">
        <f t="shared" si="6"/>
        <v>0</v>
      </c>
      <c r="X10" s="19">
        <f t="shared" si="7"/>
        <v>0</v>
      </c>
      <c r="Y10" s="19">
        <f t="shared" si="8"/>
        <v>0</v>
      </c>
    </row>
    <row r="11" spans="1:25" outlineLevel="2">
      <c r="A11" s="1" t="s">
        <v>1</v>
      </c>
      <c r="B11">
        <v>88</v>
      </c>
      <c r="C11" s="5">
        <v>99.997801178900005</v>
      </c>
      <c r="D11" s="5">
        <v>7.5856393224199996</v>
      </c>
      <c r="E11" s="2">
        <v>0</v>
      </c>
      <c r="F11" s="2">
        <v>332.49268891984252</v>
      </c>
      <c r="G11" s="2">
        <v>194.09571208868468</v>
      </c>
      <c r="H11" s="2">
        <v>75.398342088890615</v>
      </c>
      <c r="I11" s="2">
        <v>4.0999098483348995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P11" s="19">
        <f t="shared" si="9"/>
        <v>0</v>
      </c>
      <c r="Q11" s="19">
        <f t="shared" si="0"/>
        <v>0.1249756444896955</v>
      </c>
      <c r="R11" s="19">
        <f t="shared" si="1"/>
        <v>5.2509253657567305E-2</v>
      </c>
      <c r="S11" s="19">
        <f t="shared" si="2"/>
        <v>5.0481663794759463E-2</v>
      </c>
      <c r="T11" s="19">
        <f t="shared" si="3"/>
        <v>9.8616543868877693E-3</v>
      </c>
      <c r="U11" s="19">
        <f t="shared" si="4"/>
        <v>0</v>
      </c>
      <c r="V11" s="19">
        <f t="shared" si="5"/>
        <v>0</v>
      </c>
      <c r="W11" s="19">
        <f t="shared" si="6"/>
        <v>0</v>
      </c>
      <c r="X11" s="19">
        <f t="shared" si="7"/>
        <v>0</v>
      </c>
      <c r="Y11" s="19">
        <f t="shared" si="8"/>
        <v>0</v>
      </c>
    </row>
    <row r="12" spans="1:25" outlineLevel="2">
      <c r="A12" s="1" t="s">
        <v>1</v>
      </c>
      <c r="B12">
        <v>89</v>
      </c>
      <c r="C12" s="5">
        <v>100</v>
      </c>
      <c r="D12" s="5">
        <v>2.23088203947</v>
      </c>
      <c r="E12" s="2">
        <v>0</v>
      </c>
      <c r="F12" s="2">
        <v>0</v>
      </c>
      <c r="G12" s="2">
        <v>28.5</v>
      </c>
      <c r="H12" s="2">
        <v>7</v>
      </c>
      <c r="I12" s="2">
        <v>0.2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P12" s="19">
        <f t="shared" si="9"/>
        <v>0</v>
      </c>
      <c r="Q12" s="19">
        <f t="shared" si="0"/>
        <v>0</v>
      </c>
      <c r="R12" s="19">
        <f t="shared" si="1"/>
        <v>7.7101843886015009E-3</v>
      </c>
      <c r="S12" s="19">
        <f t="shared" si="2"/>
        <v>4.6867296650463476E-3</v>
      </c>
      <c r="T12" s="19">
        <f t="shared" si="3"/>
        <v>4.8106688935576936E-4</v>
      </c>
      <c r="U12" s="19">
        <f t="shared" si="4"/>
        <v>0</v>
      </c>
      <c r="V12" s="19">
        <f t="shared" si="5"/>
        <v>0</v>
      </c>
      <c r="W12" s="19">
        <f t="shared" si="6"/>
        <v>0</v>
      </c>
      <c r="X12" s="19">
        <f t="shared" si="7"/>
        <v>0</v>
      </c>
      <c r="Y12" s="19">
        <f t="shared" si="8"/>
        <v>0</v>
      </c>
    </row>
    <row r="13" spans="1:25" outlineLevel="2">
      <c r="A13" s="1" t="s">
        <v>1</v>
      </c>
      <c r="B13">
        <v>90</v>
      </c>
      <c r="C13" s="5">
        <v>99.999999540399997</v>
      </c>
      <c r="D13" s="5">
        <v>14.6228164962</v>
      </c>
      <c r="E13" s="2">
        <v>0</v>
      </c>
      <c r="F13" s="2">
        <v>61.699999716426802</v>
      </c>
      <c r="G13" s="2">
        <v>444.39997795753771</v>
      </c>
      <c r="H13" s="2">
        <v>213.30002901967305</v>
      </c>
      <c r="I13" s="2">
        <v>49.399999772957599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P13" s="19">
        <f t="shared" si="9"/>
        <v>0</v>
      </c>
      <c r="Q13" s="19">
        <f t="shared" si="0"/>
        <v>2.319147905063693E-2</v>
      </c>
      <c r="R13" s="19">
        <f t="shared" si="1"/>
        <v>0.1202247639418617</v>
      </c>
      <c r="S13" s="19">
        <f t="shared" si="2"/>
        <v>0.14281136765167834</v>
      </c>
      <c r="T13" s="19">
        <f t="shared" si="3"/>
        <v>0.11882352112476212</v>
      </c>
      <c r="U13" s="19">
        <f t="shared" si="4"/>
        <v>0</v>
      </c>
      <c r="V13" s="19">
        <f t="shared" si="5"/>
        <v>0</v>
      </c>
      <c r="W13" s="19">
        <f t="shared" si="6"/>
        <v>0</v>
      </c>
      <c r="X13" s="19">
        <f t="shared" si="7"/>
        <v>0</v>
      </c>
      <c r="Y13" s="19">
        <f t="shared" si="8"/>
        <v>0</v>
      </c>
    </row>
    <row r="14" spans="1:25" outlineLevel="2">
      <c r="A14" s="1" t="s">
        <v>1</v>
      </c>
      <c r="B14">
        <v>91</v>
      </c>
      <c r="C14" s="5">
        <v>99.9978394364</v>
      </c>
      <c r="D14" s="5">
        <v>4.6238789017400004</v>
      </c>
      <c r="E14" s="2">
        <v>0</v>
      </c>
      <c r="F14" s="2">
        <v>0</v>
      </c>
      <c r="G14" s="2">
        <v>83.29324035768515</v>
      </c>
      <c r="H14" s="2">
        <v>127.39724744197362</v>
      </c>
      <c r="I14" s="2">
        <v>132.79712677162564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P14" s="19">
        <f t="shared" si="9"/>
        <v>0</v>
      </c>
      <c r="Q14" s="19">
        <f t="shared" si="0"/>
        <v>0</v>
      </c>
      <c r="R14" s="19">
        <f t="shared" si="1"/>
        <v>2.2533552332696719E-2</v>
      </c>
      <c r="S14" s="19">
        <f t="shared" si="2"/>
        <v>8.5296636975935383E-2</v>
      </c>
      <c r="T14" s="19">
        <f t="shared" si="3"/>
        <v>0.31942150345704851</v>
      </c>
      <c r="U14" s="19">
        <f t="shared" si="4"/>
        <v>0</v>
      </c>
      <c r="V14" s="19">
        <f t="shared" si="5"/>
        <v>0</v>
      </c>
      <c r="W14" s="19">
        <f t="shared" si="6"/>
        <v>0</v>
      </c>
      <c r="X14" s="19">
        <f t="shared" si="7"/>
        <v>0</v>
      </c>
      <c r="Y14" s="19">
        <f t="shared" si="8"/>
        <v>0</v>
      </c>
    </row>
    <row r="15" spans="1:25" outlineLevel="2">
      <c r="A15" s="1" t="s">
        <v>1</v>
      </c>
      <c r="B15">
        <v>92</v>
      </c>
      <c r="C15" s="5">
        <v>99.999535823800002</v>
      </c>
      <c r="D15" s="5">
        <v>6.7636800732399998</v>
      </c>
      <c r="E15" s="2">
        <v>0</v>
      </c>
      <c r="F15" s="2">
        <v>0</v>
      </c>
      <c r="G15" s="2">
        <v>1438.9097808922552</v>
      </c>
      <c r="H15" s="2">
        <v>354.89835263866621</v>
      </c>
      <c r="I15" s="2">
        <v>10.499951261499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P15" s="19">
        <f t="shared" si="9"/>
        <v>0</v>
      </c>
      <c r="Q15" s="19">
        <f t="shared" si="0"/>
        <v>0</v>
      </c>
      <c r="R15" s="19">
        <f t="shared" si="1"/>
        <v>0.38927227120145513</v>
      </c>
      <c r="S15" s="19">
        <f t="shared" si="2"/>
        <v>0.23761609105538808</v>
      </c>
      <c r="T15" s="19">
        <f t="shared" si="3"/>
        <v>2.5255894458782548E-2</v>
      </c>
      <c r="U15" s="19">
        <f t="shared" si="4"/>
        <v>0</v>
      </c>
      <c r="V15" s="19">
        <f t="shared" si="5"/>
        <v>0</v>
      </c>
      <c r="W15" s="19">
        <f t="shared" si="6"/>
        <v>0</v>
      </c>
      <c r="X15" s="19">
        <f t="shared" si="7"/>
        <v>0</v>
      </c>
      <c r="Y15" s="19">
        <f t="shared" si="8"/>
        <v>0</v>
      </c>
    </row>
    <row r="16" spans="1:25" outlineLevel="2">
      <c r="A16" s="1" t="s">
        <v>1</v>
      </c>
      <c r="B16">
        <v>93</v>
      </c>
      <c r="C16" s="5">
        <v>75.342670428700004</v>
      </c>
      <c r="D16" s="5">
        <v>7.4899436146399996</v>
      </c>
      <c r="E16" s="2">
        <v>0</v>
      </c>
      <c r="F16" s="2">
        <v>0</v>
      </c>
      <c r="G16" s="2">
        <v>362.83945144007748</v>
      </c>
      <c r="H16" s="2">
        <v>304.61037209105854</v>
      </c>
      <c r="I16" s="2">
        <v>138.85654160009412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P16" s="19">
        <f t="shared" si="9"/>
        <v>0</v>
      </c>
      <c r="Q16" s="19">
        <f t="shared" si="0"/>
        <v>0</v>
      </c>
      <c r="R16" s="19">
        <f t="shared" si="1"/>
        <v>9.8159967510947993E-2</v>
      </c>
      <c r="S16" s="19">
        <f t="shared" si="2"/>
        <v>0.20394663816571001</v>
      </c>
      <c r="T16" s="19">
        <f t="shared" si="3"/>
        <v>0.33399642267128626</v>
      </c>
      <c r="U16" s="19">
        <f t="shared" si="4"/>
        <v>0</v>
      </c>
      <c r="V16" s="19">
        <f t="shared" si="5"/>
        <v>0</v>
      </c>
      <c r="W16" s="19">
        <f t="shared" si="6"/>
        <v>0</v>
      </c>
      <c r="X16" s="19">
        <f t="shared" si="7"/>
        <v>0</v>
      </c>
      <c r="Y16" s="19">
        <f t="shared" si="8"/>
        <v>0</v>
      </c>
    </row>
    <row r="17" spans="1:25" outlineLevel="2">
      <c r="A17" s="1" t="s">
        <v>1</v>
      </c>
      <c r="B17">
        <v>94</v>
      </c>
      <c r="C17" s="5">
        <v>99.999829420099999</v>
      </c>
      <c r="D17" s="5">
        <v>0.45804951404900002</v>
      </c>
      <c r="E17" s="2">
        <v>1.3999976118813999</v>
      </c>
      <c r="F17" s="2">
        <v>0.39999931768039998</v>
      </c>
      <c r="G17" s="2">
        <v>0.19999965884019999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P17" s="19">
        <f t="shared" si="9"/>
        <v>5.4276558351061734E-3</v>
      </c>
      <c r="Q17" s="19">
        <f t="shared" si="0"/>
        <v>1.503496894471508E-4</v>
      </c>
      <c r="R17" s="19">
        <f t="shared" si="1"/>
        <v>5.4106464818081967E-5</v>
      </c>
      <c r="S17" s="19">
        <f t="shared" si="2"/>
        <v>0</v>
      </c>
      <c r="T17" s="19">
        <f t="shared" si="3"/>
        <v>0</v>
      </c>
      <c r="U17" s="19">
        <f t="shared" si="4"/>
        <v>0</v>
      </c>
      <c r="V17" s="19">
        <f t="shared" si="5"/>
        <v>0</v>
      </c>
      <c r="W17" s="19">
        <f t="shared" si="6"/>
        <v>0</v>
      </c>
      <c r="X17" s="19">
        <f t="shared" si="7"/>
        <v>0</v>
      </c>
      <c r="Y17" s="19">
        <f t="shared" si="8"/>
        <v>0</v>
      </c>
    </row>
    <row r="18" spans="1:25" outlineLevel="2">
      <c r="A18" s="1" t="s">
        <v>1</v>
      </c>
      <c r="B18">
        <v>163</v>
      </c>
      <c r="C18" s="5">
        <v>14.9868788653</v>
      </c>
      <c r="D18" s="5">
        <v>2.0785035193099999</v>
      </c>
      <c r="E18" s="2">
        <v>0</v>
      </c>
      <c r="F18" s="2">
        <v>0</v>
      </c>
      <c r="G18" s="2">
        <v>460.76405231357921</v>
      </c>
      <c r="H18" s="2">
        <v>112.88116711737594</v>
      </c>
      <c r="I18" s="2">
        <v>3.7766934740555995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P18" s="19">
        <f t="shared" si="9"/>
        <v>0</v>
      </c>
      <c r="Q18" s="19">
        <f t="shared" si="0"/>
        <v>0</v>
      </c>
      <c r="R18" s="19">
        <f t="shared" si="1"/>
        <v>0.12465178256059381</v>
      </c>
      <c r="S18" s="19">
        <f t="shared" si="2"/>
        <v>7.5577644936294305E-2</v>
      </c>
      <c r="T18" s="19">
        <f t="shared" si="3"/>
        <v>9.0842109080708049E-3</v>
      </c>
      <c r="U18" s="19">
        <f t="shared" si="4"/>
        <v>0</v>
      </c>
      <c r="V18" s="19">
        <f t="shared" si="5"/>
        <v>0</v>
      </c>
      <c r="W18" s="19">
        <f t="shared" si="6"/>
        <v>0</v>
      </c>
      <c r="X18" s="19">
        <f t="shared" si="7"/>
        <v>0</v>
      </c>
      <c r="Y18" s="19">
        <f t="shared" si="8"/>
        <v>0</v>
      </c>
    </row>
    <row r="19" spans="1:25" outlineLevel="1">
      <c r="A19" s="17" t="s">
        <v>55</v>
      </c>
      <c r="E19" s="2">
        <f t="shared" ref="E19:N19" si="10">SUBTOTAL(9,E3:E18)</f>
        <v>257.9378012191176</v>
      </c>
      <c r="F19" s="2">
        <f t="shared" si="10"/>
        <v>2660.4598862241291</v>
      </c>
      <c r="G19" s="2">
        <f t="shared" si="10"/>
        <v>3696.4096529433878</v>
      </c>
      <c r="H19" s="2">
        <f t="shared" si="10"/>
        <v>1493.5787852681228</v>
      </c>
      <c r="I19" s="2">
        <f t="shared" si="10"/>
        <v>415.74260134143537</v>
      </c>
      <c r="J19" s="2">
        <f t="shared" si="10"/>
        <v>0</v>
      </c>
      <c r="K19" s="2">
        <f t="shared" si="10"/>
        <v>0</v>
      </c>
      <c r="L19" s="2">
        <f t="shared" si="10"/>
        <v>0</v>
      </c>
      <c r="M19" s="2">
        <f t="shared" si="10"/>
        <v>0</v>
      </c>
      <c r="N19" s="2">
        <f t="shared" si="10"/>
        <v>0</v>
      </c>
    </row>
    <row r="20" spans="1:25" outlineLevel="2">
      <c r="A20" s="1" t="s">
        <v>2</v>
      </c>
      <c r="B20">
        <v>20</v>
      </c>
      <c r="C20" s="5">
        <v>94.404948946100006</v>
      </c>
      <c r="D20" s="5">
        <v>19.995088440699998</v>
      </c>
      <c r="E20" s="2">
        <v>0</v>
      </c>
      <c r="F20" s="2">
        <v>399.89939205716428</v>
      </c>
      <c r="G20" s="2">
        <v>151.61434800743663</v>
      </c>
      <c r="H20" s="2">
        <v>116.30689710159521</v>
      </c>
      <c r="I20" s="2">
        <v>49.751405262446234</v>
      </c>
      <c r="J20" s="2">
        <v>0</v>
      </c>
      <c r="K20" s="2">
        <v>0</v>
      </c>
      <c r="L20" s="2">
        <v>0</v>
      </c>
      <c r="M20" s="2">
        <v>0</v>
      </c>
      <c r="N20" s="2">
        <v>6.6083464262270004</v>
      </c>
      <c r="P20" s="19">
        <f>IF(E$30&gt;0, E20/E$30, 0)</f>
        <v>0</v>
      </c>
      <c r="Q20" s="19">
        <f t="shared" ref="Q20:Q29" si="11">IF(F$30&gt;0, F20/F$30, 0)</f>
        <v>0.14057900104429563</v>
      </c>
      <c r="R20" s="19">
        <f t="shared" ref="R20:R29" si="12">IF(G$30&gt;0, G20/G$30, 0)</f>
        <v>9.7909130781528617E-2</v>
      </c>
      <c r="S20" s="19">
        <f t="shared" ref="S20:S29" si="13">IF(H$30&gt;0, H20/H$30, 0)</f>
        <v>7.6251600286213445E-2</v>
      </c>
      <c r="T20" s="19">
        <f t="shared" ref="T20:T29" si="14">IF(I$30&gt;0, I20/I$30, 0)</f>
        <v>9.9554934022579547E-2</v>
      </c>
      <c r="U20" s="19">
        <f t="shared" ref="U20:U29" si="15">IF(J$30&gt;0, J20/J$30, 0)</f>
        <v>0</v>
      </c>
      <c r="V20" s="19">
        <f t="shared" ref="V20:V29" si="16">IF(K$30&gt;0, K20/K$30, 0)</f>
        <v>0</v>
      </c>
      <c r="W20" s="19">
        <f t="shared" ref="W20:W29" si="17">IF(L$30&gt;0, L20/L$30, 0)</f>
        <v>0</v>
      </c>
      <c r="X20" s="19">
        <f t="shared" ref="X20:X29" si="18">IF(M$30&gt;0, M20/M$30, 0)</f>
        <v>0</v>
      </c>
      <c r="Y20" s="19">
        <f t="shared" ref="Y20:Y29" si="19">IF(N$30&gt;0, N20/N$30, 0)</f>
        <v>0.54950908071057103</v>
      </c>
    </row>
    <row r="21" spans="1:25" outlineLevel="2">
      <c r="A21" s="1" t="s">
        <v>2</v>
      </c>
      <c r="B21">
        <v>21</v>
      </c>
      <c r="C21" s="5">
        <v>30.9105072901</v>
      </c>
      <c r="D21" s="5">
        <v>5.5141272360000002</v>
      </c>
      <c r="E21" s="2">
        <v>0</v>
      </c>
      <c r="F21" s="2">
        <v>132.94609494577082</v>
      </c>
      <c r="G21" s="2">
        <v>20.695162657208275</v>
      </c>
      <c r="H21" s="2">
        <v>24.110195686277997</v>
      </c>
      <c r="I21" s="2">
        <v>8.6240315339379006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P21" s="19">
        <f t="shared" ref="P21:P29" si="20">IF(E$30&gt;0, E21/E$30, 0)</f>
        <v>0</v>
      </c>
      <c r="Q21" s="19">
        <f t="shared" si="11"/>
        <v>4.6735327913539196E-2</v>
      </c>
      <c r="R21" s="19">
        <f t="shared" si="12"/>
        <v>1.3364469878868098E-2</v>
      </c>
      <c r="S21" s="19">
        <f t="shared" si="13"/>
        <v>1.5806809829055635E-2</v>
      </c>
      <c r="T21" s="19">
        <f t="shared" si="14"/>
        <v>1.7257098283772546E-2</v>
      </c>
      <c r="U21" s="19">
        <f t="shared" si="15"/>
        <v>0</v>
      </c>
      <c r="V21" s="19">
        <f t="shared" si="16"/>
        <v>0</v>
      </c>
      <c r="W21" s="19">
        <f t="shared" si="17"/>
        <v>0</v>
      </c>
      <c r="X21" s="19">
        <f t="shared" si="18"/>
        <v>0</v>
      </c>
      <c r="Y21" s="19">
        <f t="shared" si="19"/>
        <v>0</v>
      </c>
    </row>
    <row r="22" spans="1:25" outlineLevel="2">
      <c r="A22" s="1" t="s">
        <v>2</v>
      </c>
      <c r="B22">
        <v>22</v>
      </c>
      <c r="C22" s="5">
        <v>100</v>
      </c>
      <c r="D22" s="5">
        <v>5.6487313974499997</v>
      </c>
      <c r="E22" s="2">
        <v>0</v>
      </c>
      <c r="F22" s="2">
        <v>50.8</v>
      </c>
      <c r="G22" s="2">
        <v>10.5</v>
      </c>
      <c r="H22" s="2">
        <v>1.8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P22" s="19">
        <f t="shared" si="20"/>
        <v>0</v>
      </c>
      <c r="Q22" s="19">
        <f t="shared" si="11"/>
        <v>1.7858024780466226E-2</v>
      </c>
      <c r="R22" s="19">
        <f t="shared" si="12"/>
        <v>6.7806634841421822E-3</v>
      </c>
      <c r="S22" s="19">
        <f t="shared" si="13"/>
        <v>1.1800923585408049E-3</v>
      </c>
      <c r="T22" s="19">
        <f t="shared" si="14"/>
        <v>0</v>
      </c>
      <c r="U22" s="19">
        <f t="shared" si="15"/>
        <v>0</v>
      </c>
      <c r="V22" s="19">
        <f t="shared" si="16"/>
        <v>0</v>
      </c>
      <c r="W22" s="19">
        <f t="shared" si="17"/>
        <v>0</v>
      </c>
      <c r="X22" s="19">
        <f t="shared" si="18"/>
        <v>0</v>
      </c>
      <c r="Y22" s="19">
        <f t="shared" si="19"/>
        <v>0</v>
      </c>
    </row>
    <row r="23" spans="1:25" outlineLevel="2">
      <c r="A23" s="1" t="s">
        <v>2</v>
      </c>
      <c r="B23">
        <v>23</v>
      </c>
      <c r="C23" s="5">
        <v>100</v>
      </c>
      <c r="D23" s="5">
        <v>3.4220337972400001</v>
      </c>
      <c r="E23" s="2">
        <v>0</v>
      </c>
      <c r="F23" s="2">
        <v>0</v>
      </c>
      <c r="G23" s="2">
        <v>4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P23" s="19">
        <f t="shared" si="20"/>
        <v>0</v>
      </c>
      <c r="Q23" s="19">
        <f t="shared" si="11"/>
        <v>0</v>
      </c>
      <c r="R23" s="19">
        <f t="shared" si="12"/>
        <v>2.5831098987208314E-3</v>
      </c>
      <c r="S23" s="19">
        <f t="shared" si="13"/>
        <v>0</v>
      </c>
      <c r="T23" s="19">
        <f t="shared" si="14"/>
        <v>0</v>
      </c>
      <c r="U23" s="19">
        <f t="shared" si="15"/>
        <v>0</v>
      </c>
      <c r="V23" s="19">
        <f t="shared" si="16"/>
        <v>0</v>
      </c>
      <c r="W23" s="19">
        <f t="shared" si="17"/>
        <v>0</v>
      </c>
      <c r="X23" s="19">
        <f t="shared" si="18"/>
        <v>0</v>
      </c>
      <c r="Y23" s="19">
        <f t="shared" si="19"/>
        <v>0</v>
      </c>
    </row>
    <row r="24" spans="1:25" outlineLevel="2">
      <c r="A24" s="1" t="s">
        <v>2</v>
      </c>
      <c r="B24">
        <v>24</v>
      </c>
      <c r="C24" s="5">
        <v>99.999916918599993</v>
      </c>
      <c r="D24" s="5">
        <v>11.9451768561</v>
      </c>
      <c r="E24" s="2">
        <v>0</v>
      </c>
      <c r="F24" s="2">
        <v>121.39989913918039</v>
      </c>
      <c r="G24" s="2">
        <v>47.099964868657274</v>
      </c>
      <c r="H24" s="2">
        <v>24.499979645056996</v>
      </c>
      <c r="I24" s="2">
        <v>7.4999937688949991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P24" s="19">
        <f t="shared" si="20"/>
        <v>0</v>
      </c>
      <c r="Q24" s="19">
        <f t="shared" si="11"/>
        <v>4.2676425338062672E-2</v>
      </c>
      <c r="R24" s="19">
        <f t="shared" si="12"/>
        <v>3.0416096370408E-2</v>
      </c>
      <c r="S24" s="19">
        <f t="shared" si="13"/>
        <v>1.6062354868631678E-2</v>
      </c>
      <c r="T24" s="19">
        <f t="shared" si="14"/>
        <v>1.5007845123034153E-2</v>
      </c>
      <c r="U24" s="19">
        <f t="shared" si="15"/>
        <v>0</v>
      </c>
      <c r="V24" s="19">
        <f t="shared" si="16"/>
        <v>0</v>
      </c>
      <c r="W24" s="19">
        <f t="shared" si="17"/>
        <v>0</v>
      </c>
      <c r="X24" s="19">
        <f t="shared" si="18"/>
        <v>0</v>
      </c>
      <c r="Y24" s="19">
        <f t="shared" si="19"/>
        <v>0</v>
      </c>
    </row>
    <row r="25" spans="1:25" outlineLevel="2">
      <c r="A25" s="1" t="s">
        <v>2</v>
      </c>
      <c r="B25">
        <v>25</v>
      </c>
      <c r="C25" s="5">
        <v>100</v>
      </c>
      <c r="D25" s="5">
        <v>8.7505446469100008</v>
      </c>
      <c r="E25" s="2">
        <v>0</v>
      </c>
      <c r="F25" s="2">
        <v>1138.3</v>
      </c>
      <c r="G25" s="2">
        <v>98.8</v>
      </c>
      <c r="H25" s="2">
        <v>172.1</v>
      </c>
      <c r="I25" s="2">
        <v>0</v>
      </c>
      <c r="J25" s="2">
        <v>0</v>
      </c>
      <c r="K25" s="2">
        <v>810.04579999999999</v>
      </c>
      <c r="L25" s="2">
        <v>51</v>
      </c>
      <c r="M25" s="2">
        <v>0</v>
      </c>
      <c r="N25" s="2">
        <v>0</v>
      </c>
      <c r="P25" s="19">
        <f t="shared" si="20"/>
        <v>0</v>
      </c>
      <c r="Q25" s="19">
        <f t="shared" si="11"/>
        <v>0.40015333873237607</v>
      </c>
      <c r="R25" s="19">
        <f t="shared" si="12"/>
        <v>6.3802814498404525E-2</v>
      </c>
      <c r="S25" s="19">
        <f t="shared" si="13"/>
        <v>0.11282994161381807</v>
      </c>
      <c r="T25" s="19">
        <f t="shared" si="14"/>
        <v>0</v>
      </c>
      <c r="U25" s="19">
        <f t="shared" si="15"/>
        <v>0</v>
      </c>
      <c r="V25" s="19">
        <f t="shared" si="16"/>
        <v>1</v>
      </c>
      <c r="W25" s="19">
        <f t="shared" si="17"/>
        <v>1</v>
      </c>
      <c r="X25" s="19">
        <f t="shared" si="18"/>
        <v>0</v>
      </c>
      <c r="Y25" s="19">
        <f t="shared" si="19"/>
        <v>0</v>
      </c>
    </row>
    <row r="26" spans="1:25" outlineLevel="2">
      <c r="A26" s="1" t="s">
        <v>2</v>
      </c>
      <c r="B26">
        <v>26</v>
      </c>
      <c r="C26" s="5">
        <v>100</v>
      </c>
      <c r="D26" s="5">
        <v>6.9018339980499999</v>
      </c>
      <c r="E26" s="2">
        <v>148.49</v>
      </c>
      <c r="F26" s="2">
        <v>107</v>
      </c>
      <c r="G26" s="2">
        <v>29</v>
      </c>
      <c r="H26" s="2">
        <v>147.31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P26" s="19">
        <f t="shared" si="20"/>
        <v>0.62818230779533524</v>
      </c>
      <c r="Q26" s="19">
        <f t="shared" si="11"/>
        <v>3.7614343533659174E-2</v>
      </c>
      <c r="R26" s="19">
        <f t="shared" si="12"/>
        <v>1.8727546765726025E-2</v>
      </c>
      <c r="S26" s="19">
        <f t="shared" si="13"/>
        <v>9.6577447409247771E-2</v>
      </c>
      <c r="T26" s="19">
        <f t="shared" si="14"/>
        <v>0</v>
      </c>
      <c r="U26" s="19">
        <f t="shared" si="15"/>
        <v>0</v>
      </c>
      <c r="V26" s="19">
        <f t="shared" si="16"/>
        <v>0</v>
      </c>
      <c r="W26" s="19">
        <f t="shared" si="17"/>
        <v>0</v>
      </c>
      <c r="X26" s="19">
        <f t="shared" si="18"/>
        <v>0</v>
      </c>
      <c r="Y26" s="19">
        <f t="shared" si="19"/>
        <v>0</v>
      </c>
    </row>
    <row r="27" spans="1:25" outlineLevel="2">
      <c r="A27" s="1" t="s">
        <v>2</v>
      </c>
      <c r="B27">
        <v>27</v>
      </c>
      <c r="C27" s="5">
        <v>99.998647124599998</v>
      </c>
      <c r="D27" s="5">
        <v>13.910289765</v>
      </c>
      <c r="E27" s="2">
        <v>0</v>
      </c>
      <c r="F27" s="2">
        <v>16.599775422683603</v>
      </c>
      <c r="G27" s="2">
        <v>1.8999742953673999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P27" s="19">
        <f t="shared" si="20"/>
        <v>0</v>
      </c>
      <c r="Q27" s="19">
        <f t="shared" si="11"/>
        <v>5.8354173395365749E-3</v>
      </c>
      <c r="R27" s="19">
        <f t="shared" si="12"/>
        <v>1.2269606024196667E-3</v>
      </c>
      <c r="S27" s="19">
        <f t="shared" si="13"/>
        <v>0</v>
      </c>
      <c r="T27" s="19">
        <f t="shared" si="14"/>
        <v>0</v>
      </c>
      <c r="U27" s="19">
        <f t="shared" si="15"/>
        <v>0</v>
      </c>
      <c r="V27" s="19">
        <f t="shared" si="16"/>
        <v>0</v>
      </c>
      <c r="W27" s="19">
        <f t="shared" si="17"/>
        <v>0</v>
      </c>
      <c r="X27" s="19">
        <f t="shared" si="18"/>
        <v>0</v>
      </c>
      <c r="Y27" s="19">
        <f t="shared" si="19"/>
        <v>0</v>
      </c>
    </row>
    <row r="28" spans="1:25" outlineLevel="2">
      <c r="A28" s="1" t="s">
        <v>2</v>
      </c>
      <c r="B28">
        <v>29</v>
      </c>
      <c r="C28" s="5">
        <v>77.3937569534</v>
      </c>
      <c r="D28" s="5">
        <v>10.999624214100001</v>
      </c>
      <c r="E28" s="2">
        <v>0</v>
      </c>
      <c r="F28" s="2">
        <v>130.6406617373392</v>
      </c>
      <c r="G28" s="2">
        <v>43.340503893904</v>
      </c>
      <c r="H28" s="2">
        <v>22.598977030392803</v>
      </c>
      <c r="I28" s="2">
        <v>4.6436254172040003</v>
      </c>
      <c r="J28" s="2">
        <v>0</v>
      </c>
      <c r="K28" s="2">
        <v>0</v>
      </c>
      <c r="L28" s="2">
        <v>0</v>
      </c>
      <c r="M28" s="2">
        <v>0</v>
      </c>
      <c r="N28" s="2">
        <v>5.417562986738</v>
      </c>
      <c r="P28" s="19">
        <f t="shared" si="20"/>
        <v>0</v>
      </c>
      <c r="Q28" s="19">
        <f t="shared" si="11"/>
        <v>4.5924885327596643E-2</v>
      </c>
      <c r="R28" s="19">
        <f t="shared" si="12"/>
        <v>2.7988321155973037E-2</v>
      </c>
      <c r="S28" s="19">
        <f t="shared" si="13"/>
        <v>1.481604450244762E-2</v>
      </c>
      <c r="T28" s="19">
        <f t="shared" si="14"/>
        <v>9.2921158627909482E-3</v>
      </c>
      <c r="U28" s="19">
        <f t="shared" si="15"/>
        <v>0</v>
      </c>
      <c r="V28" s="19">
        <f t="shared" si="16"/>
        <v>0</v>
      </c>
      <c r="W28" s="19">
        <f t="shared" si="17"/>
        <v>0</v>
      </c>
      <c r="X28" s="19">
        <f t="shared" si="18"/>
        <v>0</v>
      </c>
      <c r="Y28" s="19">
        <f t="shared" si="19"/>
        <v>0.45049091928942897</v>
      </c>
    </row>
    <row r="29" spans="1:25" outlineLevel="2">
      <c r="A29" s="1" t="s">
        <v>2</v>
      </c>
      <c r="B29">
        <v>30</v>
      </c>
      <c r="C29" s="5">
        <v>62.778873983300002</v>
      </c>
      <c r="D29" s="5">
        <v>9.5340152344900009</v>
      </c>
      <c r="E29" s="2">
        <v>87.890423576619995</v>
      </c>
      <c r="F29" s="2">
        <v>747.07368549006264</v>
      </c>
      <c r="G29" s="2">
        <v>1141.5710759017641</v>
      </c>
      <c r="H29" s="2">
        <v>1016.5782938558021</v>
      </c>
      <c r="I29" s="2">
        <v>429.21916142382213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P29" s="19">
        <f t="shared" si="20"/>
        <v>0.37181769220466487</v>
      </c>
      <c r="Q29" s="19">
        <f t="shared" si="11"/>
        <v>0.26262323599046794</v>
      </c>
      <c r="R29" s="19">
        <f t="shared" si="12"/>
        <v>0.737200886563809</v>
      </c>
      <c r="S29" s="19">
        <f t="shared" si="13"/>
        <v>0.66647570913204501</v>
      </c>
      <c r="T29" s="19">
        <f t="shared" si="14"/>
        <v>0.85888800670782284</v>
      </c>
      <c r="U29" s="19">
        <f t="shared" si="15"/>
        <v>0</v>
      </c>
      <c r="V29" s="19">
        <f t="shared" si="16"/>
        <v>0</v>
      </c>
      <c r="W29" s="19">
        <f t="shared" si="17"/>
        <v>0</v>
      </c>
      <c r="X29" s="19">
        <f t="shared" si="18"/>
        <v>0</v>
      </c>
      <c r="Y29" s="19">
        <f t="shared" si="19"/>
        <v>0</v>
      </c>
    </row>
    <row r="30" spans="1:25" outlineLevel="1">
      <c r="A30" s="18" t="s">
        <v>56</v>
      </c>
      <c r="E30" s="2">
        <f t="shared" ref="E30:N30" si="21">SUBTOTAL(9,E20:E29)</f>
        <v>236.38042357661999</v>
      </c>
      <c r="F30" s="2">
        <f t="shared" si="21"/>
        <v>2844.6595087922005</v>
      </c>
      <c r="G30" s="2">
        <f t="shared" si="21"/>
        <v>1548.5210296243376</v>
      </c>
      <c r="H30" s="2">
        <f t="shared" si="21"/>
        <v>1525.3043433191251</v>
      </c>
      <c r="I30" s="2">
        <f t="shared" si="21"/>
        <v>499.73821740630524</v>
      </c>
      <c r="J30" s="2">
        <f t="shared" si="21"/>
        <v>0</v>
      </c>
      <c r="K30" s="2">
        <f t="shared" si="21"/>
        <v>810.04579999999999</v>
      </c>
      <c r="L30" s="2">
        <f t="shared" si="21"/>
        <v>51</v>
      </c>
      <c r="M30" s="2">
        <f t="shared" si="21"/>
        <v>0</v>
      </c>
      <c r="N30" s="2">
        <f t="shared" si="21"/>
        <v>12.025909412964999</v>
      </c>
    </row>
    <row r="31" spans="1:25" outlineLevel="2">
      <c r="A31" s="1" t="s">
        <v>3</v>
      </c>
      <c r="B31">
        <v>28</v>
      </c>
      <c r="C31" s="5">
        <v>99.9914773629</v>
      </c>
      <c r="D31" s="5">
        <v>21.5368356392</v>
      </c>
      <c r="E31" s="2">
        <v>0</v>
      </c>
      <c r="F31" s="2">
        <v>139.33801271466126</v>
      </c>
      <c r="G31" s="2">
        <v>198.48307656586786</v>
      </c>
      <c r="H31" s="2">
        <v>64.394511421707605</v>
      </c>
      <c r="I31" s="2">
        <v>12.398943192999599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P31" s="19">
        <f>IF(E$37&gt;0, E31/E$37, 0)</f>
        <v>0</v>
      </c>
      <c r="Q31" s="19">
        <f t="shared" ref="Q31:Q36" si="22">IF(F$37&gt;0, F31/F$37, 0)</f>
        <v>3.5151643436896605E-2</v>
      </c>
      <c r="R31" s="19">
        <f t="shared" ref="R31:R36" si="23">IF(G$37&gt;0, G31/G$37, 0)</f>
        <v>0.10489245149934312</v>
      </c>
      <c r="S31" s="19">
        <f t="shared" ref="S31:S36" si="24">IF(H$37&gt;0, H31/H$37, 0)</f>
        <v>5.0720291973974298E-2</v>
      </c>
      <c r="T31" s="19">
        <f t="shared" ref="T31:T36" si="25">IF(I$37&gt;0, I31/I$37, 0)</f>
        <v>1.8929036967904159E-2</v>
      </c>
      <c r="U31" s="19">
        <f t="shared" ref="U31:U36" si="26">IF(J$37&gt;0, J31/J$37, 0)</f>
        <v>0</v>
      </c>
      <c r="V31" s="19">
        <f t="shared" ref="V31:V36" si="27">IF(K$37&gt;0, K31/K$37, 0)</f>
        <v>0</v>
      </c>
      <c r="W31" s="19">
        <f t="shared" ref="W31:W36" si="28">IF(L$37&gt;0, L31/L$37, 0)</f>
        <v>0</v>
      </c>
      <c r="X31" s="19">
        <f t="shared" ref="X31:X36" si="29">IF(M$37&gt;0, M31/M$37, 0)</f>
        <v>0</v>
      </c>
      <c r="Y31" s="19">
        <f t="shared" ref="Y31:Y36" si="30">IF(N$37&gt;0, N31/N$37, 0)</f>
        <v>0</v>
      </c>
    </row>
    <row r="32" spans="1:25" outlineLevel="2">
      <c r="A32" s="1" t="s">
        <v>3</v>
      </c>
      <c r="B32">
        <v>29</v>
      </c>
      <c r="C32" s="5">
        <v>22.606243045799999</v>
      </c>
      <c r="D32" s="5">
        <v>4.4344278258400003</v>
      </c>
      <c r="E32" s="2">
        <v>0</v>
      </c>
      <c r="F32" s="2">
        <v>38.159338261310403</v>
      </c>
      <c r="G32" s="2">
        <v>12.659496105648</v>
      </c>
      <c r="H32" s="2">
        <v>6.6010229693736004</v>
      </c>
      <c r="I32" s="2">
        <v>1.356374582748</v>
      </c>
      <c r="J32" s="2">
        <v>0</v>
      </c>
      <c r="K32" s="2">
        <v>0</v>
      </c>
      <c r="L32" s="2">
        <v>0</v>
      </c>
      <c r="M32" s="2">
        <v>0</v>
      </c>
      <c r="N32" s="2">
        <v>1.5824370132059999</v>
      </c>
      <c r="P32" s="19">
        <f t="shared" ref="P32:P36" si="31">IF(E$37&gt;0, E32/E$37, 0)</f>
        <v>0</v>
      </c>
      <c r="Q32" s="19">
        <f t="shared" si="22"/>
        <v>9.6266871201642311E-3</v>
      </c>
      <c r="R32" s="19">
        <f t="shared" si="23"/>
        <v>6.6901702867707144E-3</v>
      </c>
      <c r="S32" s="19">
        <f t="shared" si="24"/>
        <v>5.1992911343166992E-3</v>
      </c>
      <c r="T32" s="19">
        <f t="shared" si="25"/>
        <v>2.0707300791295191E-3</v>
      </c>
      <c r="U32" s="19">
        <f t="shared" si="26"/>
        <v>0</v>
      </c>
      <c r="V32" s="19">
        <f t="shared" si="27"/>
        <v>0</v>
      </c>
      <c r="W32" s="19">
        <f t="shared" si="28"/>
        <v>0</v>
      </c>
      <c r="X32" s="19">
        <f t="shared" si="29"/>
        <v>0</v>
      </c>
      <c r="Y32" s="19">
        <f t="shared" si="30"/>
        <v>1</v>
      </c>
    </row>
    <row r="33" spans="1:25" outlineLevel="2">
      <c r="A33" s="1" t="s">
        <v>3</v>
      </c>
      <c r="B33">
        <v>30</v>
      </c>
      <c r="C33" s="5">
        <v>37.2211260168</v>
      </c>
      <c r="D33" s="5">
        <v>7.8016974832999999</v>
      </c>
      <c r="E33" s="2">
        <v>52.109576423520004</v>
      </c>
      <c r="F33" s="2">
        <v>442.93441451112733</v>
      </c>
      <c r="G33" s="2">
        <v>676.82897410005398</v>
      </c>
      <c r="H33" s="2">
        <v>602.72168614581722</v>
      </c>
      <c r="I33" s="2">
        <v>254.4808385768616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P33" s="19">
        <f t="shared" si="31"/>
        <v>0.84925014579562097</v>
      </c>
      <c r="Q33" s="19">
        <f t="shared" si="22"/>
        <v>0.1117417444205262</v>
      </c>
      <c r="R33" s="19">
        <f t="shared" si="23"/>
        <v>0.35768414903413787</v>
      </c>
      <c r="S33" s="19">
        <f t="shared" si="24"/>
        <v>0.47473331539334612</v>
      </c>
      <c r="T33" s="19">
        <f t="shared" si="25"/>
        <v>0.38850707887462294</v>
      </c>
      <c r="U33" s="19">
        <f t="shared" si="26"/>
        <v>0</v>
      </c>
      <c r="V33" s="19">
        <f t="shared" si="27"/>
        <v>0</v>
      </c>
      <c r="W33" s="19">
        <f t="shared" si="28"/>
        <v>0</v>
      </c>
      <c r="X33" s="19">
        <f t="shared" si="29"/>
        <v>0</v>
      </c>
      <c r="Y33" s="19">
        <f t="shared" si="30"/>
        <v>0</v>
      </c>
    </row>
    <row r="34" spans="1:25" outlineLevel="2">
      <c r="A34" s="1" t="s">
        <v>3</v>
      </c>
      <c r="B34">
        <v>31</v>
      </c>
      <c r="C34" s="5">
        <v>99.997226662800003</v>
      </c>
      <c r="D34" s="5">
        <v>10.8707663044</v>
      </c>
      <c r="E34" s="2">
        <v>0</v>
      </c>
      <c r="F34" s="2">
        <v>0</v>
      </c>
      <c r="G34" s="2">
        <v>0</v>
      </c>
      <c r="H34" s="2">
        <v>6.9798064210634401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P34" s="19">
        <f t="shared" si="31"/>
        <v>0</v>
      </c>
      <c r="Q34" s="19">
        <f t="shared" si="22"/>
        <v>0</v>
      </c>
      <c r="R34" s="19">
        <f t="shared" si="23"/>
        <v>0</v>
      </c>
      <c r="S34" s="19">
        <f t="shared" si="24"/>
        <v>5.4976396556495602E-3</v>
      </c>
      <c r="T34" s="19">
        <f t="shared" si="25"/>
        <v>0</v>
      </c>
      <c r="U34" s="19">
        <f t="shared" si="26"/>
        <v>0</v>
      </c>
      <c r="V34" s="19">
        <f t="shared" si="27"/>
        <v>0</v>
      </c>
      <c r="W34" s="19">
        <f t="shared" si="28"/>
        <v>0</v>
      </c>
      <c r="X34" s="19">
        <f t="shared" si="29"/>
        <v>0</v>
      </c>
      <c r="Y34" s="19">
        <f t="shared" si="30"/>
        <v>0</v>
      </c>
    </row>
    <row r="35" spans="1:25" outlineLevel="2">
      <c r="A35" s="1" t="s">
        <v>3</v>
      </c>
      <c r="B35">
        <v>32</v>
      </c>
      <c r="C35" s="5">
        <v>99.9993278635</v>
      </c>
      <c r="D35" s="5">
        <v>6.8308637428100001</v>
      </c>
      <c r="E35" s="2">
        <v>9.2499378273737491</v>
      </c>
      <c r="F35" s="2">
        <v>0</v>
      </c>
      <c r="G35" s="2">
        <v>0</v>
      </c>
      <c r="H35" s="2">
        <v>0</v>
      </c>
      <c r="I35" s="2">
        <v>42.399715014123991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P35" s="19">
        <f t="shared" si="31"/>
        <v>0.150749854204379</v>
      </c>
      <c r="Q35" s="19">
        <f t="shared" si="22"/>
        <v>0</v>
      </c>
      <c r="R35" s="19">
        <f t="shared" si="23"/>
        <v>0</v>
      </c>
      <c r="S35" s="19">
        <f t="shared" si="24"/>
        <v>0</v>
      </c>
      <c r="T35" s="19">
        <f t="shared" si="25"/>
        <v>6.473017582531479E-2</v>
      </c>
      <c r="U35" s="19">
        <f t="shared" si="26"/>
        <v>0</v>
      </c>
      <c r="V35" s="19">
        <f t="shared" si="27"/>
        <v>0</v>
      </c>
      <c r="W35" s="19">
        <f t="shared" si="28"/>
        <v>0</v>
      </c>
      <c r="X35" s="19">
        <f t="shared" si="29"/>
        <v>0</v>
      </c>
      <c r="Y35" s="19">
        <f t="shared" si="30"/>
        <v>0</v>
      </c>
    </row>
    <row r="36" spans="1:25" outlineLevel="2">
      <c r="A36" s="1" t="s">
        <v>3</v>
      </c>
      <c r="B36">
        <v>33</v>
      </c>
      <c r="C36" s="5">
        <v>85.946225848300003</v>
      </c>
      <c r="D36" s="5">
        <v>44.190804821</v>
      </c>
      <c r="E36" s="2">
        <v>0</v>
      </c>
      <c r="F36" s="2">
        <v>3343.4799920043406</v>
      </c>
      <c r="G36" s="2">
        <v>1004.2816490373855</v>
      </c>
      <c r="H36" s="2">
        <v>588.90353951255156</v>
      </c>
      <c r="I36" s="2">
        <v>344.38652697413812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P36" s="19">
        <f t="shared" si="31"/>
        <v>0</v>
      </c>
      <c r="Q36" s="19">
        <f t="shared" si="22"/>
        <v>0.84347992502241287</v>
      </c>
      <c r="R36" s="19">
        <f t="shared" si="23"/>
        <v>0.5307332291797483</v>
      </c>
      <c r="S36" s="19">
        <f t="shared" si="24"/>
        <v>0.46384946184271325</v>
      </c>
      <c r="T36" s="19">
        <f t="shared" si="25"/>
        <v>0.52576297825302842</v>
      </c>
      <c r="U36" s="19">
        <f t="shared" si="26"/>
        <v>0</v>
      </c>
      <c r="V36" s="19">
        <f t="shared" si="27"/>
        <v>0</v>
      </c>
      <c r="W36" s="19">
        <f t="shared" si="28"/>
        <v>0</v>
      </c>
      <c r="X36" s="19">
        <f t="shared" si="29"/>
        <v>0</v>
      </c>
      <c r="Y36" s="19">
        <f t="shared" si="30"/>
        <v>0</v>
      </c>
    </row>
    <row r="37" spans="1:25" outlineLevel="1">
      <c r="A37" s="18" t="s">
        <v>57</v>
      </c>
      <c r="E37" s="2">
        <f t="shared" ref="E37:N37" si="32">SUBTOTAL(9,E31:E36)</f>
        <v>61.359514250893753</v>
      </c>
      <c r="F37" s="2">
        <f t="shared" si="32"/>
        <v>3963.9117574914399</v>
      </c>
      <c r="G37" s="2">
        <f t="shared" si="32"/>
        <v>1892.2531958089553</v>
      </c>
      <c r="H37" s="2">
        <f t="shared" si="32"/>
        <v>1269.6005664705135</v>
      </c>
      <c r="I37" s="2">
        <f t="shared" si="32"/>
        <v>655.0223983408714</v>
      </c>
      <c r="J37" s="2">
        <f t="shared" si="32"/>
        <v>0</v>
      </c>
      <c r="K37" s="2">
        <f t="shared" si="32"/>
        <v>0</v>
      </c>
      <c r="L37" s="2">
        <f t="shared" si="32"/>
        <v>0</v>
      </c>
      <c r="M37" s="2">
        <f t="shared" si="32"/>
        <v>0</v>
      </c>
      <c r="N37" s="2">
        <f t="shared" si="32"/>
        <v>1.5824370132059999</v>
      </c>
    </row>
    <row r="38" spans="1:25" outlineLevel="2">
      <c r="A38" s="1" t="s">
        <v>4</v>
      </c>
      <c r="B38">
        <v>199</v>
      </c>
      <c r="C38" s="5">
        <v>86.788885766000007</v>
      </c>
      <c r="D38" s="5">
        <v>33.653769560999997</v>
      </c>
      <c r="E38" s="2">
        <v>0</v>
      </c>
      <c r="F38" s="2">
        <v>26.304235864616579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P38" s="19">
        <f>IF(E$42&gt;0, E38/E$42, 0)</f>
        <v>0</v>
      </c>
      <c r="Q38" s="19">
        <f t="shared" ref="Q38:Q41" si="33">IF(F$42&gt;0, F38/F$42, 0)</f>
        <v>0.65078755611508532</v>
      </c>
      <c r="R38" s="19">
        <f t="shared" ref="R38:R41" si="34">IF(G$42&gt;0, G38/G$42, 0)</f>
        <v>0</v>
      </c>
      <c r="S38" s="19">
        <f t="shared" ref="S38:S41" si="35">IF(H$42&gt;0, H38/H$42, 0)</f>
        <v>0</v>
      </c>
      <c r="T38" s="19">
        <f t="shared" ref="T38:T41" si="36">IF(I$42&gt;0, I38/I$42, 0)</f>
        <v>0</v>
      </c>
      <c r="U38" s="19">
        <f t="shared" ref="U38:U41" si="37">IF(J$42&gt;0, J38/J$42, 0)</f>
        <v>0</v>
      </c>
      <c r="V38" s="19">
        <f t="shared" ref="V38:V41" si="38">IF(K$42&gt;0, K38/K$42, 0)</f>
        <v>0</v>
      </c>
      <c r="W38" s="19">
        <f t="shared" ref="W38:W41" si="39">IF(L$42&gt;0, L38/L$42, 0)</f>
        <v>0</v>
      </c>
      <c r="X38" s="19">
        <f t="shared" ref="X38:X41" si="40">IF(M$42&gt;0, M38/M$42, 0)</f>
        <v>0</v>
      </c>
      <c r="Y38" s="19">
        <f t="shared" ref="Y38:Y41" si="41">IF(N$42&gt;0, N38/N$42, 0)</f>
        <v>0</v>
      </c>
    </row>
    <row r="39" spans="1:25" outlineLevel="2">
      <c r="A39" s="1" t="s">
        <v>4</v>
      </c>
      <c r="B39">
        <v>206</v>
      </c>
      <c r="C39" s="5">
        <v>99.983698794399999</v>
      </c>
      <c r="D39" s="5">
        <v>27.554788731199999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P39" s="19">
        <f t="shared" ref="P39:P41" si="42">IF(E$42&gt;0, E39/E$42, 0)</f>
        <v>0</v>
      </c>
      <c r="Q39" s="19">
        <f t="shared" si="33"/>
        <v>0</v>
      </c>
      <c r="R39" s="19">
        <f t="shared" si="34"/>
        <v>0</v>
      </c>
      <c r="S39" s="19">
        <f t="shared" si="35"/>
        <v>0</v>
      </c>
      <c r="T39" s="19">
        <f t="shared" si="36"/>
        <v>0</v>
      </c>
      <c r="U39" s="19">
        <f t="shared" si="37"/>
        <v>0</v>
      </c>
      <c r="V39" s="19">
        <f t="shared" si="38"/>
        <v>0</v>
      </c>
      <c r="W39" s="19">
        <f t="shared" si="39"/>
        <v>0</v>
      </c>
      <c r="X39" s="19">
        <f t="shared" si="40"/>
        <v>0</v>
      </c>
      <c r="Y39" s="19">
        <f t="shared" si="41"/>
        <v>0</v>
      </c>
    </row>
    <row r="40" spans="1:25" outlineLevel="2">
      <c r="A40" s="1" t="s">
        <v>4</v>
      </c>
      <c r="B40">
        <v>207</v>
      </c>
      <c r="C40" s="5">
        <v>71.165463941699997</v>
      </c>
      <c r="D40" s="5">
        <v>18.9797691572</v>
      </c>
      <c r="E40" s="2">
        <v>26.900545369962597</v>
      </c>
      <c r="F40" s="2">
        <v>8.9668484566541995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P40" s="19">
        <f t="shared" si="42"/>
        <v>2.7811979046598257E-2</v>
      </c>
      <c r="Q40" s="19">
        <f t="shared" si="33"/>
        <v>0.2218469079731</v>
      </c>
      <c r="R40" s="19">
        <f t="shared" si="34"/>
        <v>0</v>
      </c>
      <c r="S40" s="19">
        <f t="shared" si="35"/>
        <v>0</v>
      </c>
      <c r="T40" s="19">
        <f t="shared" si="36"/>
        <v>0</v>
      </c>
      <c r="U40" s="19">
        <f t="shared" si="37"/>
        <v>0</v>
      </c>
      <c r="V40" s="19">
        <f t="shared" si="38"/>
        <v>0</v>
      </c>
      <c r="W40" s="19">
        <f t="shared" si="39"/>
        <v>0</v>
      </c>
      <c r="X40" s="19">
        <f t="shared" si="40"/>
        <v>0</v>
      </c>
      <c r="Y40" s="19">
        <f t="shared" si="41"/>
        <v>0</v>
      </c>
    </row>
    <row r="41" spans="1:25" outlineLevel="2">
      <c r="A41" s="1" t="s">
        <v>4</v>
      </c>
      <c r="B41">
        <v>209</v>
      </c>
      <c r="C41" s="5">
        <v>27.0947268038</v>
      </c>
      <c r="D41" s="5">
        <v>8.2225855836099999</v>
      </c>
      <c r="E41" s="2">
        <v>940.32819174692588</v>
      </c>
      <c r="F41" s="2">
        <v>5.1479980927220002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P41" s="19">
        <f t="shared" si="42"/>
        <v>0.97218802095340173</v>
      </c>
      <c r="Q41" s="19">
        <f t="shared" si="33"/>
        <v>0.12736553591181482</v>
      </c>
      <c r="R41" s="19">
        <f t="shared" si="34"/>
        <v>0</v>
      </c>
      <c r="S41" s="19">
        <f t="shared" si="35"/>
        <v>0</v>
      </c>
      <c r="T41" s="19">
        <f t="shared" si="36"/>
        <v>0</v>
      </c>
      <c r="U41" s="19">
        <f t="shared" si="37"/>
        <v>0</v>
      </c>
      <c r="V41" s="19">
        <f t="shared" si="38"/>
        <v>0</v>
      </c>
      <c r="W41" s="19">
        <f t="shared" si="39"/>
        <v>0</v>
      </c>
      <c r="X41" s="19">
        <f t="shared" si="40"/>
        <v>0</v>
      </c>
      <c r="Y41" s="19">
        <f t="shared" si="41"/>
        <v>0</v>
      </c>
    </row>
    <row r="42" spans="1:25" outlineLevel="1">
      <c r="A42" s="18" t="s">
        <v>58</v>
      </c>
      <c r="E42" s="2">
        <f t="shared" ref="E42:N42" si="43">SUBTOTAL(9,E38:E41)</f>
        <v>967.22873711688851</v>
      </c>
      <c r="F42" s="2">
        <f t="shared" si="43"/>
        <v>40.419082413992776</v>
      </c>
      <c r="G42" s="2">
        <f t="shared" si="43"/>
        <v>0</v>
      </c>
      <c r="H42" s="2">
        <f t="shared" si="43"/>
        <v>0</v>
      </c>
      <c r="I42" s="2">
        <f t="shared" si="43"/>
        <v>0</v>
      </c>
      <c r="J42" s="2">
        <f t="shared" si="43"/>
        <v>0</v>
      </c>
      <c r="K42" s="2">
        <f t="shared" si="43"/>
        <v>0</v>
      </c>
      <c r="L42" s="2">
        <f t="shared" si="43"/>
        <v>0</v>
      </c>
      <c r="M42" s="2">
        <f t="shared" si="43"/>
        <v>0</v>
      </c>
      <c r="N42" s="2">
        <f t="shared" si="43"/>
        <v>0</v>
      </c>
    </row>
    <row r="43" spans="1:25" outlineLevel="2">
      <c r="A43" s="1" t="s">
        <v>5</v>
      </c>
      <c r="B43">
        <v>338</v>
      </c>
      <c r="C43" s="5">
        <v>66.540594105699995</v>
      </c>
      <c r="D43" s="5">
        <v>38.880264539499997</v>
      </c>
      <c r="E43" s="2">
        <v>14.185236970463103</v>
      </c>
      <c r="F43" s="2">
        <v>232.82551881366606</v>
      </c>
      <c r="G43" s="2">
        <v>98.746241652858785</v>
      </c>
      <c r="H43" s="2">
        <v>31.274079229678996</v>
      </c>
      <c r="I43" s="2">
        <v>9.7149267394321992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P43" s="19">
        <f>IF(E$47&gt;0, E43/E$47, 0)</f>
        <v>0.22396992163908122</v>
      </c>
      <c r="Q43" s="19">
        <f t="shared" ref="Q43:Q46" si="44">IF(F$47&gt;0, F43/F$47, 0)</f>
        <v>0.55313252453291406</v>
      </c>
      <c r="R43" s="19">
        <f t="shared" ref="R43:R46" si="45">IF(G$47&gt;0, G43/G$47, 0)</f>
        <v>0.5495908017997041</v>
      </c>
      <c r="S43" s="19">
        <f t="shared" ref="S43:S46" si="46">IF(H$47&gt;0, H43/H$47, 0)</f>
        <v>0.4967697150266937</v>
      </c>
      <c r="T43" s="19">
        <f t="shared" ref="T43:T46" si="47">IF(I$47&gt;0, I43/I$47, 0)</f>
        <v>0.41966860084994406</v>
      </c>
      <c r="U43" s="19">
        <f t="shared" ref="U43:U46" si="48">IF(J$47&gt;0, J43/J$47, 0)</f>
        <v>0</v>
      </c>
      <c r="V43" s="19">
        <f t="shared" ref="V43:V46" si="49">IF(K$47&gt;0, K43/K$47, 0)</f>
        <v>0</v>
      </c>
      <c r="W43" s="19">
        <f t="shared" ref="W43:W46" si="50">IF(L$47&gt;0, L43/L$47, 0)</f>
        <v>0</v>
      </c>
      <c r="X43" s="19">
        <f t="shared" ref="X43:X46" si="51">IF(M$47&gt;0, M43/M$47, 0)</f>
        <v>0</v>
      </c>
      <c r="Y43" s="19">
        <f t="shared" ref="Y43:Y46" si="52">IF(N$47&gt;0, N43/N$47, 0)</f>
        <v>0</v>
      </c>
    </row>
    <row r="44" spans="1:25" outlineLevel="2">
      <c r="A44" s="1" t="s">
        <v>5</v>
      </c>
      <c r="B44">
        <v>339</v>
      </c>
      <c r="C44" s="5">
        <v>40.486176584799999</v>
      </c>
      <c r="D44" s="5">
        <v>20.685027191100001</v>
      </c>
      <c r="E44" s="2">
        <v>49.150218373947197</v>
      </c>
      <c r="F44" s="2">
        <v>139.59633686439039</v>
      </c>
      <c r="G44" s="2">
        <v>67.126080777598403</v>
      </c>
      <c r="H44" s="2">
        <v>28.380809785944798</v>
      </c>
      <c r="I44" s="2">
        <v>12.834117977381601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P44" s="19">
        <f t="shared" ref="P44:P46" si="53">IF(E$47&gt;0, E44/E$47, 0)</f>
        <v>0.77603007836091875</v>
      </c>
      <c r="Q44" s="19">
        <f t="shared" si="44"/>
        <v>0.3316443773809174</v>
      </c>
      <c r="R44" s="19">
        <f t="shared" si="45"/>
        <v>0.37360284238386465</v>
      </c>
      <c r="S44" s="19">
        <f t="shared" si="46"/>
        <v>0.45081189076898398</v>
      </c>
      <c r="T44" s="19">
        <f t="shared" si="47"/>
        <v>0.55441244995179928</v>
      </c>
      <c r="U44" s="19">
        <f t="shared" si="48"/>
        <v>0</v>
      </c>
      <c r="V44" s="19">
        <f t="shared" si="49"/>
        <v>0</v>
      </c>
      <c r="W44" s="19">
        <f t="shared" si="50"/>
        <v>0</v>
      </c>
      <c r="X44" s="19">
        <f t="shared" si="51"/>
        <v>0</v>
      </c>
      <c r="Y44" s="19">
        <f t="shared" si="52"/>
        <v>0</v>
      </c>
    </row>
    <row r="45" spans="1:25" outlineLevel="2">
      <c r="A45" s="1" t="s">
        <v>5</v>
      </c>
      <c r="B45">
        <v>340</v>
      </c>
      <c r="C45" s="5">
        <v>99.999814184399995</v>
      </c>
      <c r="D45" s="5">
        <v>22.311315830200002</v>
      </c>
      <c r="E45" s="2">
        <v>0</v>
      </c>
      <c r="F45" s="2">
        <v>48.499909879434</v>
      </c>
      <c r="G45" s="2">
        <v>13.7999743574472</v>
      </c>
      <c r="H45" s="2">
        <v>3.2999938680851995</v>
      </c>
      <c r="I45" s="2">
        <v>0.59999888510639987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P45" s="19">
        <f t="shared" si="53"/>
        <v>0</v>
      </c>
      <c r="Q45" s="19">
        <f t="shared" si="44"/>
        <v>0.11522309808616865</v>
      </c>
      <c r="R45" s="19">
        <f t="shared" si="45"/>
        <v>7.6806355816431124E-2</v>
      </c>
      <c r="S45" s="19">
        <f t="shared" si="46"/>
        <v>5.2418394204322274E-2</v>
      </c>
      <c r="T45" s="19">
        <f t="shared" si="47"/>
        <v>2.5918949198256741E-2</v>
      </c>
      <c r="U45" s="19">
        <f t="shared" si="48"/>
        <v>0</v>
      </c>
      <c r="V45" s="19">
        <f t="shared" si="49"/>
        <v>0</v>
      </c>
      <c r="W45" s="19">
        <f t="shared" si="50"/>
        <v>0</v>
      </c>
      <c r="X45" s="19">
        <f t="shared" si="51"/>
        <v>0</v>
      </c>
      <c r="Y45" s="19">
        <f t="shared" si="52"/>
        <v>0</v>
      </c>
    </row>
    <row r="46" spans="1:25" outlineLevel="2">
      <c r="A46" s="1" t="s">
        <v>5</v>
      </c>
      <c r="B46">
        <v>341</v>
      </c>
      <c r="C46" s="5">
        <v>89.345866651799994</v>
      </c>
      <c r="D46" s="5">
        <v>17.947815840299999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P46" s="19">
        <f t="shared" si="53"/>
        <v>0</v>
      </c>
      <c r="Q46" s="19">
        <f t="shared" si="44"/>
        <v>0</v>
      </c>
      <c r="R46" s="19">
        <f t="shared" si="45"/>
        <v>0</v>
      </c>
      <c r="S46" s="19">
        <f t="shared" si="46"/>
        <v>0</v>
      </c>
      <c r="T46" s="19">
        <f t="shared" si="47"/>
        <v>0</v>
      </c>
      <c r="U46" s="19">
        <f t="shared" si="48"/>
        <v>0</v>
      </c>
      <c r="V46" s="19">
        <f t="shared" si="49"/>
        <v>0</v>
      </c>
      <c r="W46" s="19">
        <f t="shared" si="50"/>
        <v>0</v>
      </c>
      <c r="X46" s="19">
        <f t="shared" si="51"/>
        <v>0</v>
      </c>
      <c r="Y46" s="19">
        <f t="shared" si="52"/>
        <v>0</v>
      </c>
    </row>
    <row r="47" spans="1:25" outlineLevel="1">
      <c r="A47" s="18" t="s">
        <v>59</v>
      </c>
      <c r="E47" s="2">
        <f t="shared" ref="E47:N47" si="54">SUBTOTAL(9,E43:E46)</f>
        <v>63.335455344410299</v>
      </c>
      <c r="F47" s="2">
        <f t="shared" si="54"/>
        <v>420.9217655574904</v>
      </c>
      <c r="G47" s="2">
        <f t="shared" si="54"/>
        <v>179.6722967879044</v>
      </c>
      <c r="H47" s="2">
        <f t="shared" si="54"/>
        <v>62.954882883708997</v>
      </c>
      <c r="I47" s="2">
        <f t="shared" si="54"/>
        <v>23.149043601920198</v>
      </c>
      <c r="J47" s="2">
        <f t="shared" si="54"/>
        <v>0</v>
      </c>
      <c r="K47" s="2">
        <f t="shared" si="54"/>
        <v>0</v>
      </c>
      <c r="L47" s="2">
        <f t="shared" si="54"/>
        <v>0</v>
      </c>
      <c r="M47" s="2">
        <f t="shared" si="54"/>
        <v>0</v>
      </c>
      <c r="N47" s="2">
        <f t="shared" si="54"/>
        <v>0</v>
      </c>
    </row>
    <row r="48" spans="1:25" outlineLevel="2">
      <c r="A48" s="1" t="s">
        <v>6</v>
      </c>
      <c r="B48">
        <v>147</v>
      </c>
      <c r="C48" s="5">
        <v>22.712745706300002</v>
      </c>
      <c r="D48" s="5">
        <v>1.7656235060600001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P48" s="19">
        <f>IF(E$64&gt;0, E48/E$64, 0)</f>
        <v>0</v>
      </c>
      <c r="Q48" s="19">
        <f t="shared" ref="Q48:Q63" si="55">IF(F$64&gt;0, F48/F$64, 0)</f>
        <v>0</v>
      </c>
      <c r="R48" s="19">
        <f t="shared" ref="R48:R63" si="56">IF(G$64&gt;0, G48/G$64, 0)</f>
        <v>0</v>
      </c>
      <c r="S48" s="19">
        <f t="shared" ref="S48:S63" si="57">IF(H$64&gt;0, H48/H$64, 0)</f>
        <v>0</v>
      </c>
      <c r="T48" s="19">
        <f t="shared" ref="T48:T63" si="58">IF(I$64&gt;0, I48/I$64, 0)</f>
        <v>0</v>
      </c>
      <c r="U48" s="19">
        <f t="shared" ref="U48:U63" si="59">IF(J$64&gt;0, J48/J$64, 0)</f>
        <v>0</v>
      </c>
      <c r="V48" s="19">
        <f t="shared" ref="V48:V63" si="60">IF(K$64&gt;0, K48/K$64, 0)</f>
        <v>0</v>
      </c>
      <c r="W48" s="19">
        <f t="shared" ref="W48:W63" si="61">IF(L$64&gt;0, L48/L$64, 0)</f>
        <v>0</v>
      </c>
      <c r="X48" s="19">
        <f t="shared" ref="X48:X63" si="62">IF(M$64&gt;0, M48/M$64, 0)</f>
        <v>0</v>
      </c>
      <c r="Y48" s="19">
        <f t="shared" ref="Y48:Y63" si="63">IF(N$64&gt;0, N48/N$64, 0)</f>
        <v>0</v>
      </c>
    </row>
    <row r="49" spans="1:25" outlineLevel="2">
      <c r="A49" s="1" t="s">
        <v>6</v>
      </c>
      <c r="B49">
        <v>160</v>
      </c>
      <c r="C49" s="5">
        <v>21.872414537299999</v>
      </c>
      <c r="D49" s="5">
        <v>2.2284163650700002</v>
      </c>
      <c r="E49" s="2">
        <v>52.712519034892992</v>
      </c>
      <c r="F49" s="2">
        <v>7.3272588699955001</v>
      </c>
      <c r="G49" s="2">
        <v>1.1373655559396001</v>
      </c>
      <c r="H49" s="2">
        <v>0.15310690176109998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P49" s="19">
        <f t="shared" ref="P49:P63" si="64">IF(E$64&gt;0, E49/E$64, 0)</f>
        <v>1</v>
      </c>
      <c r="Q49" s="19">
        <f t="shared" si="55"/>
        <v>1</v>
      </c>
      <c r="R49" s="19">
        <f t="shared" si="56"/>
        <v>1</v>
      </c>
      <c r="S49" s="19">
        <f t="shared" si="57"/>
        <v>1</v>
      </c>
      <c r="T49" s="19">
        <f t="shared" si="58"/>
        <v>0</v>
      </c>
      <c r="U49" s="19">
        <f t="shared" si="59"/>
        <v>0</v>
      </c>
      <c r="V49" s="19">
        <f t="shared" si="60"/>
        <v>0</v>
      </c>
      <c r="W49" s="19">
        <f t="shared" si="61"/>
        <v>0</v>
      </c>
      <c r="X49" s="19">
        <f t="shared" si="62"/>
        <v>0</v>
      </c>
      <c r="Y49" s="19">
        <f t="shared" si="63"/>
        <v>0</v>
      </c>
    </row>
    <row r="50" spans="1:25" outlineLevel="2">
      <c r="A50" s="1" t="s">
        <v>6</v>
      </c>
      <c r="B50">
        <v>162</v>
      </c>
      <c r="C50" s="5">
        <v>37.6516651755</v>
      </c>
      <c r="D50" s="5">
        <v>6.9724295649599997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P50" s="19">
        <f t="shared" si="64"/>
        <v>0</v>
      </c>
      <c r="Q50" s="19">
        <f t="shared" si="55"/>
        <v>0</v>
      </c>
      <c r="R50" s="19">
        <f t="shared" si="56"/>
        <v>0</v>
      </c>
      <c r="S50" s="19">
        <f t="shared" si="57"/>
        <v>0</v>
      </c>
      <c r="T50" s="19">
        <f t="shared" si="58"/>
        <v>0</v>
      </c>
      <c r="U50" s="19">
        <f t="shared" si="59"/>
        <v>0</v>
      </c>
      <c r="V50" s="19">
        <f t="shared" si="60"/>
        <v>0</v>
      </c>
      <c r="W50" s="19">
        <f t="shared" si="61"/>
        <v>0</v>
      </c>
      <c r="X50" s="19">
        <f t="shared" si="62"/>
        <v>0</v>
      </c>
      <c r="Y50" s="19">
        <f t="shared" si="63"/>
        <v>0</v>
      </c>
    </row>
    <row r="51" spans="1:25" outlineLevel="2">
      <c r="A51" s="1" t="s">
        <v>6</v>
      </c>
      <c r="B51">
        <v>171</v>
      </c>
      <c r="C51" s="5">
        <v>2.8629441835299998</v>
      </c>
      <c r="D51" s="5">
        <v>0.65401289497199999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P51" s="19">
        <f t="shared" si="64"/>
        <v>0</v>
      </c>
      <c r="Q51" s="19">
        <f t="shared" si="55"/>
        <v>0</v>
      </c>
      <c r="R51" s="19">
        <f t="shared" si="56"/>
        <v>0</v>
      </c>
      <c r="S51" s="19">
        <f t="shared" si="57"/>
        <v>0</v>
      </c>
      <c r="T51" s="19">
        <f t="shared" si="58"/>
        <v>0</v>
      </c>
      <c r="U51" s="19">
        <f t="shared" si="59"/>
        <v>0</v>
      </c>
      <c r="V51" s="19">
        <f t="shared" si="60"/>
        <v>0</v>
      </c>
      <c r="W51" s="19">
        <f t="shared" si="61"/>
        <v>0</v>
      </c>
      <c r="X51" s="19">
        <f t="shared" si="62"/>
        <v>0</v>
      </c>
      <c r="Y51" s="19">
        <f t="shared" si="63"/>
        <v>0</v>
      </c>
    </row>
    <row r="52" spans="1:25" outlineLevel="2">
      <c r="A52" s="1" t="s">
        <v>6</v>
      </c>
      <c r="B52">
        <v>187</v>
      </c>
      <c r="C52" s="5">
        <v>84.222333920300002</v>
      </c>
      <c r="D52" s="5">
        <v>6.3755283774400002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P52" s="19">
        <f t="shared" si="64"/>
        <v>0</v>
      </c>
      <c r="Q52" s="19">
        <f t="shared" si="55"/>
        <v>0</v>
      </c>
      <c r="R52" s="19">
        <f t="shared" si="56"/>
        <v>0</v>
      </c>
      <c r="S52" s="19">
        <f t="shared" si="57"/>
        <v>0</v>
      </c>
      <c r="T52" s="19">
        <f t="shared" si="58"/>
        <v>0</v>
      </c>
      <c r="U52" s="19">
        <f t="shared" si="59"/>
        <v>0</v>
      </c>
      <c r="V52" s="19">
        <f t="shared" si="60"/>
        <v>0</v>
      </c>
      <c r="W52" s="19">
        <f t="shared" si="61"/>
        <v>0</v>
      </c>
      <c r="X52" s="19">
        <f t="shared" si="62"/>
        <v>0</v>
      </c>
      <c r="Y52" s="19">
        <f t="shared" si="63"/>
        <v>0</v>
      </c>
    </row>
    <row r="53" spans="1:25" outlineLevel="2">
      <c r="A53" s="1" t="s">
        <v>6</v>
      </c>
      <c r="B53">
        <v>188</v>
      </c>
      <c r="C53" s="5">
        <v>99.9993740229</v>
      </c>
      <c r="D53" s="5">
        <v>2.6813531090599998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P53" s="19">
        <f t="shared" si="64"/>
        <v>0</v>
      </c>
      <c r="Q53" s="19">
        <f t="shared" si="55"/>
        <v>0</v>
      </c>
      <c r="R53" s="19">
        <f t="shared" si="56"/>
        <v>0</v>
      </c>
      <c r="S53" s="19">
        <f t="shared" si="57"/>
        <v>0</v>
      </c>
      <c r="T53" s="19">
        <f t="shared" si="58"/>
        <v>0</v>
      </c>
      <c r="U53" s="19">
        <f t="shared" si="59"/>
        <v>0</v>
      </c>
      <c r="V53" s="19">
        <f t="shared" si="60"/>
        <v>0</v>
      </c>
      <c r="W53" s="19">
        <f t="shared" si="61"/>
        <v>0</v>
      </c>
      <c r="X53" s="19">
        <f t="shared" si="62"/>
        <v>0</v>
      </c>
      <c r="Y53" s="19">
        <f t="shared" si="63"/>
        <v>0</v>
      </c>
    </row>
    <row r="54" spans="1:25" outlineLevel="2">
      <c r="A54" s="1" t="s">
        <v>6</v>
      </c>
      <c r="B54">
        <v>190</v>
      </c>
      <c r="C54" s="5">
        <v>24.076938890499999</v>
      </c>
      <c r="D54" s="5">
        <v>0.69776330371499995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P54" s="19">
        <f t="shared" si="64"/>
        <v>0</v>
      </c>
      <c r="Q54" s="19">
        <f t="shared" si="55"/>
        <v>0</v>
      </c>
      <c r="R54" s="19">
        <f t="shared" si="56"/>
        <v>0</v>
      </c>
      <c r="S54" s="19">
        <f t="shared" si="57"/>
        <v>0</v>
      </c>
      <c r="T54" s="19">
        <f t="shared" si="58"/>
        <v>0</v>
      </c>
      <c r="U54" s="19">
        <f t="shared" si="59"/>
        <v>0</v>
      </c>
      <c r="V54" s="19">
        <f t="shared" si="60"/>
        <v>0</v>
      </c>
      <c r="W54" s="19">
        <f t="shared" si="61"/>
        <v>0</v>
      </c>
      <c r="X54" s="19">
        <f t="shared" si="62"/>
        <v>0</v>
      </c>
      <c r="Y54" s="19">
        <f t="shared" si="63"/>
        <v>0</v>
      </c>
    </row>
    <row r="55" spans="1:25" outlineLevel="2">
      <c r="A55" s="1" t="s">
        <v>6</v>
      </c>
      <c r="B55">
        <v>256</v>
      </c>
      <c r="C55" s="5">
        <v>73.086192423900002</v>
      </c>
      <c r="D55" s="5">
        <v>8.0114465255699994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P55" s="19">
        <f t="shared" si="64"/>
        <v>0</v>
      </c>
      <c r="Q55" s="19">
        <f t="shared" si="55"/>
        <v>0</v>
      </c>
      <c r="R55" s="19">
        <f t="shared" si="56"/>
        <v>0</v>
      </c>
      <c r="S55" s="19">
        <f t="shared" si="57"/>
        <v>0</v>
      </c>
      <c r="T55" s="19">
        <f t="shared" si="58"/>
        <v>0</v>
      </c>
      <c r="U55" s="19">
        <f t="shared" si="59"/>
        <v>0</v>
      </c>
      <c r="V55" s="19">
        <f t="shared" si="60"/>
        <v>0</v>
      </c>
      <c r="W55" s="19">
        <f t="shared" si="61"/>
        <v>0</v>
      </c>
      <c r="X55" s="19">
        <f t="shared" si="62"/>
        <v>0</v>
      </c>
      <c r="Y55" s="19">
        <f t="shared" si="63"/>
        <v>0</v>
      </c>
    </row>
    <row r="56" spans="1:25" outlineLevel="2">
      <c r="A56" s="1" t="s">
        <v>6</v>
      </c>
      <c r="B56">
        <v>257</v>
      </c>
      <c r="C56" s="5">
        <v>99.998549827100007</v>
      </c>
      <c r="D56" s="5">
        <v>4.07570191765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P56" s="19">
        <f t="shared" si="64"/>
        <v>0</v>
      </c>
      <c r="Q56" s="19">
        <f t="shared" si="55"/>
        <v>0</v>
      </c>
      <c r="R56" s="19">
        <f t="shared" si="56"/>
        <v>0</v>
      </c>
      <c r="S56" s="19">
        <f t="shared" si="57"/>
        <v>0</v>
      </c>
      <c r="T56" s="19">
        <f t="shared" si="58"/>
        <v>0</v>
      </c>
      <c r="U56" s="19">
        <f t="shared" si="59"/>
        <v>0</v>
      </c>
      <c r="V56" s="19">
        <f t="shared" si="60"/>
        <v>0</v>
      </c>
      <c r="W56" s="19">
        <f t="shared" si="61"/>
        <v>0</v>
      </c>
      <c r="X56" s="19">
        <f t="shared" si="62"/>
        <v>0</v>
      </c>
      <c r="Y56" s="19">
        <f t="shared" si="63"/>
        <v>0</v>
      </c>
    </row>
    <row r="57" spans="1:25" outlineLevel="2">
      <c r="A57" s="1" t="s">
        <v>6</v>
      </c>
      <c r="B57">
        <v>258</v>
      </c>
      <c r="C57" s="5">
        <v>100</v>
      </c>
      <c r="D57" s="5">
        <v>1.20122992777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P57" s="19">
        <f t="shared" si="64"/>
        <v>0</v>
      </c>
      <c r="Q57" s="19">
        <f t="shared" si="55"/>
        <v>0</v>
      </c>
      <c r="R57" s="19">
        <f t="shared" si="56"/>
        <v>0</v>
      </c>
      <c r="S57" s="19">
        <f t="shared" si="57"/>
        <v>0</v>
      </c>
      <c r="T57" s="19">
        <f t="shared" si="58"/>
        <v>0</v>
      </c>
      <c r="U57" s="19">
        <f t="shared" si="59"/>
        <v>0</v>
      </c>
      <c r="V57" s="19">
        <f t="shared" si="60"/>
        <v>0</v>
      </c>
      <c r="W57" s="19">
        <f t="shared" si="61"/>
        <v>0</v>
      </c>
      <c r="X57" s="19">
        <f t="shared" si="62"/>
        <v>0</v>
      </c>
      <c r="Y57" s="19">
        <f t="shared" si="63"/>
        <v>0</v>
      </c>
    </row>
    <row r="58" spans="1:25" outlineLevel="2">
      <c r="A58" s="1" t="s">
        <v>6</v>
      </c>
      <c r="B58">
        <v>259</v>
      </c>
      <c r="C58" s="5">
        <v>90.393837342899999</v>
      </c>
      <c r="D58" s="5">
        <v>23.900221205200001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P58" s="19">
        <f t="shared" si="64"/>
        <v>0</v>
      </c>
      <c r="Q58" s="19">
        <f t="shared" si="55"/>
        <v>0</v>
      </c>
      <c r="R58" s="19">
        <f t="shared" si="56"/>
        <v>0</v>
      </c>
      <c r="S58" s="19">
        <f t="shared" si="57"/>
        <v>0</v>
      </c>
      <c r="T58" s="19">
        <f t="shared" si="58"/>
        <v>0</v>
      </c>
      <c r="U58" s="19">
        <f t="shared" si="59"/>
        <v>0</v>
      </c>
      <c r="V58" s="19">
        <f t="shared" si="60"/>
        <v>0</v>
      </c>
      <c r="W58" s="19">
        <f t="shared" si="61"/>
        <v>0</v>
      </c>
      <c r="X58" s="19">
        <f t="shared" si="62"/>
        <v>0</v>
      </c>
      <c r="Y58" s="19">
        <f t="shared" si="63"/>
        <v>0</v>
      </c>
    </row>
    <row r="59" spans="1:25" outlineLevel="2">
      <c r="A59" s="1" t="s">
        <v>6</v>
      </c>
      <c r="B59">
        <v>260</v>
      </c>
      <c r="C59" s="5">
        <v>81.973125802300004</v>
      </c>
      <c r="D59" s="5">
        <v>4.6011207321400001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P59" s="19">
        <f t="shared" si="64"/>
        <v>0</v>
      </c>
      <c r="Q59" s="19">
        <f t="shared" si="55"/>
        <v>0</v>
      </c>
      <c r="R59" s="19">
        <f t="shared" si="56"/>
        <v>0</v>
      </c>
      <c r="S59" s="19">
        <f t="shared" si="57"/>
        <v>0</v>
      </c>
      <c r="T59" s="19">
        <f t="shared" si="58"/>
        <v>0</v>
      </c>
      <c r="U59" s="19">
        <f t="shared" si="59"/>
        <v>0</v>
      </c>
      <c r="V59" s="19">
        <f t="shared" si="60"/>
        <v>0</v>
      </c>
      <c r="W59" s="19">
        <f t="shared" si="61"/>
        <v>0</v>
      </c>
      <c r="X59" s="19">
        <f t="shared" si="62"/>
        <v>0</v>
      </c>
      <c r="Y59" s="19">
        <f t="shared" si="63"/>
        <v>0</v>
      </c>
    </row>
    <row r="60" spans="1:25" outlineLevel="2">
      <c r="A60" s="1" t="s">
        <v>6</v>
      </c>
      <c r="B60">
        <v>261</v>
      </c>
      <c r="C60" s="5">
        <v>99.998010640100006</v>
      </c>
      <c r="D60" s="5">
        <v>12.5420293556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P60" s="19">
        <f t="shared" si="64"/>
        <v>0</v>
      </c>
      <c r="Q60" s="19">
        <f t="shared" si="55"/>
        <v>0</v>
      </c>
      <c r="R60" s="19">
        <f t="shared" si="56"/>
        <v>0</v>
      </c>
      <c r="S60" s="19">
        <f t="shared" si="57"/>
        <v>0</v>
      </c>
      <c r="T60" s="19">
        <f t="shared" si="58"/>
        <v>0</v>
      </c>
      <c r="U60" s="19">
        <f t="shared" si="59"/>
        <v>0</v>
      </c>
      <c r="V60" s="19">
        <f t="shared" si="60"/>
        <v>0</v>
      </c>
      <c r="W60" s="19">
        <f t="shared" si="61"/>
        <v>0</v>
      </c>
      <c r="X60" s="19">
        <f t="shared" si="62"/>
        <v>0</v>
      </c>
      <c r="Y60" s="19">
        <f t="shared" si="63"/>
        <v>0</v>
      </c>
    </row>
    <row r="61" spans="1:25" outlineLevel="2">
      <c r="A61" s="1" t="s">
        <v>6</v>
      </c>
      <c r="B61">
        <v>262</v>
      </c>
      <c r="C61" s="5">
        <v>92.578386870800003</v>
      </c>
      <c r="D61" s="5">
        <v>17.784347544300001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P61" s="19">
        <f t="shared" si="64"/>
        <v>0</v>
      </c>
      <c r="Q61" s="19">
        <f t="shared" si="55"/>
        <v>0</v>
      </c>
      <c r="R61" s="19">
        <f t="shared" si="56"/>
        <v>0</v>
      </c>
      <c r="S61" s="19">
        <f t="shared" si="57"/>
        <v>0</v>
      </c>
      <c r="T61" s="19">
        <f t="shared" si="58"/>
        <v>0</v>
      </c>
      <c r="U61" s="19">
        <f t="shared" si="59"/>
        <v>0</v>
      </c>
      <c r="V61" s="19">
        <f t="shared" si="60"/>
        <v>0</v>
      </c>
      <c r="W61" s="19">
        <f t="shared" si="61"/>
        <v>0</v>
      </c>
      <c r="X61" s="19">
        <f t="shared" si="62"/>
        <v>0</v>
      </c>
      <c r="Y61" s="19">
        <f t="shared" si="63"/>
        <v>0</v>
      </c>
    </row>
    <row r="62" spans="1:25" outlineLevel="2">
      <c r="A62" s="1" t="s">
        <v>6</v>
      </c>
      <c r="B62">
        <v>263</v>
      </c>
      <c r="C62" s="5">
        <v>15.192562647999999</v>
      </c>
      <c r="D62" s="5">
        <v>1.5720836460100001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P62" s="19">
        <f t="shared" si="64"/>
        <v>0</v>
      </c>
      <c r="Q62" s="19">
        <f t="shared" si="55"/>
        <v>0</v>
      </c>
      <c r="R62" s="19">
        <f t="shared" si="56"/>
        <v>0</v>
      </c>
      <c r="S62" s="19">
        <f t="shared" si="57"/>
        <v>0</v>
      </c>
      <c r="T62" s="19">
        <f t="shared" si="58"/>
        <v>0</v>
      </c>
      <c r="U62" s="19">
        <f t="shared" si="59"/>
        <v>0</v>
      </c>
      <c r="V62" s="19">
        <f t="shared" si="60"/>
        <v>0</v>
      </c>
      <c r="W62" s="19">
        <f t="shared" si="61"/>
        <v>0</v>
      </c>
      <c r="X62" s="19">
        <f t="shared" si="62"/>
        <v>0</v>
      </c>
      <c r="Y62" s="19">
        <f t="shared" si="63"/>
        <v>0</v>
      </c>
    </row>
    <row r="63" spans="1:25" outlineLevel="2">
      <c r="A63" s="1" t="s">
        <v>6</v>
      </c>
      <c r="B63">
        <v>264</v>
      </c>
      <c r="C63" s="5">
        <v>7.2006971454600004</v>
      </c>
      <c r="D63" s="5">
        <v>0.67280582712899994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P63" s="19">
        <f t="shared" si="64"/>
        <v>0</v>
      </c>
      <c r="Q63" s="19">
        <f t="shared" si="55"/>
        <v>0</v>
      </c>
      <c r="R63" s="19">
        <f t="shared" si="56"/>
        <v>0</v>
      </c>
      <c r="S63" s="19">
        <f t="shared" si="57"/>
        <v>0</v>
      </c>
      <c r="T63" s="19">
        <f t="shared" si="58"/>
        <v>0</v>
      </c>
      <c r="U63" s="19">
        <f t="shared" si="59"/>
        <v>0</v>
      </c>
      <c r="V63" s="19">
        <f t="shared" si="60"/>
        <v>0</v>
      </c>
      <c r="W63" s="19">
        <f t="shared" si="61"/>
        <v>0</v>
      </c>
      <c r="X63" s="19">
        <f t="shared" si="62"/>
        <v>0</v>
      </c>
      <c r="Y63" s="19">
        <f t="shared" si="63"/>
        <v>0</v>
      </c>
    </row>
    <row r="64" spans="1:25" outlineLevel="1">
      <c r="A64" s="18" t="s">
        <v>60</v>
      </c>
      <c r="E64" s="2">
        <f t="shared" ref="E64:N64" si="65">SUBTOTAL(9,E48:E63)</f>
        <v>52.712519034892992</v>
      </c>
      <c r="F64" s="2">
        <f t="shared" si="65"/>
        <v>7.3272588699955001</v>
      </c>
      <c r="G64" s="2">
        <f t="shared" si="65"/>
        <v>1.1373655559396001</v>
      </c>
      <c r="H64" s="2">
        <f t="shared" si="65"/>
        <v>0.15310690176109998</v>
      </c>
      <c r="I64" s="2">
        <f t="shared" si="65"/>
        <v>0</v>
      </c>
      <c r="J64" s="2">
        <f t="shared" si="65"/>
        <v>0</v>
      </c>
      <c r="K64" s="2">
        <f t="shared" si="65"/>
        <v>0</v>
      </c>
      <c r="L64" s="2">
        <f t="shared" si="65"/>
        <v>0</v>
      </c>
      <c r="M64" s="2">
        <f t="shared" si="65"/>
        <v>0</v>
      </c>
      <c r="N64" s="2">
        <f t="shared" si="65"/>
        <v>0</v>
      </c>
    </row>
    <row r="65" spans="1:25" outlineLevel="2">
      <c r="A65" s="1" t="s">
        <v>7</v>
      </c>
      <c r="B65">
        <v>149</v>
      </c>
      <c r="C65" s="5">
        <v>26.777473839500001</v>
      </c>
      <c r="D65" s="5">
        <v>1.5525480281899999</v>
      </c>
      <c r="E65" s="2">
        <v>0</v>
      </c>
      <c r="F65" s="2">
        <v>22.653989220976325</v>
      </c>
      <c r="G65" s="2">
        <v>6.2123739307640005</v>
      </c>
      <c r="H65" s="2">
        <v>0.48199452911100005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P65" s="19">
        <f>IF(E$81&gt;0, E65/E$81, 0)</f>
        <v>0</v>
      </c>
      <c r="Q65" s="19">
        <f t="shared" ref="Q65:Q80" si="66">IF(F$81&gt;0, F65/F$81, 0)</f>
        <v>2.6587216497584785E-3</v>
      </c>
      <c r="R65" s="19">
        <f t="shared" ref="R65:R80" si="67">IF(G$81&gt;0, G65/G$81, 0)</f>
        <v>1.4937335224978544E-3</v>
      </c>
      <c r="S65" s="19">
        <f t="shared" ref="S65:S80" si="68">IF(H$81&gt;0, H65/H$81, 0)</f>
        <v>4.0259209821216839E-4</v>
      </c>
      <c r="T65" s="19">
        <f t="shared" ref="T65:T80" si="69">IF(I$81&gt;0, I65/I$81, 0)</f>
        <v>0</v>
      </c>
      <c r="U65" s="19">
        <f t="shared" ref="U65:U80" si="70">IF(J$81&gt;0, J65/J$81, 0)</f>
        <v>0</v>
      </c>
      <c r="V65" s="19">
        <f t="shared" ref="V65:V80" si="71">IF(K$81&gt;0, K65/K$81, 0)</f>
        <v>0</v>
      </c>
      <c r="W65" s="19">
        <f t="shared" ref="W65:W80" si="72">IF(L$81&gt;0, L65/L$81, 0)</f>
        <v>0</v>
      </c>
      <c r="X65" s="19">
        <f t="shared" ref="X65:X80" si="73">IF(M$81&gt;0, M65/M$81, 0)</f>
        <v>0</v>
      </c>
      <c r="Y65" s="19">
        <f t="shared" ref="Y65:Y80" si="74">IF(N$81&gt;0, N65/N$81, 0)</f>
        <v>0</v>
      </c>
    </row>
    <row r="66" spans="1:25" outlineLevel="2">
      <c r="A66" s="1" t="s">
        <v>7</v>
      </c>
      <c r="B66">
        <v>150</v>
      </c>
      <c r="C66" s="5">
        <v>8.2392780112900006</v>
      </c>
      <c r="D66" s="5">
        <v>0.87349911395299995</v>
      </c>
      <c r="E66" s="2">
        <v>0</v>
      </c>
      <c r="F66" s="2">
        <v>0</v>
      </c>
      <c r="G66" s="2">
        <v>43.940069634209564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P66" s="19">
        <f t="shared" ref="P66:P80" si="75">IF(E$81&gt;0, E66/E$81, 0)</f>
        <v>0</v>
      </c>
      <c r="Q66" s="19">
        <f t="shared" si="66"/>
        <v>0</v>
      </c>
      <c r="R66" s="19">
        <f t="shared" si="67"/>
        <v>1.0565164899118858E-2</v>
      </c>
      <c r="S66" s="19">
        <f t="shared" si="68"/>
        <v>0</v>
      </c>
      <c r="T66" s="19">
        <f t="shared" si="69"/>
        <v>0</v>
      </c>
      <c r="U66" s="19">
        <f t="shared" si="70"/>
        <v>0</v>
      </c>
      <c r="V66" s="19">
        <f t="shared" si="71"/>
        <v>0</v>
      </c>
      <c r="W66" s="19">
        <f t="shared" si="72"/>
        <v>0</v>
      </c>
      <c r="X66" s="19">
        <f t="shared" si="73"/>
        <v>0</v>
      </c>
      <c r="Y66" s="19">
        <f t="shared" si="74"/>
        <v>0</v>
      </c>
    </row>
    <row r="67" spans="1:25" outlineLevel="2">
      <c r="A67" s="1" t="s">
        <v>7</v>
      </c>
      <c r="B67">
        <v>163</v>
      </c>
      <c r="C67" s="5">
        <v>85.012961056400002</v>
      </c>
      <c r="D67" s="5">
        <v>12.169319294099999</v>
      </c>
      <c r="E67" s="2">
        <v>0</v>
      </c>
      <c r="F67" s="2">
        <v>0</v>
      </c>
      <c r="G67" s="2">
        <v>2613.6807261596068</v>
      </c>
      <c r="H67" s="2">
        <v>640.31759717291652</v>
      </c>
      <c r="I67" s="2">
        <v>21.4232661862128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P67" s="19">
        <f t="shared" si="75"/>
        <v>0</v>
      </c>
      <c r="Q67" s="19">
        <f t="shared" si="66"/>
        <v>0</v>
      </c>
      <c r="R67" s="19">
        <f t="shared" si="67"/>
        <v>0.62844615621696909</v>
      </c>
      <c r="S67" s="19">
        <f t="shared" si="68"/>
        <v>0.53483346676877308</v>
      </c>
      <c r="T67" s="19">
        <f t="shared" si="69"/>
        <v>1</v>
      </c>
      <c r="U67" s="19">
        <f t="shared" si="70"/>
        <v>0</v>
      </c>
      <c r="V67" s="19">
        <f t="shared" si="71"/>
        <v>0</v>
      </c>
      <c r="W67" s="19">
        <f t="shared" si="72"/>
        <v>0</v>
      </c>
      <c r="X67" s="19">
        <f t="shared" si="73"/>
        <v>0</v>
      </c>
      <c r="Y67" s="19">
        <f t="shared" si="74"/>
        <v>0</v>
      </c>
    </row>
    <row r="68" spans="1:25" outlineLevel="2">
      <c r="A68" s="1" t="s">
        <v>7</v>
      </c>
      <c r="B68">
        <v>164</v>
      </c>
      <c r="C68" s="5">
        <v>99.999769446100004</v>
      </c>
      <c r="D68" s="5">
        <v>5.0355410066699999</v>
      </c>
      <c r="E68" s="2">
        <v>0</v>
      </c>
      <c r="F68" s="2">
        <v>61.463878292304798</v>
      </c>
      <c r="G68" s="2">
        <v>275.59937859341937</v>
      </c>
      <c r="H68" s="2">
        <v>399.59907870661561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P68" s="19">
        <f t="shared" si="75"/>
        <v>0</v>
      </c>
      <c r="Q68" s="19">
        <f t="shared" si="66"/>
        <v>7.2135349893500218E-3</v>
      </c>
      <c r="R68" s="19">
        <f t="shared" si="67"/>
        <v>6.6266460321383211E-2</v>
      </c>
      <c r="S68" s="19">
        <f t="shared" si="68"/>
        <v>0.33377024390062587</v>
      </c>
      <c r="T68" s="19">
        <f t="shared" si="69"/>
        <v>0</v>
      </c>
      <c r="U68" s="19">
        <f t="shared" si="70"/>
        <v>0</v>
      </c>
      <c r="V68" s="19">
        <f t="shared" si="71"/>
        <v>0</v>
      </c>
      <c r="W68" s="19">
        <f t="shared" si="72"/>
        <v>0</v>
      </c>
      <c r="X68" s="19">
        <f t="shared" si="73"/>
        <v>0</v>
      </c>
      <c r="Y68" s="19">
        <f t="shared" si="74"/>
        <v>0</v>
      </c>
    </row>
    <row r="69" spans="1:25" outlineLevel="2">
      <c r="A69" s="1" t="s">
        <v>7</v>
      </c>
      <c r="B69">
        <v>165</v>
      </c>
      <c r="C69" s="5">
        <v>95.765254940199995</v>
      </c>
      <c r="D69" s="5">
        <v>9.6153106802899995</v>
      </c>
      <c r="E69" s="2">
        <v>0</v>
      </c>
      <c r="F69" s="2">
        <v>2388.4627599223754</v>
      </c>
      <c r="G69" s="2">
        <v>596.42600776756558</v>
      </c>
      <c r="H69" s="2">
        <v>17.429276399116397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P69" s="19">
        <f t="shared" si="75"/>
        <v>0</v>
      </c>
      <c r="Q69" s="19">
        <f t="shared" si="66"/>
        <v>0.28031520574608221</v>
      </c>
      <c r="R69" s="19">
        <f t="shared" si="67"/>
        <v>0.14340758161387993</v>
      </c>
      <c r="S69" s="19">
        <f t="shared" si="68"/>
        <v>1.4558026143537732E-2</v>
      </c>
      <c r="T69" s="19">
        <f t="shared" si="69"/>
        <v>0</v>
      </c>
      <c r="U69" s="19">
        <f t="shared" si="70"/>
        <v>0</v>
      </c>
      <c r="V69" s="19">
        <f t="shared" si="71"/>
        <v>0</v>
      </c>
      <c r="W69" s="19">
        <f t="shared" si="72"/>
        <v>0</v>
      </c>
      <c r="X69" s="19">
        <f t="shared" si="73"/>
        <v>0</v>
      </c>
      <c r="Y69" s="19">
        <f t="shared" si="74"/>
        <v>0</v>
      </c>
    </row>
    <row r="70" spans="1:25" outlineLevel="2">
      <c r="A70" s="1" t="s">
        <v>7</v>
      </c>
      <c r="B70">
        <v>166</v>
      </c>
      <c r="C70" s="5">
        <v>99.999999734100001</v>
      </c>
      <c r="D70" s="5">
        <v>9.29272673993</v>
      </c>
      <c r="E70" s="2">
        <v>0</v>
      </c>
      <c r="F70" s="2">
        <v>5256.9551160217561</v>
      </c>
      <c r="G70" s="2">
        <v>613.10004836976691</v>
      </c>
      <c r="H70" s="2">
        <v>139.40004462933527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P70" s="19">
        <f t="shared" si="75"/>
        <v>0</v>
      </c>
      <c r="Q70" s="19">
        <f t="shared" si="66"/>
        <v>0.61696773325176313</v>
      </c>
      <c r="R70" s="19">
        <f t="shared" si="67"/>
        <v>0.1474167693544407</v>
      </c>
      <c r="S70" s="19">
        <f t="shared" si="68"/>
        <v>0.11643567108885097</v>
      </c>
      <c r="T70" s="19">
        <f t="shared" si="69"/>
        <v>0</v>
      </c>
      <c r="U70" s="19">
        <f t="shared" si="70"/>
        <v>0</v>
      </c>
      <c r="V70" s="19">
        <f t="shared" si="71"/>
        <v>0</v>
      </c>
      <c r="W70" s="19">
        <f t="shared" si="72"/>
        <v>0</v>
      </c>
      <c r="X70" s="19">
        <f t="shared" si="73"/>
        <v>0</v>
      </c>
      <c r="Y70" s="19">
        <f t="shared" si="74"/>
        <v>0</v>
      </c>
    </row>
    <row r="71" spans="1:25" outlineLevel="2">
      <c r="A71" s="1" t="s">
        <v>7</v>
      </c>
      <c r="B71">
        <v>167</v>
      </c>
      <c r="C71" s="5">
        <v>99.986909366399999</v>
      </c>
      <c r="D71" s="5">
        <v>6.1901457467899998</v>
      </c>
      <c r="E71" s="2">
        <v>0</v>
      </c>
      <c r="F71" s="2">
        <v>791.09642690695682</v>
      </c>
      <c r="G71" s="2">
        <v>9.998690936640001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P71" s="19">
        <f t="shared" si="75"/>
        <v>0</v>
      </c>
      <c r="Q71" s="19">
        <f t="shared" si="66"/>
        <v>9.2844804363046096E-2</v>
      </c>
      <c r="R71" s="19">
        <f t="shared" si="67"/>
        <v>2.40413407171031E-3</v>
      </c>
      <c r="S71" s="19">
        <f t="shared" si="68"/>
        <v>0</v>
      </c>
      <c r="T71" s="19">
        <f t="shared" si="69"/>
        <v>0</v>
      </c>
      <c r="U71" s="19">
        <f t="shared" si="70"/>
        <v>0</v>
      </c>
      <c r="V71" s="19">
        <f t="shared" si="71"/>
        <v>0</v>
      </c>
      <c r="W71" s="19">
        <f t="shared" si="72"/>
        <v>0</v>
      </c>
      <c r="X71" s="19">
        <f t="shared" si="73"/>
        <v>0</v>
      </c>
      <c r="Y71" s="19">
        <f t="shared" si="74"/>
        <v>0</v>
      </c>
    </row>
    <row r="72" spans="1:25" outlineLevel="2">
      <c r="A72" s="1" t="s">
        <v>7</v>
      </c>
      <c r="B72">
        <v>168</v>
      </c>
      <c r="C72" s="5">
        <v>92.094776086500005</v>
      </c>
      <c r="D72" s="5">
        <v>5.3903687328499998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P72" s="19">
        <f t="shared" si="75"/>
        <v>0</v>
      </c>
      <c r="Q72" s="19">
        <f t="shared" si="66"/>
        <v>0</v>
      </c>
      <c r="R72" s="19">
        <f t="shared" si="67"/>
        <v>0</v>
      </c>
      <c r="S72" s="19">
        <f t="shared" si="68"/>
        <v>0</v>
      </c>
      <c r="T72" s="19">
        <f t="shared" si="69"/>
        <v>0</v>
      </c>
      <c r="U72" s="19">
        <f t="shared" si="70"/>
        <v>0</v>
      </c>
      <c r="V72" s="19">
        <f t="shared" si="71"/>
        <v>0</v>
      </c>
      <c r="W72" s="19">
        <f t="shared" si="72"/>
        <v>0</v>
      </c>
      <c r="X72" s="19">
        <f t="shared" si="73"/>
        <v>0</v>
      </c>
      <c r="Y72" s="19">
        <f t="shared" si="74"/>
        <v>0</v>
      </c>
    </row>
    <row r="73" spans="1:25" outlineLevel="2">
      <c r="A73" s="1" t="s">
        <v>7</v>
      </c>
      <c r="B73">
        <v>169</v>
      </c>
      <c r="C73" s="5">
        <v>99.999146366299996</v>
      </c>
      <c r="D73" s="5">
        <v>7.93613379533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P73" s="19">
        <f t="shared" si="75"/>
        <v>0</v>
      </c>
      <c r="Q73" s="19">
        <f t="shared" si="66"/>
        <v>0</v>
      </c>
      <c r="R73" s="19">
        <f t="shared" si="67"/>
        <v>0</v>
      </c>
      <c r="S73" s="19">
        <f t="shared" si="68"/>
        <v>0</v>
      </c>
      <c r="T73" s="19">
        <f t="shared" si="69"/>
        <v>0</v>
      </c>
      <c r="U73" s="19">
        <f t="shared" si="70"/>
        <v>0</v>
      </c>
      <c r="V73" s="19">
        <f t="shared" si="71"/>
        <v>0</v>
      </c>
      <c r="W73" s="19">
        <f t="shared" si="72"/>
        <v>0</v>
      </c>
      <c r="X73" s="19">
        <f t="shared" si="73"/>
        <v>0</v>
      </c>
      <c r="Y73" s="19">
        <f t="shared" si="74"/>
        <v>0</v>
      </c>
    </row>
    <row r="74" spans="1:25" outlineLevel="2">
      <c r="A74" s="1" t="s">
        <v>7</v>
      </c>
      <c r="B74">
        <v>170</v>
      </c>
      <c r="C74" s="5">
        <v>83.274136497499995</v>
      </c>
      <c r="D74" s="5">
        <v>4.8095934832099996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P74" s="19">
        <f t="shared" si="75"/>
        <v>0</v>
      </c>
      <c r="Q74" s="19">
        <f t="shared" si="66"/>
        <v>0</v>
      </c>
      <c r="R74" s="19">
        <f t="shared" si="67"/>
        <v>0</v>
      </c>
      <c r="S74" s="19">
        <f t="shared" si="68"/>
        <v>0</v>
      </c>
      <c r="T74" s="19">
        <f t="shared" si="69"/>
        <v>0</v>
      </c>
      <c r="U74" s="19">
        <f t="shared" si="70"/>
        <v>0</v>
      </c>
      <c r="V74" s="19">
        <f t="shared" si="71"/>
        <v>0</v>
      </c>
      <c r="W74" s="19">
        <f t="shared" si="72"/>
        <v>0</v>
      </c>
      <c r="X74" s="19">
        <f t="shared" si="73"/>
        <v>0</v>
      </c>
      <c r="Y74" s="19">
        <f t="shared" si="74"/>
        <v>0</v>
      </c>
    </row>
    <row r="75" spans="1:25" outlineLevel="2">
      <c r="A75" s="1" t="s">
        <v>7</v>
      </c>
      <c r="B75">
        <v>171</v>
      </c>
      <c r="C75" s="5">
        <v>97.137055816399993</v>
      </c>
      <c r="D75" s="5">
        <v>12.821228864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P75" s="19">
        <f t="shared" si="75"/>
        <v>0</v>
      </c>
      <c r="Q75" s="19">
        <f t="shared" si="66"/>
        <v>0</v>
      </c>
      <c r="R75" s="19">
        <f t="shared" si="67"/>
        <v>0</v>
      </c>
      <c r="S75" s="19">
        <f t="shared" si="68"/>
        <v>0</v>
      </c>
      <c r="T75" s="19">
        <f t="shared" si="69"/>
        <v>0</v>
      </c>
      <c r="U75" s="19">
        <f t="shared" si="70"/>
        <v>0</v>
      </c>
      <c r="V75" s="19">
        <f t="shared" si="71"/>
        <v>0</v>
      </c>
      <c r="W75" s="19">
        <f t="shared" si="72"/>
        <v>0</v>
      </c>
      <c r="X75" s="19">
        <f t="shared" si="73"/>
        <v>0</v>
      </c>
      <c r="Y75" s="19">
        <f t="shared" si="74"/>
        <v>0</v>
      </c>
    </row>
    <row r="76" spans="1:25" outlineLevel="2">
      <c r="A76" s="1" t="s">
        <v>7</v>
      </c>
      <c r="B76">
        <v>172</v>
      </c>
      <c r="C76" s="5">
        <v>99.999670147499998</v>
      </c>
      <c r="D76" s="5">
        <v>13.2206350054</v>
      </c>
      <c r="E76" s="2">
        <v>113.99962396814999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P76" s="19">
        <f t="shared" si="75"/>
        <v>2.1580130412345494E-2</v>
      </c>
      <c r="Q76" s="19">
        <f t="shared" si="66"/>
        <v>0</v>
      </c>
      <c r="R76" s="19">
        <f t="shared" si="67"/>
        <v>0</v>
      </c>
      <c r="S76" s="19">
        <f t="shared" si="68"/>
        <v>0</v>
      </c>
      <c r="T76" s="19">
        <f t="shared" si="69"/>
        <v>0</v>
      </c>
      <c r="U76" s="19">
        <f t="shared" si="70"/>
        <v>0</v>
      </c>
      <c r="V76" s="19">
        <f t="shared" si="71"/>
        <v>0</v>
      </c>
      <c r="W76" s="19">
        <f t="shared" si="72"/>
        <v>0</v>
      </c>
      <c r="X76" s="19">
        <f t="shared" si="73"/>
        <v>0</v>
      </c>
      <c r="Y76" s="19">
        <f t="shared" si="74"/>
        <v>0</v>
      </c>
    </row>
    <row r="77" spans="1:25" outlineLevel="2">
      <c r="A77" s="1" t="s">
        <v>7</v>
      </c>
      <c r="B77">
        <v>173</v>
      </c>
      <c r="C77" s="5">
        <v>100</v>
      </c>
      <c r="D77" s="5">
        <v>0.59259297540800004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P77" s="19">
        <f t="shared" si="75"/>
        <v>0</v>
      </c>
      <c r="Q77" s="19">
        <f t="shared" si="66"/>
        <v>0</v>
      </c>
      <c r="R77" s="19">
        <f t="shared" si="67"/>
        <v>0</v>
      </c>
      <c r="S77" s="19">
        <f t="shared" si="68"/>
        <v>0</v>
      </c>
      <c r="T77" s="19">
        <f t="shared" si="69"/>
        <v>0</v>
      </c>
      <c r="U77" s="19">
        <f t="shared" si="70"/>
        <v>0</v>
      </c>
      <c r="V77" s="19">
        <f t="shared" si="71"/>
        <v>0</v>
      </c>
      <c r="W77" s="19">
        <f t="shared" si="72"/>
        <v>0</v>
      </c>
      <c r="X77" s="19">
        <f t="shared" si="73"/>
        <v>0</v>
      </c>
      <c r="Y77" s="19">
        <f t="shared" si="74"/>
        <v>0</v>
      </c>
    </row>
    <row r="78" spans="1:25" outlineLevel="2">
      <c r="A78" s="1" t="s">
        <v>7</v>
      </c>
      <c r="B78">
        <v>174</v>
      </c>
      <c r="C78" s="5">
        <v>99.999896010200004</v>
      </c>
      <c r="D78" s="5">
        <v>5.1400490335200004</v>
      </c>
      <c r="E78" s="2">
        <v>5168.620165156638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P78" s="19">
        <f t="shared" si="75"/>
        <v>0.97841986958765437</v>
      </c>
      <c r="Q78" s="19">
        <f t="shared" si="66"/>
        <v>0</v>
      </c>
      <c r="R78" s="19">
        <f t="shared" si="67"/>
        <v>0</v>
      </c>
      <c r="S78" s="19">
        <f t="shared" si="68"/>
        <v>0</v>
      </c>
      <c r="T78" s="19">
        <f t="shared" si="69"/>
        <v>0</v>
      </c>
      <c r="U78" s="19">
        <f t="shared" si="70"/>
        <v>0</v>
      </c>
      <c r="V78" s="19">
        <f t="shared" si="71"/>
        <v>0</v>
      </c>
      <c r="W78" s="19">
        <f t="shared" si="72"/>
        <v>0</v>
      </c>
      <c r="X78" s="19">
        <f t="shared" si="73"/>
        <v>0</v>
      </c>
      <c r="Y78" s="19">
        <f t="shared" si="74"/>
        <v>0</v>
      </c>
    </row>
    <row r="79" spans="1:25" outlineLevel="2">
      <c r="A79" s="1" t="s">
        <v>7</v>
      </c>
      <c r="B79">
        <v>175</v>
      </c>
      <c r="C79" s="5">
        <v>99.987850268700001</v>
      </c>
      <c r="D79" s="5">
        <v>2.1243382498000001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P79" s="19">
        <f t="shared" si="75"/>
        <v>0</v>
      </c>
      <c r="Q79" s="19">
        <f t="shared" si="66"/>
        <v>0</v>
      </c>
      <c r="R79" s="19">
        <f t="shared" si="67"/>
        <v>0</v>
      </c>
      <c r="S79" s="19">
        <f t="shared" si="68"/>
        <v>0</v>
      </c>
      <c r="T79" s="19">
        <f t="shared" si="69"/>
        <v>0</v>
      </c>
      <c r="U79" s="19">
        <f t="shared" si="70"/>
        <v>0</v>
      </c>
      <c r="V79" s="19">
        <f t="shared" si="71"/>
        <v>0</v>
      </c>
      <c r="W79" s="19">
        <f t="shared" si="72"/>
        <v>0</v>
      </c>
      <c r="X79" s="19">
        <f t="shared" si="73"/>
        <v>0</v>
      </c>
      <c r="Y79" s="19">
        <f t="shared" si="74"/>
        <v>0</v>
      </c>
    </row>
    <row r="80" spans="1:25" outlineLevel="2">
      <c r="A80" s="1" t="s">
        <v>7</v>
      </c>
      <c r="B80">
        <v>256</v>
      </c>
      <c r="C80" s="5">
        <v>20.700104552799999</v>
      </c>
      <c r="D80" s="5">
        <v>1.3110505182300001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P80" s="19">
        <f t="shared" si="75"/>
        <v>0</v>
      </c>
      <c r="Q80" s="19">
        <f t="shared" si="66"/>
        <v>0</v>
      </c>
      <c r="R80" s="19">
        <f t="shared" si="67"/>
        <v>0</v>
      </c>
      <c r="S80" s="19">
        <f t="shared" si="68"/>
        <v>0</v>
      </c>
      <c r="T80" s="19">
        <f t="shared" si="69"/>
        <v>0</v>
      </c>
      <c r="U80" s="19">
        <f t="shared" si="70"/>
        <v>0</v>
      </c>
      <c r="V80" s="19">
        <f t="shared" si="71"/>
        <v>0</v>
      </c>
      <c r="W80" s="19">
        <f t="shared" si="72"/>
        <v>0</v>
      </c>
      <c r="X80" s="19">
        <f t="shared" si="73"/>
        <v>0</v>
      </c>
      <c r="Y80" s="19">
        <f t="shared" si="74"/>
        <v>0</v>
      </c>
    </row>
    <row r="81" spans="1:25" outlineLevel="1">
      <c r="A81" s="18" t="s">
        <v>61</v>
      </c>
      <c r="E81" s="2">
        <f t="shared" ref="E81:N81" si="76">SUBTOTAL(9,E65:E80)</f>
        <v>5282.6197891247884</v>
      </c>
      <c r="F81" s="2">
        <f t="shared" si="76"/>
        <v>8520.6321703643698</v>
      </c>
      <c r="G81" s="2">
        <f t="shared" si="76"/>
        <v>4158.9572953919724</v>
      </c>
      <c r="H81" s="2">
        <f t="shared" si="76"/>
        <v>1197.2279914370949</v>
      </c>
      <c r="I81" s="2">
        <f t="shared" si="76"/>
        <v>21.4232661862128</v>
      </c>
      <c r="J81" s="2">
        <f t="shared" si="76"/>
        <v>0</v>
      </c>
      <c r="K81" s="2">
        <f t="shared" si="76"/>
        <v>0</v>
      </c>
      <c r="L81" s="2">
        <f t="shared" si="76"/>
        <v>0</v>
      </c>
      <c r="M81" s="2">
        <f t="shared" si="76"/>
        <v>0</v>
      </c>
      <c r="N81" s="2">
        <f t="shared" si="76"/>
        <v>0</v>
      </c>
    </row>
    <row r="82" spans="1:25" outlineLevel="2">
      <c r="A82" s="1" t="s">
        <v>8</v>
      </c>
      <c r="B82">
        <v>309</v>
      </c>
      <c r="C82" s="5">
        <v>99.999596210199996</v>
      </c>
      <c r="D82" s="5">
        <v>29.3812388192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867.02379903219935</v>
      </c>
      <c r="L82" s="2">
        <v>0</v>
      </c>
      <c r="M82" s="2">
        <v>0</v>
      </c>
      <c r="N82" s="2">
        <v>0</v>
      </c>
      <c r="P82" s="19">
        <f>IF(E$87&gt;0, E82/E$87, 0)</f>
        <v>0</v>
      </c>
      <c r="Q82" s="19">
        <f t="shared" ref="Q82:Q86" si="77">IF(F$87&gt;0, F82/F$87, 0)</f>
        <v>0</v>
      </c>
      <c r="R82" s="19">
        <f t="shared" ref="R82:R86" si="78">IF(G$87&gt;0, G82/G$87, 0)</f>
        <v>0</v>
      </c>
      <c r="S82" s="19">
        <f t="shared" ref="S82:S86" si="79">IF(H$87&gt;0, H82/H$87, 0)</f>
        <v>0</v>
      </c>
      <c r="T82" s="19">
        <f t="shared" ref="T82:T86" si="80">IF(I$87&gt;0, I82/I$87, 0)</f>
        <v>0</v>
      </c>
      <c r="U82" s="19">
        <f t="shared" ref="U82:U86" si="81">IF(J$87&gt;0, J82/J$87, 0)</f>
        <v>0</v>
      </c>
      <c r="V82" s="19">
        <f t="shared" ref="V82:V86" si="82">IF(K$87&gt;0, K82/K$87, 0)</f>
        <v>0.11752693471494159</v>
      </c>
      <c r="W82" s="19">
        <f t="shared" ref="W82:W86" si="83">IF(L$87&gt;0, L82/L$87, 0)</f>
        <v>0</v>
      </c>
      <c r="X82" s="19">
        <f t="shared" ref="X82:X86" si="84">IF(M$87&gt;0, M82/M$87, 0)</f>
        <v>0</v>
      </c>
      <c r="Y82" s="19">
        <f t="shared" ref="Y82:Y86" si="85">IF(N$87&gt;0, N82/N$87, 0)</f>
        <v>0</v>
      </c>
    </row>
    <row r="83" spans="1:25" outlineLevel="2">
      <c r="A83" s="1" t="s">
        <v>8</v>
      </c>
      <c r="B83">
        <v>310</v>
      </c>
      <c r="C83" s="5">
        <v>99.975659895700005</v>
      </c>
      <c r="D83" s="5">
        <v>3.8170045587199999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2717.2614547070061</v>
      </c>
      <c r="L83" s="2">
        <v>0.59985395937420005</v>
      </c>
      <c r="M83" s="2">
        <v>0</v>
      </c>
      <c r="N83" s="2">
        <v>0</v>
      </c>
      <c r="P83" s="19">
        <f t="shared" ref="P83:P86" si="86">IF(E$87&gt;0, E83/E$87, 0)</f>
        <v>0</v>
      </c>
      <c r="Q83" s="19">
        <f t="shared" si="77"/>
        <v>0</v>
      </c>
      <c r="R83" s="19">
        <f t="shared" si="78"/>
        <v>0</v>
      </c>
      <c r="S83" s="19">
        <f t="shared" si="79"/>
        <v>0</v>
      </c>
      <c r="T83" s="19">
        <f t="shared" si="80"/>
        <v>0</v>
      </c>
      <c r="U83" s="19">
        <f t="shared" si="81"/>
        <v>0</v>
      </c>
      <c r="V83" s="19">
        <f t="shared" si="82"/>
        <v>0.3683306155462493</v>
      </c>
      <c r="W83" s="19">
        <f t="shared" si="83"/>
        <v>1</v>
      </c>
      <c r="X83" s="19">
        <f t="shared" si="84"/>
        <v>0</v>
      </c>
      <c r="Y83" s="19">
        <f t="shared" si="85"/>
        <v>0</v>
      </c>
    </row>
    <row r="84" spans="1:25" outlineLevel="2">
      <c r="A84" s="1" t="s">
        <v>8</v>
      </c>
      <c r="B84">
        <v>311</v>
      </c>
      <c r="C84" s="5">
        <v>100</v>
      </c>
      <c r="D84" s="5">
        <v>18.305823016800002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691.5136</v>
      </c>
      <c r="L84" s="2">
        <v>0</v>
      </c>
      <c r="M84" s="2">
        <v>0</v>
      </c>
      <c r="N84" s="2">
        <v>0</v>
      </c>
      <c r="P84" s="19">
        <f t="shared" si="86"/>
        <v>0</v>
      </c>
      <c r="Q84" s="19">
        <f t="shared" si="77"/>
        <v>0</v>
      </c>
      <c r="R84" s="19">
        <f t="shared" si="78"/>
        <v>0</v>
      </c>
      <c r="S84" s="19">
        <f t="shared" si="79"/>
        <v>0</v>
      </c>
      <c r="T84" s="19">
        <f t="shared" si="80"/>
        <v>0</v>
      </c>
      <c r="U84" s="19">
        <f t="shared" si="81"/>
        <v>0</v>
      </c>
      <c r="V84" s="19">
        <f t="shared" si="82"/>
        <v>9.3736150971186885E-2</v>
      </c>
      <c r="W84" s="19">
        <f t="shared" si="83"/>
        <v>0</v>
      </c>
      <c r="X84" s="19">
        <f t="shared" si="84"/>
        <v>0</v>
      </c>
      <c r="Y84" s="19">
        <f t="shared" si="85"/>
        <v>0</v>
      </c>
    </row>
    <row r="85" spans="1:25" outlineLevel="2">
      <c r="A85" s="1" t="s">
        <v>8</v>
      </c>
      <c r="B85">
        <v>312</v>
      </c>
      <c r="C85" s="5">
        <v>100</v>
      </c>
      <c r="D85" s="5">
        <v>19.9161167024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P85" s="19">
        <f t="shared" si="86"/>
        <v>0</v>
      </c>
      <c r="Q85" s="19">
        <f t="shared" si="77"/>
        <v>0</v>
      </c>
      <c r="R85" s="19">
        <f t="shared" si="78"/>
        <v>0</v>
      </c>
      <c r="S85" s="19">
        <f t="shared" si="79"/>
        <v>0</v>
      </c>
      <c r="T85" s="19">
        <f t="shared" si="80"/>
        <v>0</v>
      </c>
      <c r="U85" s="19">
        <f t="shared" si="81"/>
        <v>0</v>
      </c>
      <c r="V85" s="19">
        <f t="shared" si="82"/>
        <v>0</v>
      </c>
      <c r="W85" s="19">
        <f t="shared" si="83"/>
        <v>0</v>
      </c>
      <c r="X85" s="19">
        <f t="shared" si="84"/>
        <v>0</v>
      </c>
      <c r="Y85" s="19">
        <f t="shared" si="85"/>
        <v>0</v>
      </c>
    </row>
    <row r="86" spans="1:25" outlineLevel="2">
      <c r="A86" s="1" t="s">
        <v>8</v>
      </c>
      <c r="B86">
        <v>313</v>
      </c>
      <c r="C86" s="5">
        <v>100</v>
      </c>
      <c r="D86" s="5">
        <v>14.4406728501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3101.4360000000001</v>
      </c>
      <c r="L86" s="2">
        <v>0</v>
      </c>
      <c r="M86" s="2">
        <v>0</v>
      </c>
      <c r="N86" s="2">
        <v>0</v>
      </c>
      <c r="P86" s="19">
        <f t="shared" si="86"/>
        <v>0</v>
      </c>
      <c r="Q86" s="19">
        <f t="shared" si="77"/>
        <v>0</v>
      </c>
      <c r="R86" s="19">
        <f t="shared" si="78"/>
        <v>0</v>
      </c>
      <c r="S86" s="19">
        <f t="shared" si="79"/>
        <v>0</v>
      </c>
      <c r="T86" s="19">
        <f t="shared" si="80"/>
        <v>0</v>
      </c>
      <c r="U86" s="19">
        <f t="shared" si="81"/>
        <v>0</v>
      </c>
      <c r="V86" s="19">
        <f t="shared" si="82"/>
        <v>0.42040629876762214</v>
      </c>
      <c r="W86" s="19">
        <f t="shared" si="83"/>
        <v>0</v>
      </c>
      <c r="X86" s="19">
        <f t="shared" si="84"/>
        <v>0</v>
      </c>
      <c r="Y86" s="19">
        <f t="shared" si="85"/>
        <v>0</v>
      </c>
    </row>
    <row r="87" spans="1:25" outlineLevel="1">
      <c r="A87" s="18" t="s">
        <v>62</v>
      </c>
      <c r="E87" s="2">
        <f t="shared" ref="E87:N87" si="87">SUBTOTAL(9,E82:E86)</f>
        <v>0</v>
      </c>
      <c r="F87" s="2">
        <f t="shared" si="87"/>
        <v>0</v>
      </c>
      <c r="G87" s="2">
        <f t="shared" si="87"/>
        <v>0</v>
      </c>
      <c r="H87" s="2">
        <f t="shared" si="87"/>
        <v>0</v>
      </c>
      <c r="I87" s="2">
        <f t="shared" si="87"/>
        <v>0</v>
      </c>
      <c r="J87" s="2">
        <f t="shared" si="87"/>
        <v>0</v>
      </c>
      <c r="K87" s="2">
        <f t="shared" si="87"/>
        <v>7377.2348537392063</v>
      </c>
      <c r="L87" s="2">
        <f t="shared" si="87"/>
        <v>0.59985395937420005</v>
      </c>
      <c r="M87" s="2">
        <f t="shared" si="87"/>
        <v>0</v>
      </c>
      <c r="N87" s="2">
        <f t="shared" si="87"/>
        <v>0</v>
      </c>
    </row>
    <row r="88" spans="1:25" outlineLevel="2">
      <c r="A88" s="1" t="s">
        <v>9</v>
      </c>
      <c r="B88">
        <v>144</v>
      </c>
      <c r="C88" s="5">
        <v>40.332677145799998</v>
      </c>
      <c r="D88" s="5">
        <v>7.4662018677799997</v>
      </c>
      <c r="E88" s="2">
        <v>40.655338562966399</v>
      </c>
      <c r="F88" s="2">
        <v>2.5006259830395998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P88" s="19">
        <f>IF(E$106&gt;0, E88/E$106, 0)</f>
        <v>3.4877727448128968E-3</v>
      </c>
      <c r="Q88" s="19">
        <f t="shared" ref="Q88:Q105" si="88">IF(F$106&gt;0, F88/F$106, 0)</f>
        <v>1.2160930291650481E-3</v>
      </c>
      <c r="R88" s="19">
        <f t="shared" ref="R88:R105" si="89">IF(G$106&gt;0, G88/G$106, 0)</f>
        <v>0</v>
      </c>
      <c r="S88" s="19">
        <f t="shared" ref="S88:S105" si="90">IF(H$106&gt;0, H88/H$106, 0)</f>
        <v>0</v>
      </c>
      <c r="T88" s="19">
        <f t="shared" ref="T88:T105" si="91">IF(I$106&gt;0, I88/I$106, 0)</f>
        <v>0</v>
      </c>
      <c r="U88" s="19">
        <f t="shared" ref="U88:U105" si="92">IF(J$106&gt;0, J88/J$106, 0)</f>
        <v>0</v>
      </c>
      <c r="V88" s="19">
        <f t="shared" ref="V88:V105" si="93">IF(K$106&gt;0, K88/K$106, 0)</f>
        <v>0</v>
      </c>
      <c r="W88" s="19">
        <f t="shared" ref="W88:W105" si="94">IF(L$106&gt;0, L88/L$106, 0)</f>
        <v>0</v>
      </c>
      <c r="X88" s="19">
        <f t="shared" ref="X88:X105" si="95">IF(M$106&gt;0, M88/M$106, 0)</f>
        <v>0</v>
      </c>
      <c r="Y88" s="19">
        <f t="shared" ref="Y88:Y105" si="96">IF(N$106&gt;0, N88/N$106, 0)</f>
        <v>0</v>
      </c>
    </row>
    <row r="89" spans="1:25" outlineLevel="2">
      <c r="A89" s="1" t="s">
        <v>9</v>
      </c>
      <c r="B89">
        <v>184</v>
      </c>
      <c r="C89" s="5">
        <v>99.998051419500001</v>
      </c>
      <c r="D89" s="5">
        <v>7.4713249686400003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P89" s="19">
        <f t="shared" ref="P89:P105" si="97">IF(E$106&gt;0, E89/E$106, 0)</f>
        <v>0</v>
      </c>
      <c r="Q89" s="19">
        <f t="shared" si="88"/>
        <v>0</v>
      </c>
      <c r="R89" s="19">
        <f t="shared" si="89"/>
        <v>0</v>
      </c>
      <c r="S89" s="19">
        <f t="shared" si="90"/>
        <v>0</v>
      </c>
      <c r="T89" s="19">
        <f t="shared" si="91"/>
        <v>0</v>
      </c>
      <c r="U89" s="19">
        <f t="shared" si="92"/>
        <v>0</v>
      </c>
      <c r="V89" s="19">
        <f t="shared" si="93"/>
        <v>0</v>
      </c>
      <c r="W89" s="19">
        <f t="shared" si="94"/>
        <v>0</v>
      </c>
      <c r="X89" s="19">
        <f t="shared" si="95"/>
        <v>0</v>
      </c>
      <c r="Y89" s="19">
        <f t="shared" si="96"/>
        <v>0</v>
      </c>
    </row>
    <row r="90" spans="1:25" outlineLevel="2">
      <c r="A90" s="1" t="s">
        <v>9</v>
      </c>
      <c r="B90">
        <v>185</v>
      </c>
      <c r="C90" s="5">
        <v>99.999630424000003</v>
      </c>
      <c r="D90" s="5">
        <v>13.8779566699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P90" s="19">
        <f t="shared" si="97"/>
        <v>0</v>
      </c>
      <c r="Q90" s="19">
        <f t="shared" si="88"/>
        <v>0</v>
      </c>
      <c r="R90" s="19">
        <f t="shared" si="89"/>
        <v>0</v>
      </c>
      <c r="S90" s="19">
        <f t="shared" si="90"/>
        <v>0</v>
      </c>
      <c r="T90" s="19">
        <f t="shared" si="91"/>
        <v>0</v>
      </c>
      <c r="U90" s="19">
        <f t="shared" si="92"/>
        <v>0</v>
      </c>
      <c r="V90" s="19">
        <f t="shared" si="93"/>
        <v>0</v>
      </c>
      <c r="W90" s="19">
        <f t="shared" si="94"/>
        <v>0</v>
      </c>
      <c r="X90" s="19">
        <f t="shared" si="95"/>
        <v>0</v>
      </c>
      <c r="Y90" s="19">
        <f t="shared" si="96"/>
        <v>0</v>
      </c>
    </row>
    <row r="91" spans="1:25" outlineLevel="2">
      <c r="A91" s="1" t="s">
        <v>9</v>
      </c>
      <c r="B91">
        <v>186</v>
      </c>
      <c r="C91" s="5">
        <v>99.998113374400006</v>
      </c>
      <c r="D91" s="5">
        <v>6.7681041651299996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P91" s="19">
        <f t="shared" si="97"/>
        <v>0</v>
      </c>
      <c r="Q91" s="19">
        <f t="shared" si="88"/>
        <v>0</v>
      </c>
      <c r="R91" s="19">
        <f t="shared" si="89"/>
        <v>0</v>
      </c>
      <c r="S91" s="19">
        <f t="shared" si="90"/>
        <v>0</v>
      </c>
      <c r="T91" s="19">
        <f t="shared" si="91"/>
        <v>0</v>
      </c>
      <c r="U91" s="19">
        <f t="shared" si="92"/>
        <v>0</v>
      </c>
      <c r="V91" s="19">
        <f t="shared" si="93"/>
        <v>0</v>
      </c>
      <c r="W91" s="19">
        <f t="shared" si="94"/>
        <v>0</v>
      </c>
      <c r="X91" s="19">
        <f t="shared" si="95"/>
        <v>0</v>
      </c>
      <c r="Y91" s="19">
        <f t="shared" si="96"/>
        <v>0</v>
      </c>
    </row>
    <row r="92" spans="1:25" outlineLevel="2">
      <c r="A92" s="1" t="s">
        <v>9</v>
      </c>
      <c r="B92">
        <v>187</v>
      </c>
      <c r="C92" s="5">
        <v>15.7774495913</v>
      </c>
      <c r="D92" s="5">
        <v>1.89846662006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P92" s="19">
        <f t="shared" si="97"/>
        <v>0</v>
      </c>
      <c r="Q92" s="19">
        <f t="shared" si="88"/>
        <v>0</v>
      </c>
      <c r="R92" s="19">
        <f t="shared" si="89"/>
        <v>0</v>
      </c>
      <c r="S92" s="19">
        <f t="shared" si="90"/>
        <v>0</v>
      </c>
      <c r="T92" s="19">
        <f t="shared" si="91"/>
        <v>0</v>
      </c>
      <c r="U92" s="19">
        <f t="shared" si="92"/>
        <v>0</v>
      </c>
      <c r="V92" s="19">
        <f t="shared" si="93"/>
        <v>0</v>
      </c>
      <c r="W92" s="19">
        <f t="shared" si="94"/>
        <v>0</v>
      </c>
      <c r="X92" s="19">
        <f t="shared" si="95"/>
        <v>0</v>
      </c>
      <c r="Y92" s="19">
        <f t="shared" si="96"/>
        <v>0</v>
      </c>
    </row>
    <row r="93" spans="1:25" outlineLevel="2">
      <c r="A93" s="1" t="s">
        <v>9</v>
      </c>
      <c r="B93">
        <v>189</v>
      </c>
      <c r="C93" s="5">
        <v>100</v>
      </c>
      <c r="D93" s="5">
        <v>1.53501572128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P93" s="19">
        <f t="shared" si="97"/>
        <v>0</v>
      </c>
      <c r="Q93" s="19">
        <f t="shared" si="88"/>
        <v>0</v>
      </c>
      <c r="R93" s="19">
        <f t="shared" si="89"/>
        <v>0</v>
      </c>
      <c r="S93" s="19">
        <f t="shared" si="90"/>
        <v>0</v>
      </c>
      <c r="T93" s="19">
        <f t="shared" si="91"/>
        <v>0</v>
      </c>
      <c r="U93" s="19">
        <f t="shared" si="92"/>
        <v>0</v>
      </c>
      <c r="V93" s="19">
        <f t="shared" si="93"/>
        <v>0</v>
      </c>
      <c r="W93" s="19">
        <f t="shared" si="94"/>
        <v>0</v>
      </c>
      <c r="X93" s="19">
        <f t="shared" si="95"/>
        <v>0</v>
      </c>
      <c r="Y93" s="19">
        <f t="shared" si="96"/>
        <v>0</v>
      </c>
    </row>
    <row r="94" spans="1:25" outlineLevel="2">
      <c r="A94" s="1" t="s">
        <v>9</v>
      </c>
      <c r="B94">
        <v>190</v>
      </c>
      <c r="C94" s="5">
        <v>75.923054358599998</v>
      </c>
      <c r="D94" s="5">
        <v>3.49750045519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P94" s="19">
        <f t="shared" si="97"/>
        <v>0</v>
      </c>
      <c r="Q94" s="19">
        <f t="shared" si="88"/>
        <v>0</v>
      </c>
      <c r="R94" s="19">
        <f t="shared" si="89"/>
        <v>0</v>
      </c>
      <c r="S94" s="19">
        <f t="shared" si="90"/>
        <v>0</v>
      </c>
      <c r="T94" s="19">
        <f t="shared" si="91"/>
        <v>0</v>
      </c>
      <c r="U94" s="19">
        <f t="shared" si="92"/>
        <v>0</v>
      </c>
      <c r="V94" s="19">
        <f t="shared" si="93"/>
        <v>0</v>
      </c>
      <c r="W94" s="19">
        <f t="shared" si="94"/>
        <v>0</v>
      </c>
      <c r="X94" s="19">
        <f t="shared" si="95"/>
        <v>0</v>
      </c>
      <c r="Y94" s="19">
        <f t="shared" si="96"/>
        <v>0</v>
      </c>
    </row>
    <row r="95" spans="1:25" outlineLevel="2">
      <c r="A95" s="1" t="s">
        <v>9</v>
      </c>
      <c r="B95">
        <v>199</v>
      </c>
      <c r="C95" s="5">
        <v>13.2092868897</v>
      </c>
      <c r="D95" s="5">
        <v>0.90392437889599997</v>
      </c>
      <c r="E95" s="2">
        <v>0</v>
      </c>
      <c r="F95" s="2">
        <v>4.0035102983909452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P95" s="19">
        <f t="shared" si="97"/>
        <v>0</v>
      </c>
      <c r="Q95" s="19">
        <f t="shared" si="88"/>
        <v>1.9469688786268244E-3</v>
      </c>
      <c r="R95" s="19">
        <f t="shared" si="89"/>
        <v>0</v>
      </c>
      <c r="S95" s="19">
        <f t="shared" si="90"/>
        <v>0</v>
      </c>
      <c r="T95" s="19">
        <f t="shared" si="91"/>
        <v>0</v>
      </c>
      <c r="U95" s="19">
        <f t="shared" si="92"/>
        <v>0</v>
      </c>
      <c r="V95" s="19">
        <f t="shared" si="93"/>
        <v>0</v>
      </c>
      <c r="W95" s="19">
        <f t="shared" si="94"/>
        <v>0</v>
      </c>
      <c r="X95" s="19">
        <f t="shared" si="95"/>
        <v>0</v>
      </c>
      <c r="Y95" s="19">
        <f t="shared" si="96"/>
        <v>0</v>
      </c>
    </row>
    <row r="96" spans="1:25" outlineLevel="2">
      <c r="A96" s="1" t="s">
        <v>9</v>
      </c>
      <c r="B96">
        <v>200</v>
      </c>
      <c r="C96" s="5">
        <v>99.998602130600005</v>
      </c>
      <c r="D96" s="5">
        <v>6.2753482304599997</v>
      </c>
      <c r="E96" s="2">
        <v>0</v>
      </c>
      <c r="F96" s="2">
        <v>370.2948236896118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P96" s="19">
        <f t="shared" si="97"/>
        <v>0</v>
      </c>
      <c r="Q96" s="19">
        <f t="shared" si="88"/>
        <v>0.18008009069691661</v>
      </c>
      <c r="R96" s="19">
        <f t="shared" si="89"/>
        <v>0</v>
      </c>
      <c r="S96" s="19">
        <f t="shared" si="90"/>
        <v>0</v>
      </c>
      <c r="T96" s="19">
        <f t="shared" si="91"/>
        <v>0</v>
      </c>
      <c r="U96" s="19">
        <f t="shared" si="92"/>
        <v>0</v>
      </c>
      <c r="V96" s="19">
        <f t="shared" si="93"/>
        <v>0</v>
      </c>
      <c r="W96" s="19">
        <f t="shared" si="94"/>
        <v>0</v>
      </c>
      <c r="X96" s="19">
        <f t="shared" si="95"/>
        <v>0</v>
      </c>
      <c r="Y96" s="19">
        <f t="shared" si="96"/>
        <v>0</v>
      </c>
    </row>
    <row r="97" spans="1:25" outlineLevel="2">
      <c r="A97" s="1" t="s">
        <v>9</v>
      </c>
      <c r="B97">
        <v>201</v>
      </c>
      <c r="C97" s="5">
        <v>100</v>
      </c>
      <c r="D97" s="5">
        <v>2.2315324683000002</v>
      </c>
      <c r="E97" s="2">
        <v>0</v>
      </c>
      <c r="F97" s="2">
        <v>1122.2999479999999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P97" s="19">
        <f t="shared" si="97"/>
        <v>0</v>
      </c>
      <c r="Q97" s="19">
        <f t="shared" si="88"/>
        <v>0.54579179479536044</v>
      </c>
      <c r="R97" s="19">
        <f t="shared" si="89"/>
        <v>0</v>
      </c>
      <c r="S97" s="19">
        <f t="shared" si="90"/>
        <v>0</v>
      </c>
      <c r="T97" s="19">
        <f t="shared" si="91"/>
        <v>0</v>
      </c>
      <c r="U97" s="19">
        <f t="shared" si="92"/>
        <v>0</v>
      </c>
      <c r="V97" s="19">
        <f t="shared" si="93"/>
        <v>0</v>
      </c>
      <c r="W97" s="19">
        <f t="shared" si="94"/>
        <v>0</v>
      </c>
      <c r="X97" s="19">
        <f t="shared" si="95"/>
        <v>0</v>
      </c>
      <c r="Y97" s="19">
        <f t="shared" si="96"/>
        <v>0</v>
      </c>
    </row>
    <row r="98" spans="1:25" outlineLevel="2">
      <c r="A98" s="1" t="s">
        <v>9</v>
      </c>
      <c r="B98">
        <v>202</v>
      </c>
      <c r="C98" s="5">
        <v>99.999985849699996</v>
      </c>
      <c r="D98" s="5">
        <v>9.3378355190600004</v>
      </c>
      <c r="E98" s="2">
        <v>4.6324853444893339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P98" s="19">
        <f t="shared" si="97"/>
        <v>3.9741536281222376E-4</v>
      </c>
      <c r="Q98" s="19">
        <f t="shared" si="88"/>
        <v>0</v>
      </c>
      <c r="R98" s="19">
        <f t="shared" si="89"/>
        <v>0</v>
      </c>
      <c r="S98" s="19">
        <f t="shared" si="90"/>
        <v>0</v>
      </c>
      <c r="T98" s="19">
        <f t="shared" si="91"/>
        <v>0</v>
      </c>
      <c r="U98" s="19">
        <f t="shared" si="92"/>
        <v>0</v>
      </c>
      <c r="V98" s="19">
        <f t="shared" si="93"/>
        <v>0</v>
      </c>
      <c r="W98" s="19">
        <f t="shared" si="94"/>
        <v>0</v>
      </c>
      <c r="X98" s="19">
        <f t="shared" si="95"/>
        <v>0</v>
      </c>
      <c r="Y98" s="19">
        <f t="shared" si="96"/>
        <v>0</v>
      </c>
    </row>
    <row r="99" spans="1:25" outlineLevel="2">
      <c r="A99" s="1" t="s">
        <v>9</v>
      </c>
      <c r="B99">
        <v>203</v>
      </c>
      <c r="C99" s="5">
        <v>99.997265921600004</v>
      </c>
      <c r="D99" s="5">
        <v>4.83368985167</v>
      </c>
      <c r="E99" s="2">
        <v>0</v>
      </c>
      <c r="F99" s="2">
        <v>177.79513880860483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P99" s="19">
        <f t="shared" si="97"/>
        <v>0</v>
      </c>
      <c r="Q99" s="19">
        <f t="shared" si="88"/>
        <v>8.6464521440251088E-2</v>
      </c>
      <c r="R99" s="19">
        <f t="shared" si="89"/>
        <v>0</v>
      </c>
      <c r="S99" s="19">
        <f t="shared" si="90"/>
        <v>0</v>
      </c>
      <c r="T99" s="19">
        <f t="shared" si="91"/>
        <v>0</v>
      </c>
      <c r="U99" s="19">
        <f t="shared" si="92"/>
        <v>0</v>
      </c>
      <c r="V99" s="19">
        <f t="shared" si="93"/>
        <v>0</v>
      </c>
      <c r="W99" s="19">
        <f t="shared" si="94"/>
        <v>0</v>
      </c>
      <c r="X99" s="19">
        <f t="shared" si="95"/>
        <v>0</v>
      </c>
      <c r="Y99" s="19">
        <f t="shared" si="96"/>
        <v>0</v>
      </c>
    </row>
    <row r="100" spans="1:25" outlineLevel="2">
      <c r="A100" s="1" t="s">
        <v>9</v>
      </c>
      <c r="B100">
        <v>204</v>
      </c>
      <c r="C100" s="5">
        <v>100</v>
      </c>
      <c r="D100" s="5">
        <v>2.3507092066799999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P100" s="19">
        <f t="shared" si="97"/>
        <v>0</v>
      </c>
      <c r="Q100" s="19">
        <f t="shared" si="88"/>
        <v>0</v>
      </c>
      <c r="R100" s="19">
        <f t="shared" si="89"/>
        <v>0</v>
      </c>
      <c r="S100" s="19">
        <f t="shared" si="90"/>
        <v>0</v>
      </c>
      <c r="T100" s="19">
        <f t="shared" si="91"/>
        <v>0</v>
      </c>
      <c r="U100" s="19">
        <f t="shared" si="92"/>
        <v>0</v>
      </c>
      <c r="V100" s="19">
        <f t="shared" si="93"/>
        <v>0</v>
      </c>
      <c r="W100" s="19">
        <f t="shared" si="94"/>
        <v>0</v>
      </c>
      <c r="X100" s="19">
        <f t="shared" si="95"/>
        <v>0</v>
      </c>
      <c r="Y100" s="19">
        <f t="shared" si="96"/>
        <v>0</v>
      </c>
    </row>
    <row r="101" spans="1:25" outlineLevel="2">
      <c r="A101" s="1" t="s">
        <v>9</v>
      </c>
      <c r="B101">
        <v>205</v>
      </c>
      <c r="C101" s="5">
        <v>99.995792607699997</v>
      </c>
      <c r="D101" s="5">
        <v>14.2187981519</v>
      </c>
      <c r="E101" s="2">
        <v>6666.3489627456838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P101" s="19">
        <f t="shared" si="97"/>
        <v>0.57189808378217677</v>
      </c>
      <c r="Q101" s="19">
        <f t="shared" si="88"/>
        <v>0</v>
      </c>
      <c r="R101" s="19">
        <f t="shared" si="89"/>
        <v>0</v>
      </c>
      <c r="S101" s="19">
        <f t="shared" si="90"/>
        <v>0</v>
      </c>
      <c r="T101" s="19">
        <f t="shared" si="91"/>
        <v>0</v>
      </c>
      <c r="U101" s="19">
        <f t="shared" si="92"/>
        <v>0</v>
      </c>
      <c r="V101" s="19">
        <f t="shared" si="93"/>
        <v>0</v>
      </c>
      <c r="W101" s="19">
        <f t="shared" si="94"/>
        <v>0</v>
      </c>
      <c r="X101" s="19">
        <f t="shared" si="95"/>
        <v>0</v>
      </c>
      <c r="Y101" s="19">
        <f t="shared" si="96"/>
        <v>0</v>
      </c>
    </row>
    <row r="102" spans="1:25" outlineLevel="2">
      <c r="A102" s="1" t="s">
        <v>9</v>
      </c>
      <c r="B102">
        <v>207</v>
      </c>
      <c r="C102" s="5">
        <v>28.834008765899998</v>
      </c>
      <c r="D102" s="5">
        <v>1.35709356178</v>
      </c>
      <c r="E102" s="2">
        <v>10.899255313510197</v>
      </c>
      <c r="F102" s="2">
        <v>3.6330851045033996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P102" s="19">
        <f t="shared" si="97"/>
        <v>9.3503404386467682E-4</v>
      </c>
      <c r="Q102" s="19">
        <f t="shared" si="88"/>
        <v>1.7668253868895309E-3</v>
      </c>
      <c r="R102" s="19">
        <f t="shared" si="89"/>
        <v>0</v>
      </c>
      <c r="S102" s="19">
        <f t="shared" si="90"/>
        <v>0</v>
      </c>
      <c r="T102" s="19">
        <f t="shared" si="91"/>
        <v>0</v>
      </c>
      <c r="U102" s="19">
        <f t="shared" si="92"/>
        <v>0</v>
      </c>
      <c r="V102" s="19">
        <f t="shared" si="93"/>
        <v>0</v>
      </c>
      <c r="W102" s="19">
        <f t="shared" si="94"/>
        <v>0</v>
      </c>
      <c r="X102" s="19">
        <f t="shared" si="95"/>
        <v>0</v>
      </c>
      <c r="Y102" s="19">
        <f t="shared" si="96"/>
        <v>0</v>
      </c>
    </row>
    <row r="103" spans="1:25" outlineLevel="2">
      <c r="A103" s="1" t="s">
        <v>9</v>
      </c>
      <c r="B103">
        <v>208</v>
      </c>
      <c r="C103" s="5">
        <v>100</v>
      </c>
      <c r="D103" s="5">
        <v>3.3952001547999999</v>
      </c>
      <c r="E103" s="2">
        <v>46.700890000000001</v>
      </c>
      <c r="F103" s="2">
        <v>351.9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P103" s="19">
        <f t="shared" si="97"/>
        <v>4.0064133532730457E-3</v>
      </c>
      <c r="Q103" s="19">
        <f t="shared" si="88"/>
        <v>0.17113440389154089</v>
      </c>
      <c r="R103" s="19">
        <f t="shared" si="89"/>
        <v>0</v>
      </c>
      <c r="S103" s="19">
        <f t="shared" si="90"/>
        <v>0</v>
      </c>
      <c r="T103" s="19">
        <f t="shared" si="91"/>
        <v>0</v>
      </c>
      <c r="U103" s="19">
        <f t="shared" si="92"/>
        <v>0</v>
      </c>
      <c r="V103" s="19">
        <f t="shared" si="93"/>
        <v>0</v>
      </c>
      <c r="W103" s="19">
        <f t="shared" si="94"/>
        <v>0</v>
      </c>
      <c r="X103" s="19">
        <f t="shared" si="95"/>
        <v>0</v>
      </c>
      <c r="Y103" s="19">
        <f t="shared" si="96"/>
        <v>0</v>
      </c>
    </row>
    <row r="104" spans="1:25" outlineLevel="2">
      <c r="A104" s="1" t="s">
        <v>9</v>
      </c>
      <c r="B104">
        <v>209</v>
      </c>
      <c r="C104" s="5">
        <v>72.903930847799998</v>
      </c>
      <c r="D104" s="5">
        <v>3.9044304794600002</v>
      </c>
      <c r="E104" s="2">
        <v>2530.1462517695563</v>
      </c>
      <c r="F104" s="2">
        <v>13.851746861081999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P104" s="19">
        <f t="shared" si="97"/>
        <v>0.21705821299815262</v>
      </c>
      <c r="Q104" s="19">
        <f t="shared" si="88"/>
        <v>6.7363183913833214E-3</v>
      </c>
      <c r="R104" s="19">
        <f t="shared" si="89"/>
        <v>0</v>
      </c>
      <c r="S104" s="19">
        <f t="shared" si="90"/>
        <v>0</v>
      </c>
      <c r="T104" s="19">
        <f t="shared" si="91"/>
        <v>0</v>
      </c>
      <c r="U104" s="19">
        <f t="shared" si="92"/>
        <v>0</v>
      </c>
      <c r="V104" s="19">
        <f t="shared" si="93"/>
        <v>0</v>
      </c>
      <c r="W104" s="19">
        <f t="shared" si="94"/>
        <v>0</v>
      </c>
      <c r="X104" s="19">
        <f t="shared" si="95"/>
        <v>0</v>
      </c>
      <c r="Y104" s="19">
        <f t="shared" si="96"/>
        <v>0</v>
      </c>
    </row>
    <row r="105" spans="1:25" outlineLevel="2">
      <c r="A105" s="1" t="s">
        <v>9</v>
      </c>
      <c r="B105">
        <v>210</v>
      </c>
      <c r="C105" s="5">
        <v>99.996485286999999</v>
      </c>
      <c r="D105" s="5">
        <v>8.6752376225300001</v>
      </c>
      <c r="E105" s="2">
        <v>2357.149950032338</v>
      </c>
      <c r="F105" s="2">
        <v>9.9996485286999999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P105" s="19">
        <f t="shared" si="97"/>
        <v>0.20221706771490758</v>
      </c>
      <c r="Q105" s="19">
        <f t="shared" si="88"/>
        <v>4.8629834898664352E-3</v>
      </c>
      <c r="R105" s="19">
        <f t="shared" si="89"/>
        <v>0</v>
      </c>
      <c r="S105" s="19">
        <f t="shared" si="90"/>
        <v>0</v>
      </c>
      <c r="T105" s="19">
        <f t="shared" si="91"/>
        <v>0</v>
      </c>
      <c r="U105" s="19">
        <f t="shared" si="92"/>
        <v>0</v>
      </c>
      <c r="V105" s="19">
        <f t="shared" si="93"/>
        <v>0</v>
      </c>
      <c r="W105" s="19">
        <f t="shared" si="94"/>
        <v>0</v>
      </c>
      <c r="X105" s="19">
        <f t="shared" si="95"/>
        <v>0</v>
      </c>
      <c r="Y105" s="19">
        <f t="shared" si="96"/>
        <v>0</v>
      </c>
    </row>
    <row r="106" spans="1:25" outlineLevel="1">
      <c r="A106" s="18" t="s">
        <v>63</v>
      </c>
      <c r="E106" s="2">
        <f t="shared" ref="E106:N106" si="98">SUBTOTAL(9,E88:E105)</f>
        <v>11656.533133768546</v>
      </c>
      <c r="F106" s="2">
        <f t="shared" si="98"/>
        <v>2056.278527273932</v>
      </c>
      <c r="G106" s="2">
        <f t="shared" si="98"/>
        <v>0</v>
      </c>
      <c r="H106" s="2">
        <f t="shared" si="98"/>
        <v>0</v>
      </c>
      <c r="I106" s="2">
        <f t="shared" si="98"/>
        <v>0</v>
      </c>
      <c r="J106" s="2">
        <f t="shared" si="98"/>
        <v>0</v>
      </c>
      <c r="K106" s="2">
        <f t="shared" si="98"/>
        <v>0</v>
      </c>
      <c r="L106" s="2">
        <f t="shared" si="98"/>
        <v>0</v>
      </c>
      <c r="M106" s="2">
        <f t="shared" si="98"/>
        <v>0</v>
      </c>
      <c r="N106" s="2">
        <f t="shared" si="98"/>
        <v>0</v>
      </c>
    </row>
    <row r="107" spans="1:25" outlineLevel="2">
      <c r="A107" s="1" t="s">
        <v>10</v>
      </c>
      <c r="B107">
        <v>342</v>
      </c>
      <c r="C107" s="5">
        <v>99.998275091799997</v>
      </c>
      <c r="D107" s="5">
        <v>42.496149191199997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49.65859342007488</v>
      </c>
      <c r="M107" s="2">
        <v>2641.9543279270806</v>
      </c>
      <c r="N107" s="2">
        <v>0</v>
      </c>
      <c r="P107" s="19">
        <f>IF(E$108&gt;0, E107/E$108, 0)</f>
        <v>0</v>
      </c>
      <c r="Q107" s="19">
        <f t="shared" ref="Q107:Y107" si="99">IF(F$108&gt;0, F107/F$108, 0)</f>
        <v>0</v>
      </c>
      <c r="R107" s="19">
        <f t="shared" si="99"/>
        <v>0</v>
      </c>
      <c r="S107" s="19">
        <f t="shared" si="99"/>
        <v>0</v>
      </c>
      <c r="T107" s="19">
        <f t="shared" si="99"/>
        <v>0</v>
      </c>
      <c r="U107" s="19">
        <f t="shared" si="99"/>
        <v>0</v>
      </c>
      <c r="V107" s="19">
        <f t="shared" si="99"/>
        <v>0</v>
      </c>
      <c r="W107" s="19">
        <f t="shared" si="99"/>
        <v>1</v>
      </c>
      <c r="X107" s="19">
        <f t="shared" si="99"/>
        <v>1</v>
      </c>
      <c r="Y107" s="19">
        <f t="shared" si="99"/>
        <v>0</v>
      </c>
    </row>
    <row r="108" spans="1:25" outlineLevel="1">
      <c r="A108" s="18" t="s">
        <v>64</v>
      </c>
      <c r="E108" s="2">
        <f t="shared" ref="E108:N108" si="100">SUBTOTAL(9,E107:E107)</f>
        <v>0</v>
      </c>
      <c r="F108" s="2">
        <f t="shared" si="100"/>
        <v>0</v>
      </c>
      <c r="G108" s="2">
        <f t="shared" si="100"/>
        <v>0</v>
      </c>
      <c r="H108" s="2">
        <f t="shared" si="100"/>
        <v>0</v>
      </c>
      <c r="I108" s="2">
        <f t="shared" si="100"/>
        <v>0</v>
      </c>
      <c r="J108" s="2">
        <f t="shared" si="100"/>
        <v>0</v>
      </c>
      <c r="K108" s="2">
        <f t="shared" si="100"/>
        <v>0</v>
      </c>
      <c r="L108" s="2">
        <f t="shared" si="100"/>
        <v>49.65859342007488</v>
      </c>
      <c r="M108" s="2">
        <f t="shared" si="100"/>
        <v>2641.9543279270806</v>
      </c>
      <c r="N108" s="2">
        <f t="shared" si="100"/>
        <v>0</v>
      </c>
    </row>
    <row r="109" spans="1:25" outlineLevel="2">
      <c r="A109" s="1" t="s">
        <v>11</v>
      </c>
      <c r="B109">
        <v>314</v>
      </c>
      <c r="C109" s="5">
        <v>100</v>
      </c>
      <c r="D109" s="5">
        <v>2.87824835769</v>
      </c>
      <c r="E109" s="2">
        <v>661.89994999999999</v>
      </c>
      <c r="F109" s="2">
        <v>123.00003999999998</v>
      </c>
      <c r="G109" s="2">
        <v>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3060.384955</v>
      </c>
      <c r="N109" s="2">
        <v>0</v>
      </c>
      <c r="P109" s="19">
        <f>IF(E$121&gt;0, E109/E$121, 0)</f>
        <v>0.39212084901261457</v>
      </c>
      <c r="Q109" s="19">
        <f t="shared" ref="Q109:Q120" si="101">IF(F$121&gt;0, F109/F$121, 0)</f>
        <v>0.72438169036944855</v>
      </c>
      <c r="R109" s="19">
        <f t="shared" ref="R109:R120" si="102">IF(G$121&gt;0, G109/G$121, 0)</f>
        <v>1</v>
      </c>
      <c r="S109" s="19">
        <f t="shared" ref="S109:S120" si="103">IF(H$121&gt;0, H109/H$121, 0)</f>
        <v>0</v>
      </c>
      <c r="T109" s="19">
        <f t="shared" ref="T109:T120" si="104">IF(I$121&gt;0, I109/I$121, 0)</f>
        <v>0</v>
      </c>
      <c r="U109" s="19">
        <f t="shared" ref="U109:U120" si="105">IF(J$121&gt;0, J109/J$121, 0)</f>
        <v>0</v>
      </c>
      <c r="V109" s="19">
        <f t="shared" ref="V109:V120" si="106">IF(K$121&gt;0, K109/K$121, 0)</f>
        <v>0</v>
      </c>
      <c r="W109" s="19">
        <f t="shared" ref="W109:W120" si="107">IF(L$121&gt;0, L109/L$121, 0)</f>
        <v>0</v>
      </c>
      <c r="X109" s="19">
        <f t="shared" ref="X109:X120" si="108">IF(M$121&gt;0, M109/M$121, 0)</f>
        <v>0.20712726556632072</v>
      </c>
      <c r="Y109" s="19">
        <f t="shared" ref="Y109:Y120" si="109">IF(N$121&gt;0, N109/N$121, 0)</f>
        <v>0</v>
      </c>
    </row>
    <row r="110" spans="1:25" outlineLevel="2">
      <c r="A110" s="1" t="s">
        <v>11</v>
      </c>
      <c r="B110">
        <v>315</v>
      </c>
      <c r="C110" s="5">
        <v>100</v>
      </c>
      <c r="D110" s="5">
        <v>5.7498480576400004</v>
      </c>
      <c r="E110" s="2">
        <v>0</v>
      </c>
      <c r="F110" s="2">
        <v>9.8000000000000007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1273.5999899999999</v>
      </c>
      <c r="N110" s="2">
        <v>0</v>
      </c>
      <c r="P110" s="19">
        <f t="shared" ref="P110:P120" si="110">IF(E$121&gt;0, E110/E$121, 0)</f>
        <v>0</v>
      </c>
      <c r="Q110" s="19">
        <f t="shared" si="101"/>
        <v>5.7714945179047079E-2</v>
      </c>
      <c r="R110" s="19">
        <f t="shared" si="102"/>
        <v>0</v>
      </c>
      <c r="S110" s="19">
        <f t="shared" si="103"/>
        <v>0</v>
      </c>
      <c r="T110" s="19">
        <f t="shared" si="104"/>
        <v>0</v>
      </c>
      <c r="U110" s="19">
        <f t="shared" si="105"/>
        <v>0</v>
      </c>
      <c r="V110" s="19">
        <f t="shared" si="106"/>
        <v>0</v>
      </c>
      <c r="W110" s="19">
        <f t="shared" si="107"/>
        <v>0</v>
      </c>
      <c r="X110" s="19">
        <f t="shared" si="108"/>
        <v>8.6197418701528472E-2</v>
      </c>
      <c r="Y110" s="19">
        <f t="shared" si="109"/>
        <v>0</v>
      </c>
    </row>
    <row r="111" spans="1:25" outlineLevel="2">
      <c r="A111" s="1" t="s">
        <v>11</v>
      </c>
      <c r="B111">
        <v>316</v>
      </c>
      <c r="C111" s="5">
        <v>100</v>
      </c>
      <c r="D111" s="5">
        <v>8.9751977636499998</v>
      </c>
      <c r="E111" s="2">
        <v>1026.0999400000001</v>
      </c>
      <c r="F111" s="2">
        <v>23.4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P111" s="19">
        <f t="shared" si="110"/>
        <v>0.60787915098738543</v>
      </c>
      <c r="Q111" s="19">
        <f t="shared" si="101"/>
        <v>0.13780915481527567</v>
      </c>
      <c r="R111" s="19">
        <f t="shared" si="102"/>
        <v>0</v>
      </c>
      <c r="S111" s="19">
        <f t="shared" si="103"/>
        <v>0</v>
      </c>
      <c r="T111" s="19">
        <f t="shared" si="104"/>
        <v>0</v>
      </c>
      <c r="U111" s="19">
        <f t="shared" si="105"/>
        <v>0</v>
      </c>
      <c r="V111" s="19">
        <f t="shared" si="106"/>
        <v>0</v>
      </c>
      <c r="W111" s="19">
        <f t="shared" si="107"/>
        <v>0</v>
      </c>
      <c r="X111" s="19">
        <f t="shared" si="108"/>
        <v>0</v>
      </c>
      <c r="Y111" s="19">
        <f t="shared" si="109"/>
        <v>0</v>
      </c>
    </row>
    <row r="112" spans="1:25" outlineLevel="2">
      <c r="A112" s="1" t="s">
        <v>11</v>
      </c>
      <c r="B112">
        <v>317</v>
      </c>
      <c r="C112" s="5">
        <v>7.42430942864</v>
      </c>
      <c r="D112" s="5">
        <v>1.7682982378100001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P112" s="19">
        <f t="shared" si="110"/>
        <v>0</v>
      </c>
      <c r="Q112" s="19">
        <f t="shared" si="101"/>
        <v>0</v>
      </c>
      <c r="R112" s="19">
        <f t="shared" si="102"/>
        <v>0</v>
      </c>
      <c r="S112" s="19">
        <f t="shared" si="103"/>
        <v>0</v>
      </c>
      <c r="T112" s="19">
        <f t="shared" si="104"/>
        <v>0</v>
      </c>
      <c r="U112" s="19">
        <f t="shared" si="105"/>
        <v>0</v>
      </c>
      <c r="V112" s="19">
        <f t="shared" si="106"/>
        <v>0</v>
      </c>
      <c r="W112" s="19">
        <f t="shared" si="107"/>
        <v>0</v>
      </c>
      <c r="X112" s="19">
        <f t="shared" si="108"/>
        <v>0</v>
      </c>
      <c r="Y112" s="19">
        <f t="shared" si="109"/>
        <v>0</v>
      </c>
    </row>
    <row r="113" spans="1:25" outlineLevel="2">
      <c r="A113" s="1" t="s">
        <v>11</v>
      </c>
      <c r="B113">
        <v>318</v>
      </c>
      <c r="C113" s="5">
        <v>100</v>
      </c>
      <c r="D113" s="5">
        <v>7.58379397624</v>
      </c>
      <c r="E113" s="2">
        <v>0</v>
      </c>
      <c r="F113" s="2">
        <v>0.2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661.79993999999988</v>
      </c>
      <c r="N113" s="2">
        <v>0</v>
      </c>
      <c r="P113" s="19">
        <f t="shared" si="110"/>
        <v>0</v>
      </c>
      <c r="Q113" s="19">
        <f t="shared" si="101"/>
        <v>1.1778560240621853E-3</v>
      </c>
      <c r="R113" s="19">
        <f t="shared" si="102"/>
        <v>0</v>
      </c>
      <c r="S113" s="19">
        <f t="shared" si="103"/>
        <v>0</v>
      </c>
      <c r="T113" s="19">
        <f t="shared" si="104"/>
        <v>0</v>
      </c>
      <c r="U113" s="19">
        <f t="shared" si="105"/>
        <v>0</v>
      </c>
      <c r="V113" s="19">
        <f t="shared" si="106"/>
        <v>0</v>
      </c>
      <c r="W113" s="19">
        <f t="shared" si="107"/>
        <v>0</v>
      </c>
      <c r="X113" s="19">
        <f t="shared" si="108"/>
        <v>4.4790708992410104E-2</v>
      </c>
      <c r="Y113" s="19">
        <f t="shared" si="109"/>
        <v>0</v>
      </c>
    </row>
    <row r="114" spans="1:25" outlineLevel="2">
      <c r="A114" s="1" t="s">
        <v>11</v>
      </c>
      <c r="B114">
        <v>319</v>
      </c>
      <c r="C114" s="5">
        <v>100</v>
      </c>
      <c r="D114" s="5">
        <v>2.3046920228199999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P114" s="19">
        <f t="shared" si="110"/>
        <v>0</v>
      </c>
      <c r="Q114" s="19">
        <f t="shared" si="101"/>
        <v>0</v>
      </c>
      <c r="R114" s="19">
        <f t="shared" si="102"/>
        <v>0</v>
      </c>
      <c r="S114" s="19">
        <f t="shared" si="103"/>
        <v>0</v>
      </c>
      <c r="T114" s="19">
        <f t="shared" si="104"/>
        <v>0</v>
      </c>
      <c r="U114" s="19">
        <f t="shared" si="105"/>
        <v>0</v>
      </c>
      <c r="V114" s="19">
        <f t="shared" si="106"/>
        <v>0</v>
      </c>
      <c r="W114" s="19">
        <f t="shared" si="107"/>
        <v>0</v>
      </c>
      <c r="X114" s="19">
        <f t="shared" si="108"/>
        <v>0</v>
      </c>
      <c r="Y114" s="19">
        <f t="shared" si="109"/>
        <v>0</v>
      </c>
    </row>
    <row r="115" spans="1:25" outlineLevel="2">
      <c r="A115" s="1" t="s">
        <v>11</v>
      </c>
      <c r="B115">
        <v>327</v>
      </c>
      <c r="C115" s="5">
        <v>99.9903504989</v>
      </c>
      <c r="D115" s="5">
        <v>10.822117284200001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P115" s="19">
        <f t="shared" si="110"/>
        <v>0</v>
      </c>
      <c r="Q115" s="19">
        <f t="shared" si="101"/>
        <v>0</v>
      </c>
      <c r="R115" s="19">
        <f t="shared" si="102"/>
        <v>0</v>
      </c>
      <c r="S115" s="19">
        <f t="shared" si="103"/>
        <v>0</v>
      </c>
      <c r="T115" s="19">
        <f t="shared" si="104"/>
        <v>0</v>
      </c>
      <c r="U115" s="19">
        <f t="shared" si="105"/>
        <v>0</v>
      </c>
      <c r="V115" s="19">
        <f t="shared" si="106"/>
        <v>0</v>
      </c>
      <c r="W115" s="19">
        <f t="shared" si="107"/>
        <v>0</v>
      </c>
      <c r="X115" s="19">
        <f t="shared" si="108"/>
        <v>0</v>
      </c>
      <c r="Y115" s="19">
        <f t="shared" si="109"/>
        <v>0</v>
      </c>
    </row>
    <row r="116" spans="1:25" outlineLevel="2">
      <c r="A116" s="1" t="s">
        <v>11</v>
      </c>
      <c r="B116">
        <v>328</v>
      </c>
      <c r="C116" s="5">
        <v>99.998943930400003</v>
      </c>
      <c r="D116" s="5">
        <v>4.4155660982600002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P116" s="19">
        <f t="shared" si="110"/>
        <v>0</v>
      </c>
      <c r="Q116" s="19">
        <f t="shared" si="101"/>
        <v>0</v>
      </c>
      <c r="R116" s="19">
        <f t="shared" si="102"/>
        <v>0</v>
      </c>
      <c r="S116" s="19">
        <f t="shared" si="103"/>
        <v>0</v>
      </c>
      <c r="T116" s="19">
        <f t="shared" si="104"/>
        <v>0</v>
      </c>
      <c r="U116" s="19">
        <f t="shared" si="105"/>
        <v>0</v>
      </c>
      <c r="V116" s="19">
        <f t="shared" si="106"/>
        <v>0</v>
      </c>
      <c r="W116" s="19">
        <f t="shared" si="107"/>
        <v>0</v>
      </c>
      <c r="X116" s="19">
        <f t="shared" si="108"/>
        <v>0</v>
      </c>
      <c r="Y116" s="19">
        <f t="shared" si="109"/>
        <v>0</v>
      </c>
    </row>
    <row r="117" spans="1:25" outlineLevel="2">
      <c r="A117" s="1" t="s">
        <v>11</v>
      </c>
      <c r="B117">
        <v>329</v>
      </c>
      <c r="C117" s="5">
        <v>99.999875680599999</v>
      </c>
      <c r="D117" s="5">
        <v>12.263357944799999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P117" s="19">
        <f t="shared" si="110"/>
        <v>0</v>
      </c>
      <c r="Q117" s="19">
        <f t="shared" si="101"/>
        <v>0</v>
      </c>
      <c r="R117" s="19">
        <f t="shared" si="102"/>
        <v>0</v>
      </c>
      <c r="S117" s="19">
        <f t="shared" si="103"/>
        <v>0</v>
      </c>
      <c r="T117" s="19">
        <f t="shared" si="104"/>
        <v>0</v>
      </c>
      <c r="U117" s="19">
        <f t="shared" si="105"/>
        <v>0</v>
      </c>
      <c r="V117" s="19">
        <f t="shared" si="106"/>
        <v>0</v>
      </c>
      <c r="W117" s="19">
        <f t="shared" si="107"/>
        <v>0</v>
      </c>
      <c r="X117" s="19">
        <f t="shared" si="108"/>
        <v>0</v>
      </c>
      <c r="Y117" s="19">
        <f t="shared" si="109"/>
        <v>0</v>
      </c>
    </row>
    <row r="118" spans="1:25" outlineLevel="2">
      <c r="A118" s="1" t="s">
        <v>11</v>
      </c>
      <c r="B118">
        <v>330</v>
      </c>
      <c r="C118" s="5">
        <v>100</v>
      </c>
      <c r="D118" s="5">
        <v>5.4857602457299999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55.057040000000001</v>
      </c>
      <c r="M118" s="2">
        <v>5638.5995900000007</v>
      </c>
      <c r="N118" s="2">
        <v>0</v>
      </c>
      <c r="P118" s="19">
        <f t="shared" si="110"/>
        <v>0</v>
      </c>
      <c r="Q118" s="19">
        <f t="shared" si="101"/>
        <v>0</v>
      </c>
      <c r="R118" s="19">
        <f t="shared" si="102"/>
        <v>0</v>
      </c>
      <c r="S118" s="19">
        <f t="shared" si="103"/>
        <v>0</v>
      </c>
      <c r="T118" s="19">
        <f t="shared" si="104"/>
        <v>0</v>
      </c>
      <c r="U118" s="19">
        <f t="shared" si="105"/>
        <v>0</v>
      </c>
      <c r="V118" s="19">
        <f t="shared" si="106"/>
        <v>0</v>
      </c>
      <c r="W118" s="19">
        <f t="shared" si="107"/>
        <v>0.81657671628633099</v>
      </c>
      <c r="X118" s="19">
        <f t="shared" si="108"/>
        <v>0.38162117899317577</v>
      </c>
      <c r="Y118" s="19">
        <f t="shared" si="109"/>
        <v>0</v>
      </c>
    </row>
    <row r="119" spans="1:25" outlineLevel="2">
      <c r="A119" s="1" t="s">
        <v>11</v>
      </c>
      <c r="B119">
        <v>331</v>
      </c>
      <c r="C119" s="5">
        <v>100</v>
      </c>
      <c r="D119" s="5">
        <v>8.5081144580599997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P119" s="19">
        <f t="shared" si="110"/>
        <v>0</v>
      </c>
      <c r="Q119" s="19">
        <f t="shared" si="101"/>
        <v>0</v>
      </c>
      <c r="R119" s="19">
        <f t="shared" si="102"/>
        <v>0</v>
      </c>
      <c r="S119" s="19">
        <f t="shared" si="103"/>
        <v>0</v>
      </c>
      <c r="T119" s="19">
        <f t="shared" si="104"/>
        <v>0</v>
      </c>
      <c r="U119" s="19">
        <f t="shared" si="105"/>
        <v>0</v>
      </c>
      <c r="V119" s="19">
        <f t="shared" si="106"/>
        <v>0</v>
      </c>
      <c r="W119" s="19">
        <f t="shared" si="107"/>
        <v>0</v>
      </c>
      <c r="X119" s="19">
        <f t="shared" si="108"/>
        <v>0</v>
      </c>
      <c r="Y119" s="19">
        <f t="shared" si="109"/>
        <v>0</v>
      </c>
    </row>
    <row r="120" spans="1:25" outlineLevel="2">
      <c r="A120" s="1" t="s">
        <v>11</v>
      </c>
      <c r="B120">
        <v>332</v>
      </c>
      <c r="C120" s="5">
        <v>100</v>
      </c>
      <c r="D120" s="5">
        <v>6.3994229485899998</v>
      </c>
      <c r="E120" s="2">
        <v>0</v>
      </c>
      <c r="F120" s="2">
        <v>13.4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12.367169999999998</v>
      </c>
      <c r="M120" s="2">
        <v>4140.9998599999999</v>
      </c>
      <c r="N120" s="2">
        <v>0</v>
      </c>
      <c r="P120" s="19">
        <f t="shared" si="110"/>
        <v>0</v>
      </c>
      <c r="Q120" s="19">
        <f t="shared" si="101"/>
        <v>7.8916353612166409E-2</v>
      </c>
      <c r="R120" s="19">
        <f t="shared" si="102"/>
        <v>0</v>
      </c>
      <c r="S120" s="19">
        <f t="shared" si="103"/>
        <v>0</v>
      </c>
      <c r="T120" s="19">
        <f t="shared" si="104"/>
        <v>0</v>
      </c>
      <c r="U120" s="19">
        <f t="shared" si="105"/>
        <v>0</v>
      </c>
      <c r="V120" s="19">
        <f t="shared" si="106"/>
        <v>0</v>
      </c>
      <c r="W120" s="19">
        <f t="shared" si="107"/>
        <v>0.18342328371366898</v>
      </c>
      <c r="X120" s="19">
        <f t="shared" si="108"/>
        <v>0.28026342774656493</v>
      </c>
      <c r="Y120" s="19">
        <f t="shared" si="109"/>
        <v>0</v>
      </c>
    </row>
    <row r="121" spans="1:25" outlineLevel="1">
      <c r="A121" s="18" t="s">
        <v>65</v>
      </c>
      <c r="E121" s="2">
        <f t="shared" ref="E121:N121" si="111">SUBTOTAL(9,E109:E120)</f>
        <v>1687.9998900000001</v>
      </c>
      <c r="F121" s="2">
        <f t="shared" si="111"/>
        <v>169.80004</v>
      </c>
      <c r="G121" s="2">
        <f t="shared" si="111"/>
        <v>2</v>
      </c>
      <c r="H121" s="2">
        <f t="shared" si="111"/>
        <v>0</v>
      </c>
      <c r="I121" s="2">
        <f t="shared" si="111"/>
        <v>0</v>
      </c>
      <c r="J121" s="2">
        <f t="shared" si="111"/>
        <v>0</v>
      </c>
      <c r="K121" s="2">
        <f t="shared" si="111"/>
        <v>0</v>
      </c>
      <c r="L121" s="2">
        <f t="shared" si="111"/>
        <v>67.424210000000002</v>
      </c>
      <c r="M121" s="2">
        <f t="shared" si="111"/>
        <v>14775.384335000001</v>
      </c>
      <c r="N121" s="2">
        <f t="shared" si="111"/>
        <v>0</v>
      </c>
    </row>
    <row r="122" spans="1:25" outlineLevel="2">
      <c r="A122" s="1" t="s">
        <v>12</v>
      </c>
      <c r="B122">
        <v>253</v>
      </c>
      <c r="C122" s="5">
        <v>51.099270281400003</v>
      </c>
      <c r="D122" s="5">
        <v>18.7691274375</v>
      </c>
      <c r="E122" s="2">
        <v>296.83566106465258</v>
      </c>
      <c r="F122" s="2">
        <v>66.326852825257205</v>
      </c>
      <c r="G122" s="2">
        <v>21.308395707343802</v>
      </c>
      <c r="H122" s="2">
        <v>4.4456365144817998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P122" s="19">
        <f>IF(E$125&gt;0, E122/E$125, 0)</f>
        <v>1</v>
      </c>
      <c r="Q122" s="19">
        <f t="shared" ref="Q122:Q124" si="112">IF(F$125&gt;0, F122/F$125, 0)</f>
        <v>1</v>
      </c>
      <c r="R122" s="19">
        <f t="shared" ref="R122:R124" si="113">IF(G$125&gt;0, G122/G$125, 0)</f>
        <v>1</v>
      </c>
      <c r="S122" s="19">
        <f t="shared" ref="S122:S124" si="114">IF(H$125&gt;0, H122/H$125, 0)</f>
        <v>1</v>
      </c>
      <c r="T122" s="19">
        <f t="shared" ref="T122:T124" si="115">IF(I$125&gt;0, I122/I$125, 0)</f>
        <v>0</v>
      </c>
      <c r="U122" s="19">
        <f t="shared" ref="U122:U124" si="116">IF(J$125&gt;0, J122/J$125, 0)</f>
        <v>0</v>
      </c>
      <c r="V122" s="19">
        <f t="shared" ref="V122:V124" si="117">IF(K$125&gt;0, K122/K$125, 0)</f>
        <v>0</v>
      </c>
      <c r="W122" s="19">
        <f t="shared" ref="W122:W124" si="118">IF(L$125&gt;0, L122/L$125, 0)</f>
        <v>0</v>
      </c>
      <c r="X122" s="19">
        <f t="shared" ref="X122:X124" si="119">IF(M$125&gt;0, M122/M$125, 0)</f>
        <v>0</v>
      </c>
      <c r="Y122" s="19">
        <f t="shared" ref="Y122:Y124" si="120">IF(N$125&gt;0, N122/N$125, 0)</f>
        <v>0</v>
      </c>
    </row>
    <row r="123" spans="1:25" outlineLevel="2">
      <c r="A123" s="1" t="s">
        <v>12</v>
      </c>
      <c r="B123">
        <v>303</v>
      </c>
      <c r="C123" s="5">
        <v>1.49222386289</v>
      </c>
      <c r="D123" s="5">
        <v>0.27069320899499999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P123" s="19">
        <f t="shared" ref="P123:P124" si="121">IF(E$125&gt;0, E123/E$125, 0)</f>
        <v>0</v>
      </c>
      <c r="Q123" s="19">
        <f t="shared" si="112"/>
        <v>0</v>
      </c>
      <c r="R123" s="19">
        <f t="shared" si="113"/>
        <v>0</v>
      </c>
      <c r="S123" s="19">
        <f t="shared" si="114"/>
        <v>0</v>
      </c>
      <c r="T123" s="19">
        <f t="shared" si="115"/>
        <v>0</v>
      </c>
      <c r="U123" s="19">
        <f t="shared" si="116"/>
        <v>0</v>
      </c>
      <c r="V123" s="19">
        <f t="shared" si="117"/>
        <v>0</v>
      </c>
      <c r="W123" s="19">
        <f t="shared" si="118"/>
        <v>0</v>
      </c>
      <c r="X123" s="19">
        <f t="shared" si="119"/>
        <v>0</v>
      </c>
      <c r="Y123" s="19">
        <f t="shared" si="120"/>
        <v>0</v>
      </c>
    </row>
    <row r="124" spans="1:25" outlineLevel="2">
      <c r="A124" s="1" t="s">
        <v>12</v>
      </c>
      <c r="B124">
        <v>317</v>
      </c>
      <c r="C124" s="5">
        <v>83.320753633699994</v>
      </c>
      <c r="D124" s="5">
        <v>66.806956580900007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P124" s="19">
        <f t="shared" si="121"/>
        <v>0</v>
      </c>
      <c r="Q124" s="19">
        <f t="shared" si="112"/>
        <v>0</v>
      </c>
      <c r="R124" s="19">
        <f t="shared" si="113"/>
        <v>0</v>
      </c>
      <c r="S124" s="19">
        <f t="shared" si="114"/>
        <v>0</v>
      </c>
      <c r="T124" s="19">
        <f t="shared" si="115"/>
        <v>0</v>
      </c>
      <c r="U124" s="19">
        <f t="shared" si="116"/>
        <v>0</v>
      </c>
      <c r="V124" s="19">
        <f t="shared" si="117"/>
        <v>0</v>
      </c>
      <c r="W124" s="19">
        <f t="shared" si="118"/>
        <v>0</v>
      </c>
      <c r="X124" s="19">
        <f t="shared" si="119"/>
        <v>0</v>
      </c>
      <c r="Y124" s="19">
        <f t="shared" si="120"/>
        <v>0</v>
      </c>
    </row>
    <row r="125" spans="1:25" outlineLevel="1">
      <c r="A125" s="18" t="s">
        <v>66</v>
      </c>
      <c r="E125" s="2">
        <f t="shared" ref="E125:N125" si="122">SUBTOTAL(9,E122:E124)</f>
        <v>296.83566106465258</v>
      </c>
      <c r="F125" s="2">
        <f t="shared" si="122"/>
        <v>66.326852825257205</v>
      </c>
      <c r="G125" s="2">
        <f t="shared" si="122"/>
        <v>21.308395707343802</v>
      </c>
      <c r="H125" s="2">
        <f t="shared" si="122"/>
        <v>4.4456365144817998</v>
      </c>
      <c r="I125" s="2">
        <f t="shared" si="122"/>
        <v>0</v>
      </c>
      <c r="J125" s="2">
        <f t="shared" si="122"/>
        <v>0</v>
      </c>
      <c r="K125" s="2">
        <f t="shared" si="122"/>
        <v>0</v>
      </c>
      <c r="L125" s="2">
        <f t="shared" si="122"/>
        <v>0</v>
      </c>
      <c r="M125" s="2">
        <f t="shared" si="122"/>
        <v>0</v>
      </c>
      <c r="N125" s="2">
        <f t="shared" si="122"/>
        <v>0</v>
      </c>
    </row>
    <row r="126" spans="1:25" outlineLevel="2">
      <c r="A126" s="1" t="s">
        <v>13</v>
      </c>
      <c r="B126">
        <v>252</v>
      </c>
      <c r="C126" s="5">
        <v>35.937180970500002</v>
      </c>
      <c r="D126" s="5">
        <v>4.2043640974500001</v>
      </c>
      <c r="E126" s="2">
        <v>0</v>
      </c>
      <c r="F126" s="2">
        <v>28.857556319311502</v>
      </c>
      <c r="G126" s="2">
        <v>1.3296756959085001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P126" s="19">
        <f>IF(E$138&gt;0, E126/E$138, 0)</f>
        <v>0</v>
      </c>
      <c r="Q126" s="19">
        <f t="shared" ref="Q126:Q137" si="123">IF(F$138&gt;0, F126/F$138, 0)</f>
        <v>2.3374719314031834E-2</v>
      </c>
      <c r="R126" s="19">
        <f t="shared" ref="R126:R137" si="124">IF(G$138&gt;0, G126/G$138, 0)</f>
        <v>3.0949804021688592E-3</v>
      </c>
      <c r="S126" s="19">
        <f t="shared" ref="S126:S137" si="125">IF(H$138&gt;0, H126/H$138, 0)</f>
        <v>0</v>
      </c>
      <c r="T126" s="19">
        <f t="shared" ref="T126:T137" si="126">IF(I$138&gt;0, I126/I$138, 0)</f>
        <v>0</v>
      </c>
      <c r="U126" s="19">
        <f t="shared" ref="U126:U137" si="127">IF(J$138&gt;0, J126/J$138, 0)</f>
        <v>0</v>
      </c>
      <c r="V126" s="19">
        <f t="shared" ref="V126:V137" si="128">IF(K$138&gt;0, K126/K$138, 0)</f>
        <v>0</v>
      </c>
      <c r="W126" s="19">
        <f t="shared" ref="W126:W137" si="129">IF(L$138&gt;0, L126/L$138, 0)</f>
        <v>0</v>
      </c>
      <c r="X126" s="19">
        <f t="shared" ref="X126:X137" si="130">IF(M$138&gt;0, M126/M$138, 0)</f>
        <v>0</v>
      </c>
      <c r="Y126" s="19">
        <f t="shared" ref="Y126:Y137" si="131">IF(N$138&gt;0, N126/N$138, 0)</f>
        <v>0</v>
      </c>
    </row>
    <row r="127" spans="1:25" outlineLevel="2">
      <c r="A127" s="1" t="s">
        <v>13</v>
      </c>
      <c r="B127">
        <v>253</v>
      </c>
      <c r="C127" s="5">
        <v>29.5382836647</v>
      </c>
      <c r="D127" s="5">
        <v>1.62153434575</v>
      </c>
      <c r="E127" s="2">
        <v>171.58788980824229</v>
      </c>
      <c r="F127" s="2">
        <v>38.340692196780601</v>
      </c>
      <c r="G127" s="2">
        <v>12.317464288179901</v>
      </c>
      <c r="H127" s="2">
        <v>2.5698306788288998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P127" s="19">
        <f t="shared" ref="P127:P137" si="132">IF(E$138&gt;0, E127/E$138, 0)</f>
        <v>0.11173578123623185</v>
      </c>
      <c r="Q127" s="19">
        <f t="shared" si="123"/>
        <v>3.1056091807943467E-2</v>
      </c>
      <c r="R127" s="19">
        <f t="shared" si="124"/>
        <v>2.8670382329793988E-2</v>
      </c>
      <c r="S127" s="19">
        <f t="shared" si="125"/>
        <v>3.6676797734087004E-2</v>
      </c>
      <c r="T127" s="19">
        <f t="shared" si="126"/>
        <v>0</v>
      </c>
      <c r="U127" s="19">
        <f t="shared" si="127"/>
        <v>0</v>
      </c>
      <c r="V127" s="19">
        <f t="shared" si="128"/>
        <v>0</v>
      </c>
      <c r="W127" s="19">
        <f t="shared" si="129"/>
        <v>0</v>
      </c>
      <c r="X127" s="19">
        <f t="shared" si="130"/>
        <v>0</v>
      </c>
      <c r="Y127" s="19">
        <f t="shared" si="131"/>
        <v>0</v>
      </c>
    </row>
    <row r="128" spans="1:25" outlineLevel="2">
      <c r="A128" s="1" t="s">
        <v>13</v>
      </c>
      <c r="B128">
        <v>254</v>
      </c>
      <c r="C128" s="5">
        <v>99.994821438200006</v>
      </c>
      <c r="D128" s="5">
        <v>2.9927508020500002</v>
      </c>
      <c r="E128" s="2">
        <v>360.78131574902562</v>
      </c>
      <c r="F128" s="2">
        <v>130.69323161972738</v>
      </c>
      <c r="G128" s="2">
        <v>59.496918755729006</v>
      </c>
      <c r="H128" s="2">
        <v>6.0996841077301998</v>
      </c>
      <c r="I128" s="2">
        <v>0.19998964287640003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P128" s="19">
        <f t="shared" si="132"/>
        <v>0.23493605647638546</v>
      </c>
      <c r="Q128" s="19">
        <f t="shared" si="123"/>
        <v>0.10586196459436602</v>
      </c>
      <c r="R128" s="19">
        <f t="shared" si="124"/>
        <v>0.13848624751511257</v>
      </c>
      <c r="S128" s="19">
        <f t="shared" si="125"/>
        <v>8.7055105265921945E-2</v>
      </c>
      <c r="T128" s="19">
        <f t="shared" si="126"/>
        <v>0.49999757126577349</v>
      </c>
      <c r="U128" s="19">
        <f t="shared" si="127"/>
        <v>0</v>
      </c>
      <c r="V128" s="19">
        <f t="shared" si="128"/>
        <v>0</v>
      </c>
      <c r="W128" s="19">
        <f t="shared" si="129"/>
        <v>0</v>
      </c>
      <c r="X128" s="19">
        <f t="shared" si="130"/>
        <v>0</v>
      </c>
      <c r="Y128" s="19">
        <f t="shared" si="131"/>
        <v>0</v>
      </c>
    </row>
    <row r="129" spans="1:25" outlineLevel="2">
      <c r="A129" s="1" t="s">
        <v>13</v>
      </c>
      <c r="B129">
        <v>255</v>
      </c>
      <c r="C129" s="5">
        <v>99.999545484699993</v>
      </c>
      <c r="D129" s="5">
        <v>10.6849736459</v>
      </c>
      <c r="E129" s="2">
        <v>151.89930959125931</v>
      </c>
      <c r="F129" s="2">
        <v>14.8999322772203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P129" s="19">
        <f t="shared" si="132"/>
        <v>9.8914836270737327E-2</v>
      </c>
      <c r="Q129" s="19">
        <f t="shared" si="123"/>
        <v>1.2068996103631867E-2</v>
      </c>
      <c r="R129" s="19">
        <f t="shared" si="124"/>
        <v>0</v>
      </c>
      <c r="S129" s="19">
        <f t="shared" si="125"/>
        <v>0</v>
      </c>
      <c r="T129" s="19">
        <f t="shared" si="126"/>
        <v>0</v>
      </c>
      <c r="U129" s="19">
        <f t="shared" si="127"/>
        <v>0</v>
      </c>
      <c r="V129" s="19">
        <f t="shared" si="128"/>
        <v>0</v>
      </c>
      <c r="W129" s="19">
        <f t="shared" si="129"/>
        <v>0</v>
      </c>
      <c r="X129" s="19">
        <f t="shared" si="130"/>
        <v>0</v>
      </c>
      <c r="Y129" s="19">
        <f t="shared" si="131"/>
        <v>0</v>
      </c>
    </row>
    <row r="130" spans="1:25" outlineLevel="2">
      <c r="A130" s="1" t="s">
        <v>13</v>
      </c>
      <c r="B130">
        <v>317</v>
      </c>
      <c r="C130" s="5">
        <v>9.2419598135599994</v>
      </c>
      <c r="D130" s="5">
        <v>1.1075008910299999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P130" s="19">
        <f t="shared" si="132"/>
        <v>0</v>
      </c>
      <c r="Q130" s="19">
        <f t="shared" si="123"/>
        <v>0</v>
      </c>
      <c r="R130" s="19">
        <f t="shared" si="124"/>
        <v>0</v>
      </c>
      <c r="S130" s="19">
        <f t="shared" si="125"/>
        <v>0</v>
      </c>
      <c r="T130" s="19">
        <f t="shared" si="126"/>
        <v>0</v>
      </c>
      <c r="U130" s="19">
        <f t="shared" si="127"/>
        <v>0</v>
      </c>
      <c r="V130" s="19">
        <f t="shared" si="128"/>
        <v>0</v>
      </c>
      <c r="W130" s="19">
        <f t="shared" si="129"/>
        <v>0</v>
      </c>
      <c r="X130" s="19">
        <f t="shared" si="130"/>
        <v>0</v>
      </c>
      <c r="Y130" s="19">
        <f t="shared" si="131"/>
        <v>0</v>
      </c>
    </row>
    <row r="131" spans="1:25" outlineLevel="2">
      <c r="A131" s="1" t="s">
        <v>13</v>
      </c>
      <c r="B131">
        <v>320</v>
      </c>
      <c r="C131" s="5">
        <v>99.997599068400007</v>
      </c>
      <c r="D131" s="5">
        <v>7.70708872275</v>
      </c>
      <c r="E131" s="2">
        <v>0</v>
      </c>
      <c r="F131" s="2">
        <v>35.999135664623999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P131" s="19">
        <f t="shared" si="132"/>
        <v>0</v>
      </c>
      <c r="Q131" s="19">
        <f t="shared" si="123"/>
        <v>2.9159423008566616E-2</v>
      </c>
      <c r="R131" s="19">
        <f t="shared" si="124"/>
        <v>0</v>
      </c>
      <c r="S131" s="19">
        <f t="shared" si="125"/>
        <v>0</v>
      </c>
      <c r="T131" s="19">
        <f t="shared" si="126"/>
        <v>0</v>
      </c>
      <c r="U131" s="19">
        <f t="shared" si="127"/>
        <v>0</v>
      </c>
      <c r="V131" s="19">
        <f t="shared" si="128"/>
        <v>0</v>
      </c>
      <c r="W131" s="19">
        <f t="shared" si="129"/>
        <v>0</v>
      </c>
      <c r="X131" s="19">
        <f t="shared" si="130"/>
        <v>0</v>
      </c>
      <c r="Y131" s="19">
        <f t="shared" si="131"/>
        <v>0</v>
      </c>
    </row>
    <row r="132" spans="1:25" outlineLevel="2">
      <c r="A132" s="1" t="s">
        <v>13</v>
      </c>
      <c r="B132">
        <v>321</v>
      </c>
      <c r="C132" s="5">
        <v>93.970702133299994</v>
      </c>
      <c r="D132" s="5">
        <v>13.9849593494</v>
      </c>
      <c r="E132" s="2">
        <v>0</v>
      </c>
      <c r="F132" s="2">
        <v>1.4095605319994999</v>
      </c>
      <c r="G132" s="2">
        <v>9.3970702133299999E-2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P132" s="19">
        <f t="shared" si="132"/>
        <v>0</v>
      </c>
      <c r="Q132" s="19">
        <f t="shared" si="123"/>
        <v>1.141748851741019E-3</v>
      </c>
      <c r="R132" s="19">
        <f t="shared" si="124"/>
        <v>2.1872813226227796E-4</v>
      </c>
      <c r="S132" s="19">
        <f t="shared" si="125"/>
        <v>0</v>
      </c>
      <c r="T132" s="19">
        <f t="shared" si="126"/>
        <v>0</v>
      </c>
      <c r="U132" s="19">
        <f t="shared" si="127"/>
        <v>0</v>
      </c>
      <c r="V132" s="19">
        <f t="shared" si="128"/>
        <v>0</v>
      </c>
      <c r="W132" s="19">
        <f t="shared" si="129"/>
        <v>0</v>
      </c>
      <c r="X132" s="19">
        <f t="shared" si="130"/>
        <v>0</v>
      </c>
      <c r="Y132" s="19">
        <f t="shared" si="131"/>
        <v>0</v>
      </c>
    </row>
    <row r="133" spans="1:25" outlineLevel="2">
      <c r="A133" s="1" t="s">
        <v>13</v>
      </c>
      <c r="B133">
        <v>322</v>
      </c>
      <c r="C133" s="5">
        <v>99.995792886299995</v>
      </c>
      <c r="D133" s="5">
        <v>18.0971809425</v>
      </c>
      <c r="E133" s="2">
        <v>612.73174059442829</v>
      </c>
      <c r="F133" s="2">
        <v>846.0644036109843</v>
      </c>
      <c r="G133" s="2">
        <v>348.68532979452806</v>
      </c>
      <c r="H133" s="2">
        <v>61.397416832188192</v>
      </c>
      <c r="I133" s="2">
        <v>0.19999158577260001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P133" s="19">
        <f t="shared" si="132"/>
        <v>0.39900286552895126</v>
      </c>
      <c r="Q133" s="19">
        <f t="shared" si="123"/>
        <v>0.68531506053982938</v>
      </c>
      <c r="R133" s="19">
        <f t="shared" si="124"/>
        <v>0.81160712011097158</v>
      </c>
      <c r="S133" s="19">
        <f t="shared" si="125"/>
        <v>0.87626809699999109</v>
      </c>
      <c r="T133" s="19">
        <f t="shared" si="126"/>
        <v>0.50000242873422651</v>
      </c>
      <c r="U133" s="19">
        <f t="shared" si="127"/>
        <v>0</v>
      </c>
      <c r="V133" s="19">
        <f t="shared" si="128"/>
        <v>0</v>
      </c>
      <c r="W133" s="19">
        <f t="shared" si="129"/>
        <v>0</v>
      </c>
      <c r="X133" s="19">
        <f t="shared" si="130"/>
        <v>0</v>
      </c>
      <c r="Y133" s="19">
        <f t="shared" si="131"/>
        <v>0</v>
      </c>
    </row>
    <row r="134" spans="1:25" outlineLevel="2">
      <c r="A134" s="1" t="s">
        <v>13</v>
      </c>
      <c r="B134">
        <v>323</v>
      </c>
      <c r="C134" s="5">
        <v>99.998842831100006</v>
      </c>
      <c r="D134" s="5">
        <v>13.787812261699999</v>
      </c>
      <c r="E134" s="2">
        <v>238.65723830070328</v>
      </c>
      <c r="F134" s="2">
        <v>44.899480431163902</v>
      </c>
      <c r="G134" s="2">
        <v>2.7999675992708002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P134" s="19">
        <f t="shared" si="132"/>
        <v>0.15541046048769402</v>
      </c>
      <c r="Q134" s="19">
        <f t="shared" si="123"/>
        <v>3.6368732709428565E-2</v>
      </c>
      <c r="R134" s="19">
        <f t="shared" si="124"/>
        <v>6.5172619708070865E-3</v>
      </c>
      <c r="S134" s="19">
        <f t="shared" si="125"/>
        <v>0</v>
      </c>
      <c r="T134" s="19">
        <f t="shared" si="126"/>
        <v>0</v>
      </c>
      <c r="U134" s="19">
        <f t="shared" si="127"/>
        <v>0</v>
      </c>
      <c r="V134" s="19">
        <f t="shared" si="128"/>
        <v>0</v>
      </c>
      <c r="W134" s="19">
        <f t="shared" si="129"/>
        <v>0</v>
      </c>
      <c r="X134" s="19">
        <f t="shared" si="130"/>
        <v>0</v>
      </c>
      <c r="Y134" s="19">
        <f t="shared" si="131"/>
        <v>0</v>
      </c>
    </row>
    <row r="135" spans="1:25" outlineLevel="2">
      <c r="A135" s="1" t="s">
        <v>13</v>
      </c>
      <c r="B135">
        <v>324</v>
      </c>
      <c r="C135" s="5">
        <v>100</v>
      </c>
      <c r="D135" s="5">
        <v>4.3914855303199998</v>
      </c>
      <c r="E135" s="2">
        <v>0</v>
      </c>
      <c r="F135" s="2">
        <v>51.7</v>
      </c>
      <c r="G135" s="2">
        <v>4.5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P135" s="19">
        <f t="shared" si="132"/>
        <v>0</v>
      </c>
      <c r="Q135" s="19">
        <f t="shared" si="123"/>
        <v>4.1877176818562928E-2</v>
      </c>
      <c r="R135" s="19">
        <f t="shared" si="124"/>
        <v>1.0474292229763567E-2</v>
      </c>
      <c r="S135" s="19">
        <f t="shared" si="125"/>
        <v>0</v>
      </c>
      <c r="T135" s="19">
        <f t="shared" si="126"/>
        <v>0</v>
      </c>
      <c r="U135" s="19">
        <f t="shared" si="127"/>
        <v>0</v>
      </c>
      <c r="V135" s="19">
        <f t="shared" si="128"/>
        <v>0</v>
      </c>
      <c r="W135" s="19">
        <f t="shared" si="129"/>
        <v>0</v>
      </c>
      <c r="X135" s="19">
        <f t="shared" si="130"/>
        <v>0</v>
      </c>
      <c r="Y135" s="19">
        <f t="shared" si="131"/>
        <v>0</v>
      </c>
    </row>
    <row r="136" spans="1:25" outlineLevel="2">
      <c r="A136" s="1" t="s">
        <v>13</v>
      </c>
      <c r="B136">
        <v>325</v>
      </c>
      <c r="C136" s="5">
        <v>99.999928177699999</v>
      </c>
      <c r="D136" s="5">
        <v>5.8193017468899999</v>
      </c>
      <c r="E136" s="2">
        <v>0</v>
      </c>
      <c r="F136" s="2">
        <v>21.999984199094001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P136" s="19">
        <f t="shared" si="132"/>
        <v>0</v>
      </c>
      <c r="Q136" s="19">
        <f t="shared" si="123"/>
        <v>1.7820062443153772E-2</v>
      </c>
      <c r="R136" s="19">
        <f t="shared" si="124"/>
        <v>0</v>
      </c>
      <c r="S136" s="19">
        <f t="shared" si="125"/>
        <v>0</v>
      </c>
      <c r="T136" s="19">
        <f t="shared" si="126"/>
        <v>0</v>
      </c>
      <c r="U136" s="19">
        <f t="shared" si="127"/>
        <v>0</v>
      </c>
      <c r="V136" s="19">
        <f t="shared" si="128"/>
        <v>0</v>
      </c>
      <c r="W136" s="19">
        <f t="shared" si="129"/>
        <v>0</v>
      </c>
      <c r="X136" s="19">
        <f t="shared" si="130"/>
        <v>0</v>
      </c>
      <c r="Y136" s="19">
        <f t="shared" si="131"/>
        <v>0</v>
      </c>
    </row>
    <row r="137" spans="1:25" outlineLevel="2">
      <c r="A137" s="1" t="s">
        <v>13</v>
      </c>
      <c r="B137">
        <v>326</v>
      </c>
      <c r="C137" s="5">
        <v>99.993460158000005</v>
      </c>
      <c r="D137" s="5">
        <v>13.5419227557</v>
      </c>
      <c r="E137" s="2">
        <v>0</v>
      </c>
      <c r="F137" s="2">
        <v>19.698711651126001</v>
      </c>
      <c r="G137" s="2">
        <v>0.39997384063200003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P137" s="19">
        <f t="shared" si="132"/>
        <v>0</v>
      </c>
      <c r="Q137" s="19">
        <f t="shared" si="123"/>
        <v>1.5956023808744474E-2</v>
      </c>
      <c r="R137" s="19">
        <f t="shared" si="124"/>
        <v>9.3098730912009983E-4</v>
      </c>
      <c r="S137" s="19">
        <f t="shared" si="125"/>
        <v>0</v>
      </c>
      <c r="T137" s="19">
        <f t="shared" si="126"/>
        <v>0</v>
      </c>
      <c r="U137" s="19">
        <f t="shared" si="127"/>
        <v>0</v>
      </c>
      <c r="V137" s="19">
        <f t="shared" si="128"/>
        <v>0</v>
      </c>
      <c r="W137" s="19">
        <f t="shared" si="129"/>
        <v>0</v>
      </c>
      <c r="X137" s="19">
        <f t="shared" si="130"/>
        <v>0</v>
      </c>
      <c r="Y137" s="19">
        <f t="shared" si="131"/>
        <v>0</v>
      </c>
    </row>
    <row r="138" spans="1:25" outlineLevel="1">
      <c r="A138" s="18" t="s">
        <v>67</v>
      </c>
      <c r="E138" s="2">
        <f t="shared" ref="E138:N138" si="133">SUBTOTAL(9,E126:E137)</f>
        <v>1535.657494043659</v>
      </c>
      <c r="F138" s="2">
        <f t="shared" si="133"/>
        <v>1234.5626885020315</v>
      </c>
      <c r="G138" s="2">
        <f t="shared" si="133"/>
        <v>429.62330067638158</v>
      </c>
      <c r="H138" s="2">
        <f t="shared" si="133"/>
        <v>70.06693161874729</v>
      </c>
      <c r="I138" s="2">
        <f t="shared" si="133"/>
        <v>0.39998122864900004</v>
      </c>
      <c r="J138" s="2">
        <f t="shared" si="133"/>
        <v>0</v>
      </c>
      <c r="K138" s="2">
        <f t="shared" si="133"/>
        <v>0</v>
      </c>
      <c r="L138" s="2">
        <f t="shared" si="133"/>
        <v>0</v>
      </c>
      <c r="M138" s="2">
        <f t="shared" si="133"/>
        <v>0</v>
      </c>
      <c r="N138" s="2">
        <f t="shared" si="133"/>
        <v>0</v>
      </c>
    </row>
    <row r="139" spans="1:25" outlineLevel="2">
      <c r="A139" s="1" t="s">
        <v>14</v>
      </c>
      <c r="B139">
        <v>211</v>
      </c>
      <c r="C139" s="5">
        <v>99.997075291200005</v>
      </c>
      <c r="D139" s="5">
        <v>7.1718968546599999</v>
      </c>
      <c r="E139" s="2">
        <v>60.598227626467207</v>
      </c>
      <c r="F139" s="2">
        <v>2.9999122587359999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P139" s="19">
        <f>IF(E$147&gt;0, E139/E$147, 0)</f>
        <v>3.5504962012236534E-3</v>
      </c>
      <c r="Q139" s="19">
        <f t="shared" ref="Q139:Q146" si="134">IF(F$147&gt;0, F139/F$147, 0)</f>
        <v>4.1622030576935597E-3</v>
      </c>
      <c r="R139" s="19">
        <f t="shared" ref="R139:R146" si="135">IF(G$147&gt;0, G139/G$147, 0)</f>
        <v>0</v>
      </c>
      <c r="S139" s="19">
        <f t="shared" ref="S139:S146" si="136">IF(H$147&gt;0, H139/H$147, 0)</f>
        <v>0</v>
      </c>
      <c r="T139" s="19">
        <f t="shared" ref="T139:T146" si="137">IF(I$147&gt;0, I139/I$147, 0)</f>
        <v>0</v>
      </c>
      <c r="U139" s="19">
        <f t="shared" ref="U139:U146" si="138">IF(J$147&gt;0, J139/J$147, 0)</f>
        <v>0</v>
      </c>
      <c r="V139" s="19">
        <f t="shared" ref="V139:V146" si="139">IF(K$147&gt;0, K139/K$147, 0)</f>
        <v>0</v>
      </c>
      <c r="W139" s="19">
        <f t="shared" ref="W139:W146" si="140">IF(L$147&gt;0, L139/L$147, 0)</f>
        <v>0</v>
      </c>
      <c r="X139" s="19">
        <f t="shared" ref="X139:X146" si="141">IF(M$147&gt;0, M139/M$147, 0)</f>
        <v>0</v>
      </c>
      <c r="Y139" s="19">
        <f t="shared" ref="Y139:Y146" si="142">IF(N$147&gt;0, N139/N$147, 0)</f>
        <v>0</v>
      </c>
    </row>
    <row r="140" spans="1:25" outlineLevel="2">
      <c r="A140" s="1" t="s">
        <v>14</v>
      </c>
      <c r="B140">
        <v>212</v>
      </c>
      <c r="C140" s="5">
        <v>100</v>
      </c>
      <c r="D140" s="5">
        <v>8.5851933656099995</v>
      </c>
      <c r="E140" s="2">
        <v>1274.6732000000002</v>
      </c>
      <c r="F140" s="2">
        <v>304.7</v>
      </c>
      <c r="G140" s="2">
        <v>21.7</v>
      </c>
      <c r="H140" s="2">
        <v>0.3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18.799469999999999</v>
      </c>
      <c r="P140" s="19">
        <f t="shared" ref="P140:P146" si="143">IF(E$147&gt;0, E140/E$147, 0)</f>
        <v>7.4684071327936336E-2</v>
      </c>
      <c r="Q140" s="19">
        <f t="shared" si="134"/>
        <v>0.42275345486723942</v>
      </c>
      <c r="R140" s="19">
        <f t="shared" si="135"/>
        <v>0.95594713656387664</v>
      </c>
      <c r="S140" s="19">
        <f t="shared" si="136"/>
        <v>1</v>
      </c>
      <c r="T140" s="19">
        <f t="shared" si="137"/>
        <v>0</v>
      </c>
      <c r="U140" s="19">
        <f t="shared" si="138"/>
        <v>0</v>
      </c>
      <c r="V140" s="19">
        <f t="shared" si="139"/>
        <v>0</v>
      </c>
      <c r="W140" s="19">
        <f t="shared" si="140"/>
        <v>0</v>
      </c>
      <c r="X140" s="19">
        <f t="shared" si="141"/>
        <v>0</v>
      </c>
      <c r="Y140" s="19">
        <f t="shared" si="142"/>
        <v>1</v>
      </c>
    </row>
    <row r="141" spans="1:25" outlineLevel="2">
      <c r="A141" s="1" t="s">
        <v>14</v>
      </c>
      <c r="B141">
        <v>213</v>
      </c>
      <c r="C141" s="5">
        <v>42.778421157499999</v>
      </c>
      <c r="D141" s="5">
        <v>1.8080956079299999</v>
      </c>
      <c r="E141" s="2">
        <v>828.84606958396557</v>
      </c>
      <c r="F141" s="2">
        <v>3.2511600079699998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P141" s="19">
        <f t="shared" si="143"/>
        <v>4.8562721002284003E-2</v>
      </c>
      <c r="Q141" s="19">
        <f t="shared" si="134"/>
        <v>4.5107946363489304E-3</v>
      </c>
      <c r="R141" s="19">
        <f t="shared" si="135"/>
        <v>0</v>
      </c>
      <c r="S141" s="19">
        <f t="shared" si="136"/>
        <v>0</v>
      </c>
      <c r="T141" s="19">
        <f t="shared" si="137"/>
        <v>0</v>
      </c>
      <c r="U141" s="19">
        <f t="shared" si="138"/>
        <v>0</v>
      </c>
      <c r="V141" s="19">
        <f t="shared" si="139"/>
        <v>0</v>
      </c>
      <c r="W141" s="19">
        <f t="shared" si="140"/>
        <v>0</v>
      </c>
      <c r="X141" s="19">
        <f t="shared" si="141"/>
        <v>0</v>
      </c>
      <c r="Y141" s="19">
        <f t="shared" si="142"/>
        <v>0</v>
      </c>
    </row>
    <row r="142" spans="1:25" outlineLevel="2">
      <c r="A142" s="1" t="s">
        <v>14</v>
      </c>
      <c r="B142">
        <v>214</v>
      </c>
      <c r="C142" s="5">
        <v>100</v>
      </c>
      <c r="D142" s="5">
        <v>15.960751628100001</v>
      </c>
      <c r="E142" s="2">
        <v>1631.4881</v>
      </c>
      <c r="F142" s="2">
        <v>73.400000000000006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P142" s="19">
        <f t="shared" si="143"/>
        <v>9.5590127439001082E-2</v>
      </c>
      <c r="Q142" s="19">
        <f t="shared" si="134"/>
        <v>0.10183821328275476</v>
      </c>
      <c r="R142" s="19">
        <f t="shared" si="135"/>
        <v>4.405286343612335E-2</v>
      </c>
      <c r="S142" s="19">
        <f t="shared" si="136"/>
        <v>0</v>
      </c>
      <c r="T142" s="19">
        <f t="shared" si="137"/>
        <v>0</v>
      </c>
      <c r="U142" s="19">
        <f t="shared" si="138"/>
        <v>0</v>
      </c>
      <c r="V142" s="19">
        <f t="shared" si="139"/>
        <v>0</v>
      </c>
      <c r="W142" s="19">
        <f t="shared" si="140"/>
        <v>0</v>
      </c>
      <c r="X142" s="19">
        <f t="shared" si="141"/>
        <v>0</v>
      </c>
      <c r="Y142" s="19">
        <f t="shared" si="142"/>
        <v>0</v>
      </c>
    </row>
    <row r="143" spans="1:25" outlineLevel="2">
      <c r="A143" s="1" t="s">
        <v>14</v>
      </c>
      <c r="B143">
        <v>215</v>
      </c>
      <c r="C143" s="5">
        <v>99.999662714999999</v>
      </c>
      <c r="D143" s="5">
        <v>12.5699886667</v>
      </c>
      <c r="E143" s="2">
        <v>3957.2035529009795</v>
      </c>
      <c r="F143" s="2">
        <v>1.5999946034399999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P143" s="19">
        <f t="shared" si="143"/>
        <v>0.23185556298196258</v>
      </c>
      <c r="Q143" s="19">
        <f t="shared" si="134"/>
        <v>2.2198990691604812E-3</v>
      </c>
      <c r="R143" s="19">
        <f t="shared" si="135"/>
        <v>0</v>
      </c>
      <c r="S143" s="19">
        <f t="shared" si="136"/>
        <v>0</v>
      </c>
      <c r="T143" s="19">
        <f t="shared" si="137"/>
        <v>0</v>
      </c>
      <c r="U143" s="19">
        <f t="shared" si="138"/>
        <v>0</v>
      </c>
      <c r="V143" s="19">
        <f t="shared" si="139"/>
        <v>0</v>
      </c>
      <c r="W143" s="19">
        <f t="shared" si="140"/>
        <v>0</v>
      </c>
      <c r="X143" s="19">
        <f t="shared" si="141"/>
        <v>0</v>
      </c>
      <c r="Y143" s="19">
        <f t="shared" si="142"/>
        <v>0</v>
      </c>
    </row>
    <row r="144" spans="1:25" outlineLevel="2">
      <c r="A144" s="1" t="s">
        <v>14</v>
      </c>
      <c r="B144">
        <v>216</v>
      </c>
      <c r="C144" s="5">
        <v>100</v>
      </c>
      <c r="D144" s="5">
        <v>5.21340977888</v>
      </c>
      <c r="E144" s="2">
        <v>61.8</v>
      </c>
      <c r="F144" s="2">
        <v>5.3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P144" s="19">
        <f t="shared" si="143"/>
        <v>3.620908957736355E-3</v>
      </c>
      <c r="Q144" s="19">
        <f t="shared" si="134"/>
        <v>7.3534404686457786E-3</v>
      </c>
      <c r="R144" s="19">
        <f t="shared" si="135"/>
        <v>0</v>
      </c>
      <c r="S144" s="19">
        <f t="shared" si="136"/>
        <v>0</v>
      </c>
      <c r="T144" s="19">
        <f t="shared" si="137"/>
        <v>0</v>
      </c>
      <c r="U144" s="19">
        <f t="shared" si="138"/>
        <v>0</v>
      </c>
      <c r="V144" s="19">
        <f t="shared" si="139"/>
        <v>0</v>
      </c>
      <c r="W144" s="19">
        <f t="shared" si="140"/>
        <v>0</v>
      </c>
      <c r="X144" s="19">
        <f t="shared" si="141"/>
        <v>0</v>
      </c>
      <c r="Y144" s="19">
        <f t="shared" si="142"/>
        <v>0</v>
      </c>
    </row>
    <row r="145" spans="1:25" outlineLevel="2">
      <c r="A145" s="1" t="s">
        <v>14</v>
      </c>
      <c r="B145">
        <v>217</v>
      </c>
      <c r="C145" s="5">
        <v>99.999800939400004</v>
      </c>
      <c r="D145" s="5">
        <v>10.497812268200001</v>
      </c>
      <c r="E145" s="2">
        <v>0</v>
      </c>
      <c r="F145" s="2">
        <v>4.2999914403941997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P145" s="19">
        <f t="shared" si="143"/>
        <v>0</v>
      </c>
      <c r="Q145" s="19">
        <f t="shared" si="134"/>
        <v>5.9659869948349362E-3</v>
      </c>
      <c r="R145" s="19">
        <f t="shared" si="135"/>
        <v>0</v>
      </c>
      <c r="S145" s="19">
        <f t="shared" si="136"/>
        <v>0</v>
      </c>
      <c r="T145" s="19">
        <f t="shared" si="137"/>
        <v>0</v>
      </c>
      <c r="U145" s="19">
        <f t="shared" si="138"/>
        <v>0</v>
      </c>
      <c r="V145" s="19">
        <f t="shared" si="139"/>
        <v>0</v>
      </c>
      <c r="W145" s="19">
        <f t="shared" si="140"/>
        <v>0</v>
      </c>
      <c r="X145" s="19">
        <f t="shared" si="141"/>
        <v>0</v>
      </c>
      <c r="Y145" s="19">
        <f t="shared" si="142"/>
        <v>0</v>
      </c>
    </row>
    <row r="146" spans="1:25" outlineLevel="2">
      <c r="A146" s="1" t="s">
        <v>14</v>
      </c>
      <c r="B146">
        <v>218</v>
      </c>
      <c r="C146" s="5">
        <v>100</v>
      </c>
      <c r="D146" s="5">
        <v>5.0150273291899996</v>
      </c>
      <c r="E146" s="2">
        <v>9252.9285099999997</v>
      </c>
      <c r="F146" s="2">
        <v>325.20000000000005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P146" s="19">
        <f t="shared" si="143"/>
        <v>0.54213611208985601</v>
      </c>
      <c r="Q146" s="19">
        <f t="shared" si="134"/>
        <v>0.45119600762332218</v>
      </c>
      <c r="R146" s="19">
        <f t="shared" si="135"/>
        <v>0</v>
      </c>
      <c r="S146" s="19">
        <f t="shared" si="136"/>
        <v>0</v>
      </c>
      <c r="T146" s="19">
        <f t="shared" si="137"/>
        <v>0</v>
      </c>
      <c r="U146" s="19">
        <f t="shared" si="138"/>
        <v>0</v>
      </c>
      <c r="V146" s="19">
        <f t="shared" si="139"/>
        <v>0</v>
      </c>
      <c r="W146" s="19">
        <f t="shared" si="140"/>
        <v>0</v>
      </c>
      <c r="X146" s="19">
        <f t="shared" si="141"/>
        <v>0</v>
      </c>
      <c r="Y146" s="19">
        <f t="shared" si="142"/>
        <v>0</v>
      </c>
    </row>
    <row r="147" spans="1:25" outlineLevel="1">
      <c r="A147" s="18" t="s">
        <v>68</v>
      </c>
      <c r="E147" s="2">
        <f t="shared" ref="E147:N147" si="144">SUBTOTAL(9,E139:E146)</f>
        <v>17067.537660111411</v>
      </c>
      <c r="F147" s="2">
        <f t="shared" si="144"/>
        <v>720.7510583105402</v>
      </c>
      <c r="G147" s="2">
        <f t="shared" si="144"/>
        <v>22.7</v>
      </c>
      <c r="H147" s="2">
        <f t="shared" si="144"/>
        <v>0.3</v>
      </c>
      <c r="I147" s="2">
        <f t="shared" si="144"/>
        <v>0</v>
      </c>
      <c r="J147" s="2">
        <f t="shared" si="144"/>
        <v>0</v>
      </c>
      <c r="K147" s="2">
        <f t="shared" si="144"/>
        <v>0</v>
      </c>
      <c r="L147" s="2">
        <f t="shared" si="144"/>
        <v>0</v>
      </c>
      <c r="M147" s="2">
        <f t="shared" si="144"/>
        <v>0</v>
      </c>
      <c r="N147" s="2">
        <f t="shared" si="144"/>
        <v>18.799469999999999</v>
      </c>
    </row>
    <row r="148" spans="1:25" outlineLevel="2">
      <c r="A148" s="1" t="s">
        <v>15</v>
      </c>
      <c r="B148">
        <v>96</v>
      </c>
      <c r="C148" s="5">
        <v>99.999569163900006</v>
      </c>
      <c r="D148" s="5">
        <v>6.0980835731100003</v>
      </c>
      <c r="E148" s="2">
        <v>0</v>
      </c>
      <c r="F148" s="2">
        <v>0</v>
      </c>
      <c r="G148" s="2">
        <v>27.295632400055236</v>
      </c>
      <c r="H148" s="2">
        <v>64.699721249043307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P148" s="19">
        <f>IF(E$196&gt;0, E148/E$196, 0)</f>
        <v>0</v>
      </c>
      <c r="Q148" s="19">
        <f t="shared" ref="Q148:Q195" si="145">IF(F$196&gt;0, F148/F$196, 0)</f>
        <v>0</v>
      </c>
      <c r="R148" s="19">
        <f t="shared" ref="R148:R195" si="146">IF(G$196&gt;0, G148/G$196, 0)</f>
        <v>1.5357541465834163E-3</v>
      </c>
      <c r="S148" s="19">
        <f t="shared" ref="S148:S195" si="147">IF(H$196&gt;0, H148/H$196, 0)</f>
        <v>1.3569420118799103E-2</v>
      </c>
      <c r="T148" s="19">
        <f t="shared" ref="T148:T195" si="148">IF(I$196&gt;0, I148/I$196, 0)</f>
        <v>0</v>
      </c>
      <c r="U148" s="19">
        <f t="shared" ref="U148:U195" si="149">IF(J$196&gt;0, J148/J$196, 0)</f>
        <v>0</v>
      </c>
      <c r="V148" s="19">
        <f t="shared" ref="V148:V195" si="150">IF(K$196&gt;0, K148/K$196, 0)</f>
        <v>0</v>
      </c>
      <c r="W148" s="19">
        <f t="shared" ref="W148:W195" si="151">IF(L$196&gt;0, L148/L$196, 0)</f>
        <v>0</v>
      </c>
      <c r="X148" s="19">
        <f t="shared" ref="X148:X195" si="152">IF(M$196&gt;0, M148/M$196, 0)</f>
        <v>0</v>
      </c>
      <c r="Y148" s="19">
        <f t="shared" ref="Y148:Y195" si="153">IF(N$196&gt;0, N148/N$196, 0)</f>
        <v>0</v>
      </c>
    </row>
    <row r="149" spans="1:25" outlineLevel="2">
      <c r="A149" s="1" t="s">
        <v>15</v>
      </c>
      <c r="B149">
        <v>97</v>
      </c>
      <c r="C149" s="5">
        <v>99.999617143999998</v>
      </c>
      <c r="D149" s="5">
        <v>2.6009217660899999</v>
      </c>
      <c r="E149" s="2">
        <v>0</v>
      </c>
      <c r="F149" s="2">
        <v>0</v>
      </c>
      <c r="G149" s="2">
        <v>219.77993855609691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P149" s="19">
        <f t="shared" ref="P149:P195" si="154">IF(E$196&gt;0, E149/E$196, 0)</f>
        <v>0</v>
      </c>
      <c r="Q149" s="19">
        <f t="shared" si="145"/>
        <v>0</v>
      </c>
      <c r="R149" s="19">
        <f t="shared" si="146"/>
        <v>1.2365639565569884E-2</v>
      </c>
      <c r="S149" s="19">
        <f t="shared" si="147"/>
        <v>0</v>
      </c>
      <c r="T149" s="19">
        <f t="shared" si="148"/>
        <v>0</v>
      </c>
      <c r="U149" s="19">
        <f t="shared" si="149"/>
        <v>0</v>
      </c>
      <c r="V149" s="19">
        <f t="shared" si="150"/>
        <v>0</v>
      </c>
      <c r="W149" s="19">
        <f t="shared" si="151"/>
        <v>0</v>
      </c>
      <c r="X149" s="19">
        <f t="shared" si="152"/>
        <v>0</v>
      </c>
      <c r="Y149" s="19">
        <f t="shared" si="153"/>
        <v>0</v>
      </c>
    </row>
    <row r="150" spans="1:25" outlineLevel="2">
      <c r="A150" s="1" t="s">
        <v>15</v>
      </c>
      <c r="B150">
        <v>98</v>
      </c>
      <c r="C150" s="5">
        <v>100</v>
      </c>
      <c r="D150" s="5">
        <v>2.55575559535</v>
      </c>
      <c r="E150" s="2">
        <v>0</v>
      </c>
      <c r="F150" s="2">
        <v>0</v>
      </c>
      <c r="G150" s="2">
        <v>62.498660000000001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P150" s="19">
        <f t="shared" si="154"/>
        <v>0</v>
      </c>
      <c r="Q150" s="19">
        <f t="shared" si="145"/>
        <v>0</v>
      </c>
      <c r="R150" s="19">
        <f t="shared" si="146"/>
        <v>3.5164078576436593E-3</v>
      </c>
      <c r="S150" s="19">
        <f t="shared" si="147"/>
        <v>0</v>
      </c>
      <c r="T150" s="19">
        <f t="shared" si="148"/>
        <v>0</v>
      </c>
      <c r="U150" s="19">
        <f t="shared" si="149"/>
        <v>0</v>
      </c>
      <c r="V150" s="19">
        <f t="shared" si="150"/>
        <v>0</v>
      </c>
      <c r="W150" s="19">
        <f t="shared" si="151"/>
        <v>0</v>
      </c>
      <c r="X150" s="19">
        <f t="shared" si="152"/>
        <v>0</v>
      </c>
      <c r="Y150" s="19">
        <f t="shared" si="153"/>
        <v>0</v>
      </c>
    </row>
    <row r="151" spans="1:25" outlineLevel="2">
      <c r="A151" s="1" t="s">
        <v>15</v>
      </c>
      <c r="B151">
        <v>99</v>
      </c>
      <c r="C151" s="5">
        <v>99.999878525200003</v>
      </c>
      <c r="D151" s="5">
        <v>6.3814994242000003</v>
      </c>
      <c r="E151" s="2">
        <v>0</v>
      </c>
      <c r="F151" s="2">
        <v>0</v>
      </c>
      <c r="G151" s="2">
        <v>645.9839152913778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P151" s="19">
        <f t="shared" si="154"/>
        <v>0</v>
      </c>
      <c r="Q151" s="19">
        <f t="shared" si="145"/>
        <v>0</v>
      </c>
      <c r="R151" s="19">
        <f t="shared" si="146"/>
        <v>3.6345465897061106E-2</v>
      </c>
      <c r="S151" s="19">
        <f t="shared" si="147"/>
        <v>0</v>
      </c>
      <c r="T151" s="19">
        <f t="shared" si="148"/>
        <v>0</v>
      </c>
      <c r="U151" s="19">
        <f t="shared" si="149"/>
        <v>0</v>
      </c>
      <c r="V151" s="19">
        <f t="shared" si="150"/>
        <v>0</v>
      </c>
      <c r="W151" s="19">
        <f t="shared" si="151"/>
        <v>0</v>
      </c>
      <c r="X151" s="19">
        <f t="shared" si="152"/>
        <v>0</v>
      </c>
      <c r="Y151" s="19">
        <f t="shared" si="153"/>
        <v>0</v>
      </c>
    </row>
    <row r="152" spans="1:25" outlineLevel="2">
      <c r="A152" s="1" t="s">
        <v>15</v>
      </c>
      <c r="B152">
        <v>100</v>
      </c>
      <c r="C152" s="5">
        <v>100</v>
      </c>
      <c r="D152" s="5">
        <v>1.3825956586499999</v>
      </c>
      <c r="E152" s="2">
        <v>0</v>
      </c>
      <c r="F152" s="2">
        <v>0</v>
      </c>
      <c r="G152" s="2">
        <v>131.51822000000001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P152" s="19">
        <f t="shared" si="154"/>
        <v>0</v>
      </c>
      <c r="Q152" s="19">
        <f t="shared" si="145"/>
        <v>0</v>
      </c>
      <c r="R152" s="19">
        <f t="shared" si="146"/>
        <v>7.3997058853951031E-3</v>
      </c>
      <c r="S152" s="19">
        <f t="shared" si="147"/>
        <v>0</v>
      </c>
      <c r="T152" s="19">
        <f t="shared" si="148"/>
        <v>0</v>
      </c>
      <c r="U152" s="19">
        <f t="shared" si="149"/>
        <v>0</v>
      </c>
      <c r="V152" s="19">
        <f t="shared" si="150"/>
        <v>0</v>
      </c>
      <c r="W152" s="19">
        <f t="shared" si="151"/>
        <v>0</v>
      </c>
      <c r="X152" s="19">
        <f t="shared" si="152"/>
        <v>0</v>
      </c>
      <c r="Y152" s="19">
        <f t="shared" si="153"/>
        <v>0</v>
      </c>
    </row>
    <row r="153" spans="1:25" outlineLevel="2">
      <c r="A153" s="1" t="s">
        <v>15</v>
      </c>
      <c r="B153">
        <v>101</v>
      </c>
      <c r="C153" s="5">
        <v>100</v>
      </c>
      <c r="D153" s="5">
        <v>1.8994086374500001</v>
      </c>
      <c r="E153" s="2">
        <v>0</v>
      </c>
      <c r="F153" s="2">
        <v>0</v>
      </c>
      <c r="G153" s="2">
        <v>0</v>
      </c>
      <c r="H153" s="2">
        <v>878.50474999999994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P153" s="19">
        <f t="shared" si="154"/>
        <v>0</v>
      </c>
      <c r="Q153" s="19">
        <f t="shared" si="145"/>
        <v>0</v>
      </c>
      <c r="R153" s="19">
        <f t="shared" si="146"/>
        <v>0</v>
      </c>
      <c r="S153" s="19">
        <f t="shared" si="147"/>
        <v>0.1842480894658699</v>
      </c>
      <c r="T153" s="19">
        <f t="shared" si="148"/>
        <v>0</v>
      </c>
      <c r="U153" s="19">
        <f t="shared" si="149"/>
        <v>0</v>
      </c>
      <c r="V153" s="19">
        <f t="shared" si="150"/>
        <v>0</v>
      </c>
      <c r="W153" s="19">
        <f t="shared" si="151"/>
        <v>0</v>
      </c>
      <c r="X153" s="19">
        <f t="shared" si="152"/>
        <v>0</v>
      </c>
      <c r="Y153" s="19">
        <f t="shared" si="153"/>
        <v>0</v>
      </c>
    </row>
    <row r="154" spans="1:25" outlineLevel="2">
      <c r="A154" s="1" t="s">
        <v>15</v>
      </c>
      <c r="B154">
        <v>102</v>
      </c>
      <c r="C154" s="5">
        <v>100</v>
      </c>
      <c r="D154" s="5">
        <v>2.4253263228100002</v>
      </c>
      <c r="E154" s="2">
        <v>0</v>
      </c>
      <c r="F154" s="2">
        <v>0</v>
      </c>
      <c r="G154" s="2">
        <v>314.91921000000002</v>
      </c>
      <c r="H154" s="2">
        <v>10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P154" s="19">
        <f t="shared" si="154"/>
        <v>0</v>
      </c>
      <c r="Q154" s="19">
        <f t="shared" si="145"/>
        <v>0</v>
      </c>
      <c r="R154" s="19">
        <f t="shared" si="146"/>
        <v>1.7718530038354961E-2</v>
      </c>
      <c r="S154" s="19">
        <f t="shared" si="147"/>
        <v>2.0972918981470496E-3</v>
      </c>
      <c r="T154" s="19">
        <f t="shared" si="148"/>
        <v>0</v>
      </c>
      <c r="U154" s="19">
        <f t="shared" si="149"/>
        <v>0</v>
      </c>
      <c r="V154" s="19">
        <f t="shared" si="150"/>
        <v>0</v>
      </c>
      <c r="W154" s="19">
        <f t="shared" si="151"/>
        <v>0</v>
      </c>
      <c r="X154" s="19">
        <f t="shared" si="152"/>
        <v>0</v>
      </c>
      <c r="Y154" s="19">
        <f t="shared" si="153"/>
        <v>0</v>
      </c>
    </row>
    <row r="155" spans="1:25" outlineLevel="2">
      <c r="A155" s="1" t="s">
        <v>15</v>
      </c>
      <c r="B155">
        <v>103</v>
      </c>
      <c r="C155" s="5">
        <v>100</v>
      </c>
      <c r="D155" s="5">
        <v>0.66646309248299995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P155" s="19">
        <f t="shared" si="154"/>
        <v>0</v>
      </c>
      <c r="Q155" s="19">
        <f t="shared" si="145"/>
        <v>0</v>
      </c>
      <c r="R155" s="19">
        <f t="shared" si="146"/>
        <v>0</v>
      </c>
      <c r="S155" s="19">
        <f t="shared" si="147"/>
        <v>0</v>
      </c>
      <c r="T155" s="19">
        <f t="shared" si="148"/>
        <v>0</v>
      </c>
      <c r="U155" s="19">
        <f t="shared" si="149"/>
        <v>0</v>
      </c>
      <c r="V155" s="19">
        <f t="shared" si="150"/>
        <v>0</v>
      </c>
      <c r="W155" s="19">
        <f t="shared" si="151"/>
        <v>0</v>
      </c>
      <c r="X155" s="19">
        <f t="shared" si="152"/>
        <v>0</v>
      </c>
      <c r="Y155" s="19">
        <f t="shared" si="153"/>
        <v>0</v>
      </c>
    </row>
    <row r="156" spans="1:25" outlineLevel="2">
      <c r="A156" s="1" t="s">
        <v>15</v>
      </c>
      <c r="B156">
        <v>104</v>
      </c>
      <c r="C156" s="5">
        <v>99.999961691500005</v>
      </c>
      <c r="D156" s="5">
        <v>2.05166606404</v>
      </c>
      <c r="E156" s="2">
        <v>0</v>
      </c>
      <c r="F156" s="2">
        <v>0</v>
      </c>
      <c r="G156" s="2">
        <v>0</v>
      </c>
      <c r="H156" s="2">
        <v>2.3999990805959999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P156" s="19">
        <f t="shared" si="154"/>
        <v>0</v>
      </c>
      <c r="Q156" s="19">
        <f t="shared" si="145"/>
        <v>0</v>
      </c>
      <c r="R156" s="19">
        <f t="shared" si="146"/>
        <v>0</v>
      </c>
      <c r="S156" s="19">
        <f t="shared" si="147"/>
        <v>5.0334986272943579E-4</v>
      </c>
      <c r="T156" s="19">
        <f t="shared" si="148"/>
        <v>0</v>
      </c>
      <c r="U156" s="19">
        <f t="shared" si="149"/>
        <v>0</v>
      </c>
      <c r="V156" s="19">
        <f t="shared" si="150"/>
        <v>0</v>
      </c>
      <c r="W156" s="19">
        <f t="shared" si="151"/>
        <v>0</v>
      </c>
      <c r="X156" s="19">
        <f t="shared" si="152"/>
        <v>0</v>
      </c>
      <c r="Y156" s="19">
        <f t="shared" si="153"/>
        <v>0</v>
      </c>
    </row>
    <row r="157" spans="1:25" outlineLevel="2">
      <c r="A157" s="1" t="s">
        <v>15</v>
      </c>
      <c r="B157">
        <v>105</v>
      </c>
      <c r="C157" s="5">
        <v>67.184726648899996</v>
      </c>
      <c r="D157" s="5">
        <v>1.8064472433400001</v>
      </c>
      <c r="E157" s="2">
        <v>0</v>
      </c>
      <c r="F157" s="2">
        <v>0</v>
      </c>
      <c r="G157" s="2">
        <v>0</v>
      </c>
      <c r="H157" s="2">
        <v>227.27157758007471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P157" s="19">
        <f t="shared" si="154"/>
        <v>0</v>
      </c>
      <c r="Q157" s="19">
        <f t="shared" si="145"/>
        <v>0</v>
      </c>
      <c r="R157" s="19">
        <f t="shared" si="146"/>
        <v>0</v>
      </c>
      <c r="S157" s="19">
        <f t="shared" si="147"/>
        <v>4.7665483833778929E-2</v>
      </c>
      <c r="T157" s="19">
        <f t="shared" si="148"/>
        <v>0</v>
      </c>
      <c r="U157" s="19">
        <f t="shared" si="149"/>
        <v>0</v>
      </c>
      <c r="V157" s="19">
        <f t="shared" si="150"/>
        <v>0</v>
      </c>
      <c r="W157" s="19">
        <f t="shared" si="151"/>
        <v>0</v>
      </c>
      <c r="X157" s="19">
        <f t="shared" si="152"/>
        <v>0</v>
      </c>
      <c r="Y157" s="19">
        <f t="shared" si="153"/>
        <v>0</v>
      </c>
    </row>
    <row r="158" spans="1:25" outlineLevel="2">
      <c r="A158" s="1" t="s">
        <v>15</v>
      </c>
      <c r="B158">
        <v>106</v>
      </c>
      <c r="C158" s="5">
        <v>99.999505963700003</v>
      </c>
      <c r="D158" s="5">
        <v>1.52599377084</v>
      </c>
      <c r="E158" s="2">
        <v>0</v>
      </c>
      <c r="F158" s="2">
        <v>0</v>
      </c>
      <c r="G158" s="2">
        <v>34.099829533631585</v>
      </c>
      <c r="H158" s="2">
        <v>91.199549438894408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P158" s="19">
        <f t="shared" si="154"/>
        <v>0</v>
      </c>
      <c r="Q158" s="19">
        <f t="shared" si="145"/>
        <v>0</v>
      </c>
      <c r="R158" s="19">
        <f t="shared" si="146"/>
        <v>1.9185836706958426E-3</v>
      </c>
      <c r="S158" s="19">
        <f t="shared" si="147"/>
        <v>1.9127207615285455E-2</v>
      </c>
      <c r="T158" s="19">
        <f t="shared" si="148"/>
        <v>0</v>
      </c>
      <c r="U158" s="19">
        <f t="shared" si="149"/>
        <v>0</v>
      </c>
      <c r="V158" s="19">
        <f t="shared" si="150"/>
        <v>0</v>
      </c>
      <c r="W158" s="19">
        <f t="shared" si="151"/>
        <v>0</v>
      </c>
      <c r="X158" s="19">
        <f t="shared" si="152"/>
        <v>0</v>
      </c>
      <c r="Y158" s="19">
        <f t="shared" si="153"/>
        <v>0</v>
      </c>
    </row>
    <row r="159" spans="1:25" outlineLevel="2">
      <c r="A159" s="1" t="s">
        <v>15</v>
      </c>
      <c r="B159">
        <v>107</v>
      </c>
      <c r="C159" s="5">
        <v>59.356358215900002</v>
      </c>
      <c r="D159" s="5">
        <v>0.77578237649399995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P159" s="19">
        <f t="shared" si="154"/>
        <v>0</v>
      </c>
      <c r="Q159" s="19">
        <f t="shared" si="145"/>
        <v>0</v>
      </c>
      <c r="R159" s="19">
        <f t="shared" si="146"/>
        <v>0</v>
      </c>
      <c r="S159" s="19">
        <f t="shared" si="147"/>
        <v>0</v>
      </c>
      <c r="T159" s="19">
        <f t="shared" si="148"/>
        <v>0</v>
      </c>
      <c r="U159" s="19">
        <f t="shared" si="149"/>
        <v>0</v>
      </c>
      <c r="V159" s="19">
        <f t="shared" si="150"/>
        <v>0</v>
      </c>
      <c r="W159" s="19">
        <f t="shared" si="151"/>
        <v>0</v>
      </c>
      <c r="X159" s="19">
        <f t="shared" si="152"/>
        <v>0</v>
      </c>
      <c r="Y159" s="19">
        <f t="shared" si="153"/>
        <v>0</v>
      </c>
    </row>
    <row r="160" spans="1:25" outlineLevel="2">
      <c r="A160" s="1" t="s">
        <v>15</v>
      </c>
      <c r="B160">
        <v>108</v>
      </c>
      <c r="C160" s="5">
        <v>100</v>
      </c>
      <c r="D160" s="5">
        <v>1.3609602292</v>
      </c>
      <c r="E160" s="2">
        <v>0</v>
      </c>
      <c r="F160" s="2">
        <v>0</v>
      </c>
      <c r="G160" s="2">
        <v>0</v>
      </c>
      <c r="H160" s="2">
        <v>1051.3692719999999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P160" s="19">
        <f t="shared" si="154"/>
        <v>0</v>
      </c>
      <c r="Q160" s="19">
        <f t="shared" si="145"/>
        <v>0</v>
      </c>
      <c r="R160" s="19">
        <f t="shared" si="146"/>
        <v>0</v>
      </c>
      <c r="S160" s="19">
        <f t="shared" si="147"/>
        <v>0.22050282561263615</v>
      </c>
      <c r="T160" s="19">
        <f t="shared" si="148"/>
        <v>0</v>
      </c>
      <c r="U160" s="19">
        <f t="shared" si="149"/>
        <v>0</v>
      </c>
      <c r="V160" s="19">
        <f t="shared" si="150"/>
        <v>0</v>
      </c>
      <c r="W160" s="19">
        <f t="shared" si="151"/>
        <v>0</v>
      </c>
      <c r="X160" s="19">
        <f t="shared" si="152"/>
        <v>0</v>
      </c>
      <c r="Y160" s="19">
        <f t="shared" si="153"/>
        <v>0</v>
      </c>
    </row>
    <row r="161" spans="1:25" outlineLevel="2">
      <c r="A161" s="1" t="s">
        <v>15</v>
      </c>
      <c r="B161">
        <v>109</v>
      </c>
      <c r="C161" s="5">
        <v>100</v>
      </c>
      <c r="D161" s="5">
        <v>2.6023207340000001</v>
      </c>
      <c r="E161" s="2">
        <v>0</v>
      </c>
      <c r="F161" s="2">
        <v>0</v>
      </c>
      <c r="G161" s="2">
        <v>677.56007</v>
      </c>
      <c r="H161" s="2">
        <v>348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P161" s="19">
        <f t="shared" si="154"/>
        <v>0</v>
      </c>
      <c r="Q161" s="19">
        <f t="shared" si="145"/>
        <v>0</v>
      </c>
      <c r="R161" s="19">
        <f t="shared" si="146"/>
        <v>3.8122058203705296E-2</v>
      </c>
      <c r="S161" s="19">
        <f t="shared" si="147"/>
        <v>7.2985758055517325E-2</v>
      </c>
      <c r="T161" s="19">
        <f t="shared" si="148"/>
        <v>0</v>
      </c>
      <c r="U161" s="19">
        <f t="shared" si="149"/>
        <v>0</v>
      </c>
      <c r="V161" s="19">
        <f t="shared" si="150"/>
        <v>0</v>
      </c>
      <c r="W161" s="19">
        <f t="shared" si="151"/>
        <v>0</v>
      </c>
      <c r="X161" s="19">
        <f t="shared" si="152"/>
        <v>0</v>
      </c>
      <c r="Y161" s="19">
        <f t="shared" si="153"/>
        <v>0</v>
      </c>
    </row>
    <row r="162" spans="1:25" outlineLevel="2">
      <c r="A162" s="1" t="s">
        <v>15</v>
      </c>
      <c r="B162">
        <v>110</v>
      </c>
      <c r="C162" s="5">
        <v>100</v>
      </c>
      <c r="D162" s="5">
        <v>1.6958305655100001</v>
      </c>
      <c r="E162" s="2">
        <v>0</v>
      </c>
      <c r="F162" s="2">
        <v>0</v>
      </c>
      <c r="G162" s="2">
        <v>0</v>
      </c>
      <c r="H162" s="2">
        <v>1892.2088610000001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P162" s="19">
        <f t="shared" si="154"/>
        <v>0</v>
      </c>
      <c r="Q162" s="19">
        <f t="shared" si="145"/>
        <v>0</v>
      </c>
      <c r="R162" s="19">
        <f t="shared" si="146"/>
        <v>0</v>
      </c>
      <c r="S162" s="19">
        <f t="shared" si="147"/>
        <v>0.39685143137773565</v>
      </c>
      <c r="T162" s="19">
        <f t="shared" si="148"/>
        <v>0</v>
      </c>
      <c r="U162" s="19">
        <f t="shared" si="149"/>
        <v>0</v>
      </c>
      <c r="V162" s="19">
        <f t="shared" si="150"/>
        <v>0</v>
      </c>
      <c r="W162" s="19">
        <f t="shared" si="151"/>
        <v>0</v>
      </c>
      <c r="X162" s="19">
        <f t="shared" si="152"/>
        <v>0</v>
      </c>
      <c r="Y162" s="19">
        <f t="shared" si="153"/>
        <v>0</v>
      </c>
    </row>
    <row r="163" spans="1:25" outlineLevel="2">
      <c r="A163" s="1" t="s">
        <v>15</v>
      </c>
      <c r="B163">
        <v>111</v>
      </c>
      <c r="C163" s="5">
        <v>100</v>
      </c>
      <c r="D163" s="5">
        <v>0.88998524238900001</v>
      </c>
      <c r="E163" s="2">
        <v>0</v>
      </c>
      <c r="F163" s="2">
        <v>0</v>
      </c>
      <c r="G163" s="2">
        <v>347.50004000000001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P163" s="19">
        <f t="shared" si="154"/>
        <v>0</v>
      </c>
      <c r="Q163" s="19">
        <f t="shared" si="145"/>
        <v>0</v>
      </c>
      <c r="R163" s="19">
        <f t="shared" si="146"/>
        <v>1.9551649126357044E-2</v>
      </c>
      <c r="S163" s="19">
        <f t="shared" si="147"/>
        <v>0</v>
      </c>
      <c r="T163" s="19">
        <f t="shared" si="148"/>
        <v>0</v>
      </c>
      <c r="U163" s="19">
        <f t="shared" si="149"/>
        <v>0</v>
      </c>
      <c r="V163" s="19">
        <f t="shared" si="150"/>
        <v>0</v>
      </c>
      <c r="W163" s="19">
        <f t="shared" si="151"/>
        <v>0</v>
      </c>
      <c r="X163" s="19">
        <f t="shared" si="152"/>
        <v>0</v>
      </c>
      <c r="Y163" s="19">
        <f t="shared" si="153"/>
        <v>0</v>
      </c>
    </row>
    <row r="164" spans="1:25" outlineLevel="2">
      <c r="A164" s="1" t="s">
        <v>15</v>
      </c>
      <c r="B164">
        <v>112</v>
      </c>
      <c r="C164" s="5">
        <v>99.999999999799996</v>
      </c>
      <c r="D164" s="5">
        <v>1.6831819917899999</v>
      </c>
      <c r="E164" s="2">
        <v>0</v>
      </c>
      <c r="F164" s="2">
        <v>0</v>
      </c>
      <c r="G164" s="2">
        <v>1484.4840409970309</v>
      </c>
      <c r="H164" s="2">
        <v>195.59999999960877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P164" s="19">
        <f t="shared" si="154"/>
        <v>0</v>
      </c>
      <c r="Q164" s="19">
        <f t="shared" si="145"/>
        <v>0</v>
      </c>
      <c r="R164" s="19">
        <f t="shared" si="146"/>
        <v>8.3522612265744117E-2</v>
      </c>
      <c r="S164" s="19">
        <f t="shared" si="147"/>
        <v>4.1023029527674233E-2</v>
      </c>
      <c r="T164" s="19">
        <f t="shared" si="148"/>
        <v>0</v>
      </c>
      <c r="U164" s="19">
        <f t="shared" si="149"/>
        <v>0</v>
      </c>
      <c r="V164" s="19">
        <f t="shared" si="150"/>
        <v>0</v>
      </c>
      <c r="W164" s="19">
        <f t="shared" si="151"/>
        <v>0</v>
      </c>
      <c r="X164" s="19">
        <f t="shared" si="152"/>
        <v>0</v>
      </c>
      <c r="Y164" s="19">
        <f t="shared" si="153"/>
        <v>0</v>
      </c>
    </row>
    <row r="165" spans="1:25" outlineLevel="2">
      <c r="A165" s="1" t="s">
        <v>15</v>
      </c>
      <c r="B165">
        <v>113</v>
      </c>
      <c r="C165" s="5">
        <v>100</v>
      </c>
      <c r="D165" s="5">
        <v>1.4123804653700001</v>
      </c>
      <c r="E165" s="2">
        <v>0</v>
      </c>
      <c r="F165" s="2">
        <v>0</v>
      </c>
      <c r="G165" s="2">
        <v>10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P165" s="19">
        <f t="shared" si="154"/>
        <v>0</v>
      </c>
      <c r="Q165" s="19">
        <f t="shared" si="145"/>
        <v>0</v>
      </c>
      <c r="R165" s="19">
        <f t="shared" si="146"/>
        <v>5.6263732016712984E-4</v>
      </c>
      <c r="S165" s="19">
        <f t="shared" si="147"/>
        <v>0</v>
      </c>
      <c r="T165" s="19">
        <f t="shared" si="148"/>
        <v>0</v>
      </c>
      <c r="U165" s="19">
        <f t="shared" si="149"/>
        <v>0</v>
      </c>
      <c r="V165" s="19">
        <f t="shared" si="150"/>
        <v>0</v>
      </c>
      <c r="W165" s="19">
        <f t="shared" si="151"/>
        <v>0</v>
      </c>
      <c r="X165" s="19">
        <f t="shared" si="152"/>
        <v>0</v>
      </c>
      <c r="Y165" s="19">
        <f t="shared" si="153"/>
        <v>0</v>
      </c>
    </row>
    <row r="166" spans="1:25" outlineLevel="2">
      <c r="A166" s="1" t="s">
        <v>15</v>
      </c>
      <c r="B166">
        <v>115</v>
      </c>
      <c r="C166" s="5">
        <v>99.995868063900005</v>
      </c>
      <c r="D166" s="5">
        <v>2.5223830734899999</v>
      </c>
      <c r="E166" s="2">
        <v>0</v>
      </c>
      <c r="F166" s="2">
        <v>0</v>
      </c>
      <c r="G166" s="2">
        <v>41.534650743857298</v>
      </c>
      <c r="H166" s="2">
        <v>4.9997934031950004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P166" s="19">
        <f t="shared" si="154"/>
        <v>0</v>
      </c>
      <c r="Q166" s="19">
        <f t="shared" si="145"/>
        <v>0</v>
      </c>
      <c r="R166" s="19">
        <f t="shared" si="146"/>
        <v>2.336894458860156E-3</v>
      </c>
      <c r="S166" s="19">
        <f t="shared" si="147"/>
        <v>1.0486026196929938E-3</v>
      </c>
      <c r="T166" s="19">
        <f t="shared" si="148"/>
        <v>0</v>
      </c>
      <c r="U166" s="19">
        <f t="shared" si="149"/>
        <v>0</v>
      </c>
      <c r="V166" s="19">
        <f t="shared" si="150"/>
        <v>0</v>
      </c>
      <c r="W166" s="19">
        <f t="shared" si="151"/>
        <v>0</v>
      </c>
      <c r="X166" s="19">
        <f t="shared" si="152"/>
        <v>0</v>
      </c>
      <c r="Y166" s="19">
        <f t="shared" si="153"/>
        <v>0</v>
      </c>
    </row>
    <row r="167" spans="1:25" outlineLevel="2">
      <c r="A167" s="1" t="s">
        <v>15</v>
      </c>
      <c r="B167">
        <v>116</v>
      </c>
      <c r="C167" s="5">
        <v>100</v>
      </c>
      <c r="D167" s="5">
        <v>5.1758222936899996</v>
      </c>
      <c r="E167" s="2">
        <v>0</v>
      </c>
      <c r="F167" s="2">
        <v>1.5</v>
      </c>
      <c r="G167" s="2">
        <v>607.84998999999993</v>
      </c>
      <c r="H167" s="2">
        <v>1.4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P167" s="19">
        <f t="shared" si="154"/>
        <v>0</v>
      </c>
      <c r="Q167" s="19">
        <f t="shared" si="145"/>
        <v>6.335127577655514E-5</v>
      </c>
      <c r="R167" s="19">
        <f t="shared" si="146"/>
        <v>3.4199908943721664E-2</v>
      </c>
      <c r="S167" s="19">
        <f t="shared" si="147"/>
        <v>2.9362086574058694E-4</v>
      </c>
      <c r="T167" s="19">
        <f t="shared" si="148"/>
        <v>0</v>
      </c>
      <c r="U167" s="19">
        <f t="shared" si="149"/>
        <v>0</v>
      </c>
      <c r="V167" s="19">
        <f t="shared" si="150"/>
        <v>0</v>
      </c>
      <c r="W167" s="19">
        <f t="shared" si="151"/>
        <v>0</v>
      </c>
      <c r="X167" s="19">
        <f t="shared" si="152"/>
        <v>0</v>
      </c>
      <c r="Y167" s="19">
        <f t="shared" si="153"/>
        <v>0</v>
      </c>
    </row>
    <row r="168" spans="1:25" outlineLevel="2">
      <c r="A168" s="1" t="s">
        <v>15</v>
      </c>
      <c r="B168">
        <v>117</v>
      </c>
      <c r="C168" s="5">
        <v>99.996316975900001</v>
      </c>
      <c r="D168" s="5">
        <v>5.4371054901100004</v>
      </c>
      <c r="E168" s="2">
        <v>0</v>
      </c>
      <c r="F168" s="2">
        <v>0</v>
      </c>
      <c r="G168" s="2">
        <v>2042.4248002317995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P168" s="19">
        <f t="shared" si="154"/>
        <v>0</v>
      </c>
      <c r="Q168" s="19">
        <f t="shared" si="145"/>
        <v>0</v>
      </c>
      <c r="R168" s="19">
        <f t="shared" si="146"/>
        <v>0.11491444162453053</v>
      </c>
      <c r="S168" s="19">
        <f t="shared" si="147"/>
        <v>0</v>
      </c>
      <c r="T168" s="19">
        <f t="shared" si="148"/>
        <v>0</v>
      </c>
      <c r="U168" s="19">
        <f t="shared" si="149"/>
        <v>0</v>
      </c>
      <c r="V168" s="19">
        <f t="shared" si="150"/>
        <v>0</v>
      </c>
      <c r="W168" s="19">
        <f t="shared" si="151"/>
        <v>0</v>
      </c>
      <c r="X168" s="19">
        <f t="shared" si="152"/>
        <v>0</v>
      </c>
      <c r="Y168" s="19">
        <f t="shared" si="153"/>
        <v>0</v>
      </c>
    </row>
    <row r="169" spans="1:25" outlineLevel="2">
      <c r="A169" s="1" t="s">
        <v>15</v>
      </c>
      <c r="B169">
        <v>118</v>
      </c>
      <c r="C169" s="5">
        <v>100</v>
      </c>
      <c r="D169" s="5">
        <v>2.2511114842</v>
      </c>
      <c r="E169" s="2">
        <v>0</v>
      </c>
      <c r="F169" s="2">
        <v>0</v>
      </c>
      <c r="G169" s="2">
        <v>4723.6001290000004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P169" s="19">
        <f t="shared" si="154"/>
        <v>0</v>
      </c>
      <c r="Q169" s="19">
        <f t="shared" si="145"/>
        <v>0</v>
      </c>
      <c r="R169" s="19">
        <f t="shared" si="146"/>
        <v>0.26576737181216692</v>
      </c>
      <c r="S169" s="19">
        <f t="shared" si="147"/>
        <v>0</v>
      </c>
      <c r="T169" s="19">
        <f t="shared" si="148"/>
        <v>0</v>
      </c>
      <c r="U169" s="19">
        <f t="shared" si="149"/>
        <v>0</v>
      </c>
      <c r="V169" s="19">
        <f t="shared" si="150"/>
        <v>0</v>
      </c>
      <c r="W169" s="19">
        <f t="shared" si="151"/>
        <v>0</v>
      </c>
      <c r="X169" s="19">
        <f t="shared" si="152"/>
        <v>0</v>
      </c>
      <c r="Y169" s="19">
        <f t="shared" si="153"/>
        <v>0</v>
      </c>
    </row>
    <row r="170" spans="1:25" outlineLevel="2">
      <c r="A170" s="1" t="s">
        <v>15</v>
      </c>
      <c r="B170">
        <v>119</v>
      </c>
      <c r="C170" s="5">
        <v>99.996984763200004</v>
      </c>
      <c r="D170" s="5">
        <v>1.77572340068</v>
      </c>
      <c r="E170" s="2">
        <v>1.3199601988742402</v>
      </c>
      <c r="F170" s="2">
        <v>272.3928864617892</v>
      </c>
      <c r="G170" s="2">
        <v>116.3964902643648</v>
      </c>
      <c r="H170" s="2">
        <v>0.39998793905280006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P170" s="19">
        <f t="shared" si="154"/>
        <v>6.8051436174614878E-3</v>
      </c>
      <c r="Q170" s="19">
        <f t="shared" si="145"/>
        <v>1.1504291246541787E-2</v>
      </c>
      <c r="R170" s="19">
        <f t="shared" si="146"/>
        <v>6.5489009359201633E-3</v>
      </c>
      <c r="S170" s="19">
        <f t="shared" si="147"/>
        <v>8.3889146393197338E-5</v>
      </c>
      <c r="T170" s="19">
        <f t="shared" si="148"/>
        <v>0</v>
      </c>
      <c r="U170" s="19">
        <f t="shared" si="149"/>
        <v>0</v>
      </c>
      <c r="V170" s="19">
        <f t="shared" si="150"/>
        <v>0</v>
      </c>
      <c r="W170" s="19">
        <f t="shared" si="151"/>
        <v>0</v>
      </c>
      <c r="X170" s="19">
        <f t="shared" si="152"/>
        <v>0</v>
      </c>
      <c r="Y170" s="19">
        <f t="shared" si="153"/>
        <v>0</v>
      </c>
    </row>
    <row r="171" spans="1:25" outlineLevel="2">
      <c r="A171" s="1" t="s">
        <v>15</v>
      </c>
      <c r="B171">
        <v>120</v>
      </c>
      <c r="C171" s="5">
        <v>99.997432933400006</v>
      </c>
      <c r="D171" s="5">
        <v>5.2232751639000004</v>
      </c>
      <c r="E171" s="2">
        <v>0</v>
      </c>
      <c r="F171" s="2">
        <v>1199.0218195211894</v>
      </c>
      <c r="G171" s="2">
        <v>205.59472211107041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P171" s="19">
        <f t="shared" si="154"/>
        <v>0</v>
      </c>
      <c r="Q171" s="19">
        <f t="shared" si="145"/>
        <v>5.0639707967062533E-2</v>
      </c>
      <c r="R171" s="19">
        <f t="shared" si="146"/>
        <v>1.1567526348907842E-2</v>
      </c>
      <c r="S171" s="19">
        <f t="shared" si="147"/>
        <v>0</v>
      </c>
      <c r="T171" s="19">
        <f t="shared" si="148"/>
        <v>0</v>
      </c>
      <c r="U171" s="19">
        <f t="shared" si="149"/>
        <v>0</v>
      </c>
      <c r="V171" s="19">
        <f t="shared" si="150"/>
        <v>0</v>
      </c>
      <c r="W171" s="19">
        <f t="shared" si="151"/>
        <v>0</v>
      </c>
      <c r="X171" s="19">
        <f t="shared" si="152"/>
        <v>0</v>
      </c>
      <c r="Y171" s="19">
        <f t="shared" si="153"/>
        <v>0</v>
      </c>
    </row>
    <row r="172" spans="1:25" outlineLevel="2">
      <c r="A172" s="1" t="s">
        <v>15</v>
      </c>
      <c r="B172">
        <v>121</v>
      </c>
      <c r="C172" s="5">
        <v>100</v>
      </c>
      <c r="D172" s="5">
        <v>2.10098825134</v>
      </c>
      <c r="E172" s="2">
        <v>0</v>
      </c>
      <c r="F172" s="2">
        <v>98.702039999999997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P172" s="19">
        <f t="shared" si="154"/>
        <v>0</v>
      </c>
      <c r="Q172" s="19">
        <f t="shared" si="145"/>
        <v>4.1686001038323843E-3</v>
      </c>
      <c r="R172" s="19">
        <f t="shared" si="146"/>
        <v>0</v>
      </c>
      <c r="S172" s="19">
        <f t="shared" si="147"/>
        <v>0</v>
      </c>
      <c r="T172" s="19">
        <f t="shared" si="148"/>
        <v>0</v>
      </c>
      <c r="U172" s="19">
        <f t="shared" si="149"/>
        <v>0</v>
      </c>
      <c r="V172" s="19">
        <f t="shared" si="150"/>
        <v>0</v>
      </c>
      <c r="W172" s="19">
        <f t="shared" si="151"/>
        <v>0</v>
      </c>
      <c r="X172" s="19">
        <f t="shared" si="152"/>
        <v>0</v>
      </c>
      <c r="Y172" s="19">
        <f t="shared" si="153"/>
        <v>0</v>
      </c>
    </row>
    <row r="173" spans="1:25" outlineLevel="2">
      <c r="A173" s="1" t="s">
        <v>15</v>
      </c>
      <c r="B173">
        <v>122</v>
      </c>
      <c r="C173" s="5">
        <v>100</v>
      </c>
      <c r="D173" s="5">
        <v>1.0129159341</v>
      </c>
      <c r="E173" s="2">
        <v>0</v>
      </c>
      <c r="F173" s="2">
        <v>376.37939999999998</v>
      </c>
      <c r="G173" s="2">
        <v>339.20005600000002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P173" s="19">
        <f t="shared" si="154"/>
        <v>0</v>
      </c>
      <c r="Q173" s="19">
        <f t="shared" si="145"/>
        <v>1.5896076777342904E-2</v>
      </c>
      <c r="R173" s="19">
        <f t="shared" si="146"/>
        <v>1.9084661050838041E-2</v>
      </c>
      <c r="S173" s="19">
        <f t="shared" si="147"/>
        <v>0</v>
      </c>
      <c r="T173" s="19">
        <f t="shared" si="148"/>
        <v>0</v>
      </c>
      <c r="U173" s="19">
        <f t="shared" si="149"/>
        <v>0</v>
      </c>
      <c r="V173" s="19">
        <f t="shared" si="150"/>
        <v>0</v>
      </c>
      <c r="W173" s="19">
        <f t="shared" si="151"/>
        <v>0</v>
      </c>
      <c r="X173" s="19">
        <f t="shared" si="152"/>
        <v>0</v>
      </c>
      <c r="Y173" s="19">
        <f t="shared" si="153"/>
        <v>0</v>
      </c>
    </row>
    <row r="174" spans="1:25" outlineLevel="2">
      <c r="A174" s="1" t="s">
        <v>15</v>
      </c>
      <c r="B174">
        <v>123</v>
      </c>
      <c r="C174" s="5">
        <v>100</v>
      </c>
      <c r="D174" s="5">
        <v>0.92748140164399995</v>
      </c>
      <c r="E174" s="2">
        <v>0</v>
      </c>
      <c r="F174" s="2">
        <v>250</v>
      </c>
      <c r="G174" s="2">
        <v>5305.0000179999988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P174" s="19">
        <f t="shared" si="154"/>
        <v>0</v>
      </c>
      <c r="Q174" s="19">
        <f t="shared" si="145"/>
        <v>1.0558545962759191E-2</v>
      </c>
      <c r="R174" s="19">
        <f t="shared" si="146"/>
        <v>0.29847909936140954</v>
      </c>
      <c r="S174" s="19">
        <f t="shared" si="147"/>
        <v>0</v>
      </c>
      <c r="T174" s="19">
        <f t="shared" si="148"/>
        <v>0</v>
      </c>
      <c r="U174" s="19">
        <f t="shared" si="149"/>
        <v>0</v>
      </c>
      <c r="V174" s="19">
        <f t="shared" si="150"/>
        <v>0</v>
      </c>
      <c r="W174" s="19">
        <f t="shared" si="151"/>
        <v>0</v>
      </c>
      <c r="X174" s="19">
        <f t="shared" si="152"/>
        <v>0</v>
      </c>
      <c r="Y174" s="19">
        <f t="shared" si="153"/>
        <v>0</v>
      </c>
    </row>
    <row r="175" spans="1:25" outlineLevel="2">
      <c r="A175" s="1" t="s">
        <v>15</v>
      </c>
      <c r="B175">
        <v>124</v>
      </c>
      <c r="C175" s="5">
        <v>100</v>
      </c>
      <c r="D175" s="5">
        <v>2.8569961643499999</v>
      </c>
      <c r="E175" s="2">
        <v>0</v>
      </c>
      <c r="F175" s="2">
        <v>97.3</v>
      </c>
      <c r="G175" s="2">
        <v>3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P175" s="19">
        <f t="shared" si="154"/>
        <v>0</v>
      </c>
      <c r="Q175" s="19">
        <f t="shared" si="145"/>
        <v>4.1093860887058764E-3</v>
      </c>
      <c r="R175" s="19">
        <f t="shared" si="146"/>
        <v>1.6879119605013896E-4</v>
      </c>
      <c r="S175" s="19">
        <f t="shared" si="147"/>
        <v>0</v>
      </c>
      <c r="T175" s="19">
        <f t="shared" si="148"/>
        <v>0</v>
      </c>
      <c r="U175" s="19">
        <f t="shared" si="149"/>
        <v>0</v>
      </c>
      <c r="V175" s="19">
        <f t="shared" si="150"/>
        <v>0</v>
      </c>
      <c r="W175" s="19">
        <f t="shared" si="151"/>
        <v>0</v>
      </c>
      <c r="X175" s="19">
        <f t="shared" si="152"/>
        <v>0</v>
      </c>
      <c r="Y175" s="19">
        <f t="shared" si="153"/>
        <v>0</v>
      </c>
    </row>
    <row r="176" spans="1:25" outlineLevel="2">
      <c r="A176" s="1" t="s">
        <v>15</v>
      </c>
      <c r="B176">
        <v>125</v>
      </c>
      <c r="C176" s="5">
        <v>99.9998644243</v>
      </c>
      <c r="D176" s="5">
        <v>3.42467131634</v>
      </c>
      <c r="E176" s="2">
        <v>121.79983486879739</v>
      </c>
      <c r="F176" s="2">
        <v>0.29999959327289999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P176" s="19">
        <f t="shared" si="154"/>
        <v>0.62794724384278966</v>
      </c>
      <c r="Q176" s="19">
        <f t="shared" si="145"/>
        <v>1.267023797752391E-5</v>
      </c>
      <c r="R176" s="19">
        <f t="shared" si="146"/>
        <v>0</v>
      </c>
      <c r="S176" s="19">
        <f t="shared" si="147"/>
        <v>0</v>
      </c>
      <c r="T176" s="19">
        <f t="shared" si="148"/>
        <v>0</v>
      </c>
      <c r="U176" s="19">
        <f t="shared" si="149"/>
        <v>0</v>
      </c>
      <c r="V176" s="19">
        <f t="shared" si="150"/>
        <v>0</v>
      </c>
      <c r="W176" s="19">
        <f t="shared" si="151"/>
        <v>0</v>
      </c>
      <c r="X176" s="19">
        <f t="shared" si="152"/>
        <v>0</v>
      </c>
      <c r="Y176" s="19">
        <f t="shared" si="153"/>
        <v>0</v>
      </c>
    </row>
    <row r="177" spans="1:25" outlineLevel="2">
      <c r="A177" s="1" t="s">
        <v>15</v>
      </c>
      <c r="B177">
        <v>126</v>
      </c>
      <c r="C177" s="5">
        <v>100</v>
      </c>
      <c r="D177" s="5">
        <v>1.51961763879</v>
      </c>
      <c r="E177" s="2">
        <v>0</v>
      </c>
      <c r="F177" s="2">
        <v>40.200000000000003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P177" s="19">
        <f t="shared" si="154"/>
        <v>0</v>
      </c>
      <c r="Q177" s="19">
        <f t="shared" si="145"/>
        <v>1.6978141908116778E-3</v>
      </c>
      <c r="R177" s="19">
        <f t="shared" si="146"/>
        <v>0</v>
      </c>
      <c r="S177" s="19">
        <f t="shared" si="147"/>
        <v>0</v>
      </c>
      <c r="T177" s="19">
        <f t="shared" si="148"/>
        <v>0</v>
      </c>
      <c r="U177" s="19">
        <f t="shared" si="149"/>
        <v>0</v>
      </c>
      <c r="V177" s="19">
        <f t="shared" si="150"/>
        <v>0</v>
      </c>
      <c r="W177" s="19">
        <f t="shared" si="151"/>
        <v>0</v>
      </c>
      <c r="X177" s="19">
        <f t="shared" si="152"/>
        <v>0</v>
      </c>
      <c r="Y177" s="19">
        <f t="shared" si="153"/>
        <v>0</v>
      </c>
    </row>
    <row r="178" spans="1:25" outlineLevel="2">
      <c r="A178" s="1" t="s">
        <v>15</v>
      </c>
      <c r="B178">
        <v>127</v>
      </c>
      <c r="C178" s="5">
        <v>100</v>
      </c>
      <c r="D178" s="5">
        <v>0.75428031355500003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P178" s="19">
        <f t="shared" si="154"/>
        <v>0</v>
      </c>
      <c r="Q178" s="19">
        <f t="shared" si="145"/>
        <v>0</v>
      </c>
      <c r="R178" s="19">
        <f t="shared" si="146"/>
        <v>0</v>
      </c>
      <c r="S178" s="19">
        <f t="shared" si="147"/>
        <v>0</v>
      </c>
      <c r="T178" s="19">
        <f t="shared" si="148"/>
        <v>0</v>
      </c>
      <c r="U178" s="19">
        <f t="shared" si="149"/>
        <v>0</v>
      </c>
      <c r="V178" s="19">
        <f t="shared" si="150"/>
        <v>0</v>
      </c>
      <c r="W178" s="19">
        <f t="shared" si="151"/>
        <v>0</v>
      </c>
      <c r="X178" s="19">
        <f t="shared" si="152"/>
        <v>0</v>
      </c>
      <c r="Y178" s="19">
        <f t="shared" si="153"/>
        <v>0</v>
      </c>
    </row>
    <row r="179" spans="1:25" outlineLevel="2">
      <c r="A179" s="1" t="s">
        <v>15</v>
      </c>
      <c r="B179">
        <v>128</v>
      </c>
      <c r="C179" s="5">
        <v>100</v>
      </c>
      <c r="D179" s="5">
        <v>1.4173714364800001</v>
      </c>
      <c r="E179" s="2">
        <v>38.65</v>
      </c>
      <c r="F179" s="2">
        <v>0.8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P179" s="19">
        <f t="shared" si="154"/>
        <v>0.19926267552552598</v>
      </c>
      <c r="Q179" s="19">
        <f t="shared" si="145"/>
        <v>3.3787347080829409E-5</v>
      </c>
      <c r="R179" s="19">
        <f t="shared" si="146"/>
        <v>0</v>
      </c>
      <c r="S179" s="19">
        <f t="shared" si="147"/>
        <v>0</v>
      </c>
      <c r="T179" s="19">
        <f t="shared" si="148"/>
        <v>0</v>
      </c>
      <c r="U179" s="19">
        <f t="shared" si="149"/>
        <v>0</v>
      </c>
      <c r="V179" s="19">
        <f t="shared" si="150"/>
        <v>0</v>
      </c>
      <c r="W179" s="19">
        <f t="shared" si="151"/>
        <v>0</v>
      </c>
      <c r="X179" s="19">
        <f t="shared" si="152"/>
        <v>0</v>
      </c>
      <c r="Y179" s="19">
        <f t="shared" si="153"/>
        <v>0</v>
      </c>
    </row>
    <row r="180" spans="1:25" outlineLevel="2">
      <c r="A180" s="1" t="s">
        <v>15</v>
      </c>
      <c r="B180">
        <v>129</v>
      </c>
      <c r="C180" s="5">
        <v>99.999964017400004</v>
      </c>
      <c r="D180" s="5">
        <v>1.17784473912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P180" s="19">
        <f t="shared" si="154"/>
        <v>0</v>
      </c>
      <c r="Q180" s="19">
        <f t="shared" si="145"/>
        <v>0</v>
      </c>
      <c r="R180" s="19">
        <f t="shared" si="146"/>
        <v>0</v>
      </c>
      <c r="S180" s="19">
        <f t="shared" si="147"/>
        <v>0</v>
      </c>
      <c r="T180" s="19">
        <f t="shared" si="148"/>
        <v>0</v>
      </c>
      <c r="U180" s="19">
        <f t="shared" si="149"/>
        <v>0</v>
      </c>
      <c r="V180" s="19">
        <f t="shared" si="150"/>
        <v>0</v>
      </c>
      <c r="W180" s="19">
        <f t="shared" si="151"/>
        <v>0</v>
      </c>
      <c r="X180" s="19">
        <f t="shared" si="152"/>
        <v>0</v>
      </c>
      <c r="Y180" s="19">
        <f t="shared" si="153"/>
        <v>0</v>
      </c>
    </row>
    <row r="181" spans="1:25" outlineLevel="2">
      <c r="A181" s="1" t="s">
        <v>15</v>
      </c>
      <c r="B181">
        <v>130</v>
      </c>
      <c r="C181" s="5">
        <v>99.9982501697</v>
      </c>
      <c r="D181" s="5">
        <v>3.3496630552300002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P181" s="19">
        <f t="shared" si="154"/>
        <v>0</v>
      </c>
      <c r="Q181" s="19">
        <f t="shared" si="145"/>
        <v>0</v>
      </c>
      <c r="R181" s="19">
        <f t="shared" si="146"/>
        <v>0</v>
      </c>
      <c r="S181" s="19">
        <f t="shared" si="147"/>
        <v>0</v>
      </c>
      <c r="T181" s="19">
        <f t="shared" si="148"/>
        <v>0</v>
      </c>
      <c r="U181" s="19">
        <f t="shared" si="149"/>
        <v>0</v>
      </c>
      <c r="V181" s="19">
        <f t="shared" si="150"/>
        <v>0</v>
      </c>
      <c r="W181" s="19">
        <f t="shared" si="151"/>
        <v>0</v>
      </c>
      <c r="X181" s="19">
        <f t="shared" si="152"/>
        <v>0</v>
      </c>
      <c r="Y181" s="19">
        <f t="shared" si="153"/>
        <v>0</v>
      </c>
    </row>
    <row r="182" spans="1:25" outlineLevel="2">
      <c r="A182" s="1" t="s">
        <v>15</v>
      </c>
      <c r="B182">
        <v>131</v>
      </c>
      <c r="C182" s="5">
        <v>100</v>
      </c>
      <c r="D182" s="5">
        <v>0.55238298187799995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P182" s="19">
        <f t="shared" si="154"/>
        <v>0</v>
      </c>
      <c r="Q182" s="19">
        <f t="shared" si="145"/>
        <v>0</v>
      </c>
      <c r="R182" s="19">
        <f t="shared" si="146"/>
        <v>0</v>
      </c>
      <c r="S182" s="19">
        <f t="shared" si="147"/>
        <v>0</v>
      </c>
      <c r="T182" s="19">
        <f t="shared" si="148"/>
        <v>0</v>
      </c>
      <c r="U182" s="19">
        <f t="shared" si="149"/>
        <v>0</v>
      </c>
      <c r="V182" s="19">
        <f t="shared" si="150"/>
        <v>0</v>
      </c>
      <c r="W182" s="19">
        <f t="shared" si="151"/>
        <v>0</v>
      </c>
      <c r="X182" s="19">
        <f t="shared" si="152"/>
        <v>0</v>
      </c>
      <c r="Y182" s="19">
        <f t="shared" si="153"/>
        <v>0</v>
      </c>
    </row>
    <row r="183" spans="1:25" outlineLevel="2">
      <c r="A183" s="1" t="s">
        <v>15</v>
      </c>
      <c r="B183">
        <v>132</v>
      </c>
      <c r="C183" s="5">
        <v>100</v>
      </c>
      <c r="D183" s="5">
        <v>3.4725550889000001</v>
      </c>
      <c r="E183" s="2">
        <v>0</v>
      </c>
      <c r="F183" s="2">
        <v>1623.1130600000001</v>
      </c>
      <c r="G183" s="2">
        <v>183.39998199999999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P183" s="19">
        <f t="shared" si="154"/>
        <v>0</v>
      </c>
      <c r="Q183" s="19">
        <f t="shared" si="145"/>
        <v>6.8550855387058865E-2</v>
      </c>
      <c r="R183" s="19">
        <f t="shared" si="146"/>
        <v>1.0318767439117986E-2</v>
      </c>
      <c r="S183" s="19">
        <f t="shared" si="147"/>
        <v>0</v>
      </c>
      <c r="T183" s="19">
        <f t="shared" si="148"/>
        <v>0</v>
      </c>
      <c r="U183" s="19">
        <f t="shared" si="149"/>
        <v>0</v>
      </c>
      <c r="V183" s="19">
        <f t="shared" si="150"/>
        <v>0</v>
      </c>
      <c r="W183" s="19">
        <f t="shared" si="151"/>
        <v>0</v>
      </c>
      <c r="X183" s="19">
        <f t="shared" si="152"/>
        <v>0</v>
      </c>
      <c r="Y183" s="19">
        <f t="shared" si="153"/>
        <v>0</v>
      </c>
    </row>
    <row r="184" spans="1:25" outlineLevel="2">
      <c r="A184" s="1" t="s">
        <v>15</v>
      </c>
      <c r="B184">
        <v>133</v>
      </c>
      <c r="C184" s="5">
        <v>100</v>
      </c>
      <c r="D184" s="5">
        <v>0.80326377992099995</v>
      </c>
      <c r="E184" s="2">
        <v>1.58</v>
      </c>
      <c r="F184" s="2">
        <v>76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P184" s="19">
        <f t="shared" si="154"/>
        <v>8.1457963086760954E-3</v>
      </c>
      <c r="Q184" s="19">
        <f t="shared" si="145"/>
        <v>3.2097979726787938E-3</v>
      </c>
      <c r="R184" s="19">
        <f t="shared" si="146"/>
        <v>0</v>
      </c>
      <c r="S184" s="19">
        <f t="shared" si="147"/>
        <v>0</v>
      </c>
      <c r="T184" s="19">
        <f t="shared" si="148"/>
        <v>0</v>
      </c>
      <c r="U184" s="19">
        <f t="shared" si="149"/>
        <v>0</v>
      </c>
      <c r="V184" s="19">
        <f t="shared" si="150"/>
        <v>0</v>
      </c>
      <c r="W184" s="19">
        <f t="shared" si="151"/>
        <v>0</v>
      </c>
      <c r="X184" s="19">
        <f t="shared" si="152"/>
        <v>0</v>
      </c>
      <c r="Y184" s="19">
        <f t="shared" si="153"/>
        <v>0</v>
      </c>
    </row>
    <row r="185" spans="1:25" outlineLevel="2">
      <c r="A185" s="1" t="s">
        <v>15</v>
      </c>
      <c r="B185">
        <v>134</v>
      </c>
      <c r="C185" s="5">
        <v>100</v>
      </c>
      <c r="D185" s="5">
        <v>2.0291475275000002</v>
      </c>
      <c r="E185" s="2">
        <v>0</v>
      </c>
      <c r="F185" s="2">
        <v>1167.6221700000001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P185" s="19">
        <f t="shared" si="154"/>
        <v>0</v>
      </c>
      <c r="Q185" s="19">
        <f t="shared" si="145"/>
        <v>4.9313569396326501E-2</v>
      </c>
      <c r="R185" s="19">
        <f t="shared" si="146"/>
        <v>0</v>
      </c>
      <c r="S185" s="19">
        <f t="shared" si="147"/>
        <v>0</v>
      </c>
      <c r="T185" s="19">
        <f t="shared" si="148"/>
        <v>0</v>
      </c>
      <c r="U185" s="19">
        <f t="shared" si="149"/>
        <v>0</v>
      </c>
      <c r="V185" s="19">
        <f t="shared" si="150"/>
        <v>0</v>
      </c>
      <c r="W185" s="19">
        <f t="shared" si="151"/>
        <v>0</v>
      </c>
      <c r="X185" s="19">
        <f t="shared" si="152"/>
        <v>0</v>
      </c>
      <c r="Y185" s="19">
        <f t="shared" si="153"/>
        <v>0</v>
      </c>
    </row>
    <row r="186" spans="1:25" outlineLevel="2">
      <c r="A186" s="1" t="s">
        <v>15</v>
      </c>
      <c r="B186">
        <v>144</v>
      </c>
      <c r="C186" s="5">
        <v>16.948669563300001</v>
      </c>
      <c r="D186" s="5">
        <v>0.61276863819000005</v>
      </c>
      <c r="E186" s="2">
        <v>17.084258919806402</v>
      </c>
      <c r="F186" s="2">
        <v>1.0508175129246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P186" s="19">
        <f t="shared" si="154"/>
        <v>8.807904635786433E-2</v>
      </c>
      <c r="Q186" s="19">
        <f t="shared" si="145"/>
        <v>4.4380420034746756E-5</v>
      </c>
      <c r="R186" s="19">
        <f t="shared" si="146"/>
        <v>0</v>
      </c>
      <c r="S186" s="19">
        <f t="shared" si="147"/>
        <v>0</v>
      </c>
      <c r="T186" s="19">
        <f t="shared" si="148"/>
        <v>0</v>
      </c>
      <c r="U186" s="19">
        <f t="shared" si="149"/>
        <v>0</v>
      </c>
      <c r="V186" s="19">
        <f t="shared" si="150"/>
        <v>0</v>
      </c>
      <c r="W186" s="19">
        <f t="shared" si="151"/>
        <v>0</v>
      </c>
      <c r="X186" s="19">
        <f t="shared" si="152"/>
        <v>0</v>
      </c>
      <c r="Y186" s="19">
        <f t="shared" si="153"/>
        <v>0</v>
      </c>
    </row>
    <row r="187" spans="1:25" outlineLevel="2">
      <c r="A187" s="1" t="s">
        <v>15</v>
      </c>
      <c r="B187">
        <v>176</v>
      </c>
      <c r="C187" s="5">
        <v>99.999362083600005</v>
      </c>
      <c r="D187" s="5">
        <v>2.1305779239699998</v>
      </c>
      <c r="E187" s="2">
        <v>0</v>
      </c>
      <c r="F187" s="2">
        <v>1616.1531822280338</v>
      </c>
      <c r="G187" s="2">
        <v>249.79844648457765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P187" s="19">
        <f t="shared" si="154"/>
        <v>0</v>
      </c>
      <c r="Q187" s="19">
        <f t="shared" si="145"/>
        <v>6.82569106296569E-2</v>
      </c>
      <c r="R187" s="19">
        <f t="shared" si="146"/>
        <v>1.4054592851199497E-2</v>
      </c>
      <c r="S187" s="19">
        <f t="shared" si="147"/>
        <v>0</v>
      </c>
      <c r="T187" s="19">
        <f t="shared" si="148"/>
        <v>0</v>
      </c>
      <c r="U187" s="19">
        <f t="shared" si="149"/>
        <v>0</v>
      </c>
      <c r="V187" s="19">
        <f t="shared" si="150"/>
        <v>0</v>
      </c>
      <c r="W187" s="19">
        <f t="shared" si="151"/>
        <v>0</v>
      </c>
      <c r="X187" s="19">
        <f t="shared" si="152"/>
        <v>0</v>
      </c>
      <c r="Y187" s="19">
        <f t="shared" si="153"/>
        <v>0</v>
      </c>
    </row>
    <row r="188" spans="1:25" outlineLevel="2">
      <c r="A188" s="1" t="s">
        <v>15</v>
      </c>
      <c r="B188">
        <v>177</v>
      </c>
      <c r="C188" s="5">
        <v>84.7564663255</v>
      </c>
      <c r="D188" s="5">
        <v>0.92800684783999998</v>
      </c>
      <c r="E188" s="2">
        <v>0</v>
      </c>
      <c r="F188" s="2">
        <v>0.67805173060400004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P188" s="19">
        <f t="shared" si="154"/>
        <v>0</v>
      </c>
      <c r="Q188" s="19">
        <f t="shared" si="145"/>
        <v>2.8636961450842987E-5</v>
      </c>
      <c r="R188" s="19">
        <f t="shared" si="146"/>
        <v>0</v>
      </c>
      <c r="S188" s="19">
        <f t="shared" si="147"/>
        <v>0</v>
      </c>
      <c r="T188" s="19">
        <f t="shared" si="148"/>
        <v>0</v>
      </c>
      <c r="U188" s="19">
        <f t="shared" si="149"/>
        <v>0</v>
      </c>
      <c r="V188" s="19">
        <f t="shared" si="150"/>
        <v>0</v>
      </c>
      <c r="W188" s="19">
        <f t="shared" si="151"/>
        <v>0</v>
      </c>
      <c r="X188" s="19">
        <f t="shared" si="152"/>
        <v>0</v>
      </c>
      <c r="Y188" s="19">
        <f t="shared" si="153"/>
        <v>0</v>
      </c>
    </row>
    <row r="189" spans="1:25" outlineLevel="2">
      <c r="A189" s="1" t="s">
        <v>15</v>
      </c>
      <c r="B189">
        <v>178</v>
      </c>
      <c r="C189" s="5">
        <v>100</v>
      </c>
      <c r="D189" s="5">
        <v>1.5762776539200001</v>
      </c>
      <c r="E189" s="2">
        <v>0</v>
      </c>
      <c r="F189" s="2">
        <v>10069.101105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P189" s="19">
        <f t="shared" si="154"/>
        <v>0</v>
      </c>
      <c r="Q189" s="19">
        <f t="shared" si="145"/>
        <v>0.4252602672832474</v>
      </c>
      <c r="R189" s="19">
        <f t="shared" si="146"/>
        <v>0</v>
      </c>
      <c r="S189" s="19">
        <f t="shared" si="147"/>
        <v>0</v>
      </c>
      <c r="T189" s="19">
        <f t="shared" si="148"/>
        <v>0</v>
      </c>
      <c r="U189" s="19">
        <f t="shared" si="149"/>
        <v>0</v>
      </c>
      <c r="V189" s="19">
        <f t="shared" si="150"/>
        <v>0</v>
      </c>
      <c r="W189" s="19">
        <f t="shared" si="151"/>
        <v>0</v>
      </c>
      <c r="X189" s="19">
        <f t="shared" si="152"/>
        <v>0</v>
      </c>
      <c r="Y189" s="19">
        <f t="shared" si="153"/>
        <v>0</v>
      </c>
    </row>
    <row r="190" spans="1:25" outlineLevel="2">
      <c r="A190" s="1" t="s">
        <v>15</v>
      </c>
      <c r="B190">
        <v>179</v>
      </c>
      <c r="C190" s="5">
        <v>100</v>
      </c>
      <c r="D190" s="5">
        <v>0.877433579967</v>
      </c>
      <c r="E190" s="2">
        <v>0</v>
      </c>
      <c r="F190" s="2">
        <v>236.4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P190" s="19">
        <f t="shared" si="154"/>
        <v>0</v>
      </c>
      <c r="Q190" s="19">
        <f t="shared" si="145"/>
        <v>9.9841610623850902E-3</v>
      </c>
      <c r="R190" s="19">
        <f t="shared" si="146"/>
        <v>0</v>
      </c>
      <c r="S190" s="19">
        <f t="shared" si="147"/>
        <v>0</v>
      </c>
      <c r="T190" s="19">
        <f t="shared" si="148"/>
        <v>0</v>
      </c>
      <c r="U190" s="19">
        <f t="shared" si="149"/>
        <v>0</v>
      </c>
      <c r="V190" s="19">
        <f t="shared" si="150"/>
        <v>0</v>
      </c>
      <c r="W190" s="19">
        <f t="shared" si="151"/>
        <v>0</v>
      </c>
      <c r="X190" s="19">
        <f t="shared" si="152"/>
        <v>0</v>
      </c>
      <c r="Y190" s="19">
        <f t="shared" si="153"/>
        <v>0</v>
      </c>
    </row>
    <row r="191" spans="1:25" outlineLevel="2">
      <c r="A191" s="1" t="s">
        <v>15</v>
      </c>
      <c r="B191">
        <v>180</v>
      </c>
      <c r="C191" s="5">
        <v>99.999851130400003</v>
      </c>
      <c r="D191" s="5">
        <v>1.5682470259900001</v>
      </c>
      <c r="E191" s="2">
        <v>0</v>
      </c>
      <c r="F191" s="2">
        <v>6547.2416041331026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P191" s="19">
        <f t="shared" si="154"/>
        <v>0</v>
      </c>
      <c r="Q191" s="19">
        <f t="shared" si="145"/>
        <v>0.27651740562611432</v>
      </c>
      <c r="R191" s="19">
        <f t="shared" si="146"/>
        <v>0</v>
      </c>
      <c r="S191" s="19">
        <f t="shared" si="147"/>
        <v>0</v>
      </c>
      <c r="T191" s="19">
        <f t="shared" si="148"/>
        <v>0</v>
      </c>
      <c r="U191" s="19">
        <f t="shared" si="149"/>
        <v>0</v>
      </c>
      <c r="V191" s="19">
        <f t="shared" si="150"/>
        <v>0</v>
      </c>
      <c r="W191" s="19">
        <f t="shared" si="151"/>
        <v>0</v>
      </c>
      <c r="X191" s="19">
        <f t="shared" si="152"/>
        <v>0</v>
      </c>
      <c r="Y191" s="19">
        <f t="shared" si="153"/>
        <v>0</v>
      </c>
    </row>
    <row r="192" spans="1:25" outlineLevel="2">
      <c r="A192" s="1" t="s">
        <v>15</v>
      </c>
      <c r="B192">
        <v>181</v>
      </c>
      <c r="C192" s="5">
        <v>99.997204797999999</v>
      </c>
      <c r="D192" s="5">
        <v>0.82476098388399999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P192" s="19">
        <f t="shared" si="154"/>
        <v>0</v>
      </c>
      <c r="Q192" s="19">
        <f t="shared" si="145"/>
        <v>0</v>
      </c>
      <c r="R192" s="19">
        <f t="shared" si="146"/>
        <v>0</v>
      </c>
      <c r="S192" s="19">
        <f t="shared" si="147"/>
        <v>0</v>
      </c>
      <c r="T192" s="19">
        <f t="shared" si="148"/>
        <v>0</v>
      </c>
      <c r="U192" s="19">
        <f t="shared" si="149"/>
        <v>0</v>
      </c>
      <c r="V192" s="19">
        <f t="shared" si="150"/>
        <v>0</v>
      </c>
      <c r="W192" s="19">
        <f t="shared" si="151"/>
        <v>0</v>
      </c>
      <c r="X192" s="19">
        <f t="shared" si="152"/>
        <v>0</v>
      </c>
      <c r="Y192" s="19">
        <f t="shared" si="153"/>
        <v>0</v>
      </c>
    </row>
    <row r="193" spans="1:25" outlineLevel="2">
      <c r="A193" s="1" t="s">
        <v>15</v>
      </c>
      <c r="B193">
        <v>182</v>
      </c>
      <c r="C193" s="5">
        <v>99.999661005500002</v>
      </c>
      <c r="D193" s="5">
        <v>0.63283994760899998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P193" s="19">
        <f t="shared" si="154"/>
        <v>0</v>
      </c>
      <c r="Q193" s="19">
        <f t="shared" si="145"/>
        <v>0</v>
      </c>
      <c r="R193" s="19">
        <f t="shared" si="146"/>
        <v>0</v>
      </c>
      <c r="S193" s="19">
        <f t="shared" si="147"/>
        <v>0</v>
      </c>
      <c r="T193" s="19">
        <f t="shared" si="148"/>
        <v>0</v>
      </c>
      <c r="U193" s="19">
        <f t="shared" si="149"/>
        <v>0</v>
      </c>
      <c r="V193" s="19">
        <f t="shared" si="150"/>
        <v>0</v>
      </c>
      <c r="W193" s="19">
        <f t="shared" si="151"/>
        <v>0</v>
      </c>
      <c r="X193" s="19">
        <f t="shared" si="152"/>
        <v>0</v>
      </c>
      <c r="Y193" s="19">
        <f t="shared" si="153"/>
        <v>0</v>
      </c>
    </row>
    <row r="194" spans="1:25" outlineLevel="2">
      <c r="A194" s="1" t="s">
        <v>15</v>
      </c>
      <c r="B194">
        <v>183</v>
      </c>
      <c r="C194" s="5">
        <v>88.662813802399995</v>
      </c>
      <c r="D194" s="5">
        <v>1.2217507167799999</v>
      </c>
      <c r="E194" s="2">
        <v>0</v>
      </c>
      <c r="F194" s="2">
        <v>3.5465125520959999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P194" s="19">
        <f t="shared" si="154"/>
        <v>0</v>
      </c>
      <c r="Q194" s="19">
        <f t="shared" si="145"/>
        <v>1.4978406315523205E-4</v>
      </c>
      <c r="R194" s="19">
        <f t="shared" si="146"/>
        <v>0</v>
      </c>
      <c r="S194" s="19">
        <f t="shared" si="147"/>
        <v>0</v>
      </c>
      <c r="T194" s="19">
        <f t="shared" si="148"/>
        <v>0</v>
      </c>
      <c r="U194" s="19">
        <f t="shared" si="149"/>
        <v>0</v>
      </c>
      <c r="V194" s="19">
        <f t="shared" si="150"/>
        <v>0</v>
      </c>
      <c r="W194" s="19">
        <f t="shared" si="151"/>
        <v>0</v>
      </c>
      <c r="X194" s="19">
        <f t="shared" si="152"/>
        <v>0</v>
      </c>
      <c r="Y194" s="19">
        <f t="shared" si="153"/>
        <v>0</v>
      </c>
    </row>
    <row r="195" spans="1:25" outlineLevel="2">
      <c r="A195" s="1" t="s">
        <v>15</v>
      </c>
      <c r="B195">
        <v>194</v>
      </c>
      <c r="C195" s="5">
        <v>45.103406670399998</v>
      </c>
      <c r="D195" s="5">
        <v>0.83968555292400004</v>
      </c>
      <c r="E195" s="2">
        <v>13.53102200112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P195" s="19">
        <f t="shared" si="154"/>
        <v>6.9760094347682489E-2</v>
      </c>
      <c r="Q195" s="19">
        <f t="shared" si="145"/>
        <v>0</v>
      </c>
      <c r="R195" s="19">
        <f t="shared" si="146"/>
        <v>0</v>
      </c>
      <c r="S195" s="19">
        <f t="shared" si="147"/>
        <v>0</v>
      </c>
      <c r="T195" s="19">
        <f t="shared" si="148"/>
        <v>0</v>
      </c>
      <c r="U195" s="19">
        <f t="shared" si="149"/>
        <v>0</v>
      </c>
      <c r="V195" s="19">
        <f t="shared" si="150"/>
        <v>0</v>
      </c>
      <c r="W195" s="19">
        <f t="shared" si="151"/>
        <v>0</v>
      </c>
      <c r="X195" s="19">
        <f t="shared" si="152"/>
        <v>0</v>
      </c>
      <c r="Y195" s="19">
        <f t="shared" si="153"/>
        <v>0</v>
      </c>
    </row>
    <row r="196" spans="1:25" outlineLevel="1">
      <c r="A196" s="18" t="s">
        <v>69</v>
      </c>
      <c r="E196" s="2">
        <f t="shared" ref="E196:N196" si="155">SUBTOTAL(9,E148:E195)</f>
        <v>193.96507598859802</v>
      </c>
      <c r="F196" s="2">
        <f t="shared" si="155"/>
        <v>23677.502648733014</v>
      </c>
      <c r="G196" s="2">
        <f t="shared" si="155"/>
        <v>17773.438841613861</v>
      </c>
      <c r="H196" s="2">
        <f t="shared" si="155"/>
        <v>4768.0535116904648</v>
      </c>
      <c r="I196" s="2">
        <f t="shared" si="155"/>
        <v>0</v>
      </c>
      <c r="J196" s="2">
        <f t="shared" si="155"/>
        <v>0</v>
      </c>
      <c r="K196" s="2">
        <f t="shared" si="155"/>
        <v>0</v>
      </c>
      <c r="L196" s="2">
        <f t="shared" si="155"/>
        <v>0</v>
      </c>
      <c r="M196" s="2">
        <f t="shared" si="155"/>
        <v>0</v>
      </c>
      <c r="N196" s="2">
        <f t="shared" si="155"/>
        <v>0</v>
      </c>
    </row>
    <row r="197" spans="1:25" outlineLevel="2">
      <c r="A197" s="1" t="s">
        <v>16</v>
      </c>
      <c r="B197">
        <v>343</v>
      </c>
      <c r="C197" s="5">
        <v>99.9999742177</v>
      </c>
      <c r="D197" s="5">
        <v>3.6420768046199998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P197" s="19">
        <f>IF(E$211&gt;0, E197/E$211, 0)</f>
        <v>0</v>
      </c>
      <c r="Q197" s="19">
        <f t="shared" ref="Q197:Q210" si="156">IF(F$211&gt;0, F197/F$211, 0)</f>
        <v>0</v>
      </c>
      <c r="R197" s="19">
        <f t="shared" ref="R197:R210" si="157">IF(G$211&gt;0, G197/G$211, 0)</f>
        <v>0</v>
      </c>
      <c r="S197" s="19">
        <f t="shared" ref="S197:S210" si="158">IF(H$211&gt;0, H197/H$211, 0)</f>
        <v>0</v>
      </c>
      <c r="T197" s="19">
        <f t="shared" ref="T197:T210" si="159">IF(I$211&gt;0, I197/I$211, 0)</f>
        <v>0</v>
      </c>
      <c r="U197" s="19">
        <f t="shared" ref="U197:U210" si="160">IF(J$211&gt;0, J197/J$211, 0)</f>
        <v>0</v>
      </c>
      <c r="V197" s="19">
        <f t="shared" ref="V197:V210" si="161">IF(K$211&gt;0, K197/K$211, 0)</f>
        <v>0</v>
      </c>
      <c r="W197" s="19">
        <f t="shared" ref="W197:W210" si="162">IF(L$211&gt;0, L197/L$211, 0)</f>
        <v>0</v>
      </c>
      <c r="X197" s="19">
        <f t="shared" ref="X197:X210" si="163">IF(M$211&gt;0, M197/M$211, 0)</f>
        <v>0</v>
      </c>
      <c r="Y197" s="19">
        <f t="shared" ref="Y197:Y210" si="164">IF(N$211&gt;0, N197/N$211, 0)</f>
        <v>0</v>
      </c>
    </row>
    <row r="198" spans="1:25" outlineLevel="2">
      <c r="A198" s="1" t="s">
        <v>16</v>
      </c>
      <c r="B198">
        <v>344</v>
      </c>
      <c r="C198" s="5">
        <v>99.998561363500002</v>
      </c>
      <c r="D198" s="5">
        <v>3.2385233921999999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P198" s="19">
        <f t="shared" ref="P198:P210" si="165">IF(E$211&gt;0, E198/E$211, 0)</f>
        <v>0</v>
      </c>
      <c r="Q198" s="19">
        <f t="shared" si="156"/>
        <v>0</v>
      </c>
      <c r="R198" s="19">
        <f t="shared" si="157"/>
        <v>0</v>
      </c>
      <c r="S198" s="19">
        <f t="shared" si="158"/>
        <v>0</v>
      </c>
      <c r="T198" s="19">
        <f t="shared" si="159"/>
        <v>0</v>
      </c>
      <c r="U198" s="19">
        <f t="shared" si="160"/>
        <v>0</v>
      </c>
      <c r="V198" s="19">
        <f t="shared" si="161"/>
        <v>0</v>
      </c>
      <c r="W198" s="19">
        <f t="shared" si="162"/>
        <v>0</v>
      </c>
      <c r="X198" s="19">
        <f t="shared" si="163"/>
        <v>0</v>
      </c>
      <c r="Y198" s="19">
        <f t="shared" si="164"/>
        <v>0</v>
      </c>
    </row>
    <row r="199" spans="1:25" outlineLevel="2">
      <c r="A199" s="1" t="s">
        <v>16</v>
      </c>
      <c r="B199">
        <v>345</v>
      </c>
      <c r="C199" s="5">
        <v>100</v>
      </c>
      <c r="D199" s="5">
        <v>1.32126582237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974.45479999999998</v>
      </c>
      <c r="N199" s="2">
        <v>0</v>
      </c>
      <c r="P199" s="19">
        <f t="shared" si="165"/>
        <v>0</v>
      </c>
      <c r="Q199" s="19">
        <f t="shared" si="156"/>
        <v>0</v>
      </c>
      <c r="R199" s="19">
        <f t="shared" si="157"/>
        <v>0</v>
      </c>
      <c r="S199" s="19">
        <f t="shared" si="158"/>
        <v>0</v>
      </c>
      <c r="T199" s="19">
        <f t="shared" si="159"/>
        <v>0</v>
      </c>
      <c r="U199" s="19">
        <f t="shared" si="160"/>
        <v>0</v>
      </c>
      <c r="V199" s="19">
        <f t="shared" si="161"/>
        <v>0</v>
      </c>
      <c r="W199" s="19">
        <f t="shared" si="162"/>
        <v>0</v>
      </c>
      <c r="X199" s="19">
        <f t="shared" si="163"/>
        <v>0.110124178765756</v>
      </c>
      <c r="Y199" s="19">
        <f t="shared" si="164"/>
        <v>0</v>
      </c>
    </row>
    <row r="200" spans="1:25" outlineLevel="2">
      <c r="A200" s="1" t="s">
        <v>16</v>
      </c>
      <c r="B200">
        <v>346</v>
      </c>
      <c r="C200" s="5">
        <v>100</v>
      </c>
      <c r="D200" s="5">
        <v>0.18456871533899999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0.2</v>
      </c>
      <c r="N200" s="2">
        <v>0</v>
      </c>
      <c r="P200" s="19">
        <f t="shared" si="165"/>
        <v>0</v>
      </c>
      <c r="Q200" s="19">
        <f t="shared" si="156"/>
        <v>0</v>
      </c>
      <c r="R200" s="19">
        <f t="shared" si="157"/>
        <v>0</v>
      </c>
      <c r="S200" s="19">
        <f t="shared" si="158"/>
        <v>0</v>
      </c>
      <c r="T200" s="19">
        <f t="shared" si="159"/>
        <v>0</v>
      </c>
      <c r="U200" s="19">
        <f t="shared" si="160"/>
        <v>0</v>
      </c>
      <c r="V200" s="19">
        <f t="shared" si="161"/>
        <v>0</v>
      </c>
      <c r="W200" s="19">
        <f t="shared" si="162"/>
        <v>0</v>
      </c>
      <c r="X200" s="19">
        <f t="shared" si="163"/>
        <v>2.2602213825773346E-5</v>
      </c>
      <c r="Y200" s="19">
        <f t="shared" si="164"/>
        <v>0</v>
      </c>
    </row>
    <row r="201" spans="1:25" outlineLevel="2">
      <c r="A201" s="1" t="s">
        <v>16</v>
      </c>
      <c r="B201">
        <v>347</v>
      </c>
      <c r="C201" s="5">
        <v>99.999912364099998</v>
      </c>
      <c r="D201" s="5">
        <v>6.1257503135000002</v>
      </c>
      <c r="E201" s="2">
        <v>0</v>
      </c>
      <c r="F201" s="2">
        <v>0</v>
      </c>
      <c r="G201" s="2">
        <v>0</v>
      </c>
      <c r="H201" s="2">
        <v>2.24999802819225</v>
      </c>
      <c r="I201" s="2">
        <v>0.74999934273074997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P201" s="19">
        <f t="shared" si="165"/>
        <v>0</v>
      </c>
      <c r="Q201" s="19">
        <f t="shared" si="156"/>
        <v>0</v>
      </c>
      <c r="R201" s="19">
        <f t="shared" si="157"/>
        <v>0</v>
      </c>
      <c r="S201" s="19">
        <f t="shared" si="158"/>
        <v>2.0092306632772403E-3</v>
      </c>
      <c r="T201" s="19">
        <f t="shared" si="159"/>
        <v>1.2325001180204895E-3</v>
      </c>
      <c r="U201" s="19">
        <f t="shared" si="160"/>
        <v>0</v>
      </c>
      <c r="V201" s="19">
        <f t="shared" si="161"/>
        <v>0</v>
      </c>
      <c r="W201" s="19">
        <f t="shared" si="162"/>
        <v>0</v>
      </c>
      <c r="X201" s="19">
        <f t="shared" si="163"/>
        <v>0</v>
      </c>
      <c r="Y201" s="19">
        <f t="shared" si="164"/>
        <v>0</v>
      </c>
    </row>
    <row r="202" spans="1:25" outlineLevel="2">
      <c r="A202" s="1" t="s">
        <v>16</v>
      </c>
      <c r="B202">
        <v>348</v>
      </c>
      <c r="C202" s="5">
        <v>100</v>
      </c>
      <c r="D202" s="5">
        <v>4.2970443978399997</v>
      </c>
      <c r="E202" s="2">
        <v>0.66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642</v>
      </c>
      <c r="N202" s="2">
        <v>0</v>
      </c>
      <c r="P202" s="19">
        <f t="shared" si="165"/>
        <v>0.5689695004215013</v>
      </c>
      <c r="Q202" s="19">
        <f t="shared" si="156"/>
        <v>0</v>
      </c>
      <c r="R202" s="19">
        <f t="shared" si="157"/>
        <v>0</v>
      </c>
      <c r="S202" s="19">
        <f t="shared" si="158"/>
        <v>0</v>
      </c>
      <c r="T202" s="19">
        <f t="shared" si="159"/>
        <v>0</v>
      </c>
      <c r="U202" s="19">
        <f t="shared" si="160"/>
        <v>0</v>
      </c>
      <c r="V202" s="19">
        <f t="shared" si="161"/>
        <v>0</v>
      </c>
      <c r="W202" s="19">
        <f t="shared" si="162"/>
        <v>0</v>
      </c>
      <c r="X202" s="19">
        <f t="shared" si="163"/>
        <v>7.2553106380732438E-2</v>
      </c>
      <c r="Y202" s="19">
        <f t="shared" si="164"/>
        <v>0</v>
      </c>
    </row>
    <row r="203" spans="1:25" outlineLevel="2">
      <c r="A203" s="1" t="s">
        <v>16</v>
      </c>
      <c r="B203">
        <v>349</v>
      </c>
      <c r="C203" s="5">
        <v>100</v>
      </c>
      <c r="D203" s="5">
        <v>0.80436260199999998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5221.9147800000001</v>
      </c>
      <c r="N203" s="2">
        <v>1668.1998999999998</v>
      </c>
      <c r="P203" s="19">
        <f t="shared" si="165"/>
        <v>0</v>
      </c>
      <c r="Q203" s="19">
        <f t="shared" si="156"/>
        <v>0</v>
      </c>
      <c r="R203" s="19">
        <f t="shared" si="157"/>
        <v>0</v>
      </c>
      <c r="S203" s="19">
        <f t="shared" si="158"/>
        <v>0</v>
      </c>
      <c r="T203" s="19">
        <f t="shared" si="159"/>
        <v>0</v>
      </c>
      <c r="U203" s="19">
        <f t="shared" si="160"/>
        <v>0</v>
      </c>
      <c r="V203" s="19">
        <f t="shared" si="161"/>
        <v>0</v>
      </c>
      <c r="W203" s="19">
        <f t="shared" si="162"/>
        <v>0</v>
      </c>
      <c r="X203" s="19">
        <f t="shared" si="163"/>
        <v>0.59013417218763087</v>
      </c>
      <c r="Y203" s="19">
        <f t="shared" si="164"/>
        <v>1</v>
      </c>
    </row>
    <row r="204" spans="1:25" outlineLevel="2">
      <c r="A204" s="1" t="s">
        <v>16</v>
      </c>
      <c r="B204">
        <v>350</v>
      </c>
      <c r="C204" s="5">
        <v>99.999374500000002</v>
      </c>
      <c r="D204" s="5">
        <v>2.0838014624499999</v>
      </c>
      <c r="E204" s="2">
        <v>0</v>
      </c>
      <c r="F204" s="2">
        <v>0</v>
      </c>
      <c r="G204" s="2">
        <v>0</v>
      </c>
      <c r="H204" s="2">
        <v>0</v>
      </c>
      <c r="I204" s="2">
        <v>28.494241767402901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P204" s="19">
        <f t="shared" si="165"/>
        <v>0</v>
      </c>
      <c r="Q204" s="19">
        <f t="shared" si="156"/>
        <v>0</v>
      </c>
      <c r="R204" s="19">
        <f t="shared" si="157"/>
        <v>0</v>
      </c>
      <c r="S204" s="19">
        <f t="shared" si="158"/>
        <v>0</v>
      </c>
      <c r="T204" s="19">
        <f t="shared" si="159"/>
        <v>4.6825582824325522E-2</v>
      </c>
      <c r="U204" s="19">
        <f t="shared" si="160"/>
        <v>0</v>
      </c>
      <c r="V204" s="19">
        <f t="shared" si="161"/>
        <v>0</v>
      </c>
      <c r="W204" s="19">
        <f t="shared" si="162"/>
        <v>0</v>
      </c>
      <c r="X204" s="19">
        <f t="shared" si="163"/>
        <v>0</v>
      </c>
      <c r="Y204" s="19">
        <f t="shared" si="164"/>
        <v>0</v>
      </c>
    </row>
    <row r="205" spans="1:25" outlineLevel="2">
      <c r="A205" s="1" t="s">
        <v>16</v>
      </c>
      <c r="B205">
        <v>351</v>
      </c>
      <c r="C205" s="5">
        <v>99.999450058799994</v>
      </c>
      <c r="D205" s="5">
        <v>6.5152754169399998</v>
      </c>
      <c r="E205" s="2">
        <v>0</v>
      </c>
      <c r="F205" s="2">
        <v>0</v>
      </c>
      <c r="G205" s="2">
        <v>194.59892981442476</v>
      </c>
      <c r="H205" s="2">
        <v>150.99916958878799</v>
      </c>
      <c r="I205" s="2">
        <v>43.399761325519194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P205" s="19">
        <f t="shared" si="165"/>
        <v>0</v>
      </c>
      <c r="Q205" s="19">
        <f t="shared" si="156"/>
        <v>0</v>
      </c>
      <c r="R205" s="19">
        <f t="shared" si="157"/>
        <v>0.55234852138253754</v>
      </c>
      <c r="S205" s="19">
        <f t="shared" si="158"/>
        <v>0.13484107891016772</v>
      </c>
      <c r="T205" s="19">
        <f t="shared" si="159"/>
        <v>7.1320343776576464E-2</v>
      </c>
      <c r="U205" s="19">
        <f t="shared" si="160"/>
        <v>0</v>
      </c>
      <c r="V205" s="19">
        <f t="shared" si="161"/>
        <v>0</v>
      </c>
      <c r="W205" s="19">
        <f t="shared" si="162"/>
        <v>0</v>
      </c>
      <c r="X205" s="19">
        <f t="shared" si="163"/>
        <v>0</v>
      </c>
      <c r="Y205" s="19">
        <f t="shared" si="164"/>
        <v>0</v>
      </c>
    </row>
    <row r="206" spans="1:25" outlineLevel="2">
      <c r="A206" s="1" t="s">
        <v>16</v>
      </c>
      <c r="B206">
        <v>352</v>
      </c>
      <c r="C206" s="5">
        <v>99.997499054299993</v>
      </c>
      <c r="D206" s="5">
        <v>4.6964532517200004</v>
      </c>
      <c r="E206" s="2">
        <v>0</v>
      </c>
      <c r="F206" s="2">
        <v>0</v>
      </c>
      <c r="G206" s="2">
        <v>111.38611422409517</v>
      </c>
      <c r="H206" s="2">
        <v>160.2959909840429</v>
      </c>
      <c r="I206" s="2">
        <v>55.498611975136498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P206" s="19">
        <f t="shared" si="165"/>
        <v>0</v>
      </c>
      <c r="Q206" s="19">
        <f t="shared" si="156"/>
        <v>0</v>
      </c>
      <c r="R206" s="19">
        <f t="shared" si="157"/>
        <v>0.31615772786056145</v>
      </c>
      <c r="S206" s="19">
        <f t="shared" si="158"/>
        <v>0.14314306779384953</v>
      </c>
      <c r="T206" s="19">
        <f t="shared" si="159"/>
        <v>9.1202807672173439E-2</v>
      </c>
      <c r="U206" s="19">
        <f t="shared" si="160"/>
        <v>0</v>
      </c>
      <c r="V206" s="19">
        <f t="shared" si="161"/>
        <v>0</v>
      </c>
      <c r="W206" s="19">
        <f t="shared" si="162"/>
        <v>0</v>
      </c>
      <c r="X206" s="19">
        <f t="shared" si="163"/>
        <v>0</v>
      </c>
      <c r="Y206" s="19">
        <f t="shared" si="164"/>
        <v>0</v>
      </c>
    </row>
    <row r="207" spans="1:25" outlineLevel="2">
      <c r="A207" s="1" t="s">
        <v>16</v>
      </c>
      <c r="B207">
        <v>353</v>
      </c>
      <c r="C207" s="5">
        <v>99.999474795300003</v>
      </c>
      <c r="D207" s="5">
        <v>6.9712708334100002</v>
      </c>
      <c r="E207" s="2">
        <v>0</v>
      </c>
      <c r="F207" s="2">
        <v>0</v>
      </c>
      <c r="G207" s="2">
        <v>46.326806688156033</v>
      </c>
      <c r="H207" s="2">
        <v>141.19925841096358</v>
      </c>
      <c r="I207" s="2">
        <v>30.299840862975902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P207" s="19">
        <f t="shared" si="165"/>
        <v>0</v>
      </c>
      <c r="Q207" s="19">
        <f t="shared" si="156"/>
        <v>0</v>
      </c>
      <c r="R207" s="19">
        <f t="shared" si="157"/>
        <v>0.13149375075690098</v>
      </c>
      <c r="S207" s="19">
        <f t="shared" si="158"/>
        <v>0.12608983478054586</v>
      </c>
      <c r="T207" s="19">
        <f t="shared" si="159"/>
        <v>4.9792786889183392E-2</v>
      </c>
      <c r="U207" s="19">
        <f t="shared" si="160"/>
        <v>0</v>
      </c>
      <c r="V207" s="19">
        <f t="shared" si="161"/>
        <v>0</v>
      </c>
      <c r="W207" s="19">
        <f t="shared" si="162"/>
        <v>0</v>
      </c>
      <c r="X207" s="19">
        <f t="shared" si="163"/>
        <v>0</v>
      </c>
      <c r="Y207" s="19">
        <f t="shared" si="164"/>
        <v>0</v>
      </c>
    </row>
    <row r="208" spans="1:25" outlineLevel="2">
      <c r="A208" s="1" t="s">
        <v>16</v>
      </c>
      <c r="B208">
        <v>354</v>
      </c>
      <c r="C208" s="5">
        <v>100</v>
      </c>
      <c r="D208" s="5">
        <v>5.8406824675399998</v>
      </c>
      <c r="E208" s="2">
        <v>0</v>
      </c>
      <c r="F208" s="2">
        <v>0</v>
      </c>
      <c r="G208" s="2">
        <v>0</v>
      </c>
      <c r="H208" s="2">
        <v>0</v>
      </c>
      <c r="I208" s="2">
        <v>2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P208" s="19">
        <f t="shared" si="165"/>
        <v>0</v>
      </c>
      <c r="Q208" s="19">
        <f t="shared" si="156"/>
        <v>0</v>
      </c>
      <c r="R208" s="19">
        <f t="shared" si="157"/>
        <v>0</v>
      </c>
      <c r="S208" s="19">
        <f t="shared" si="158"/>
        <v>0</v>
      </c>
      <c r="T208" s="19">
        <f t="shared" si="159"/>
        <v>3.2866698616906853E-3</v>
      </c>
      <c r="U208" s="19">
        <f t="shared" si="160"/>
        <v>0</v>
      </c>
      <c r="V208" s="19">
        <f t="shared" si="161"/>
        <v>0</v>
      </c>
      <c r="W208" s="19">
        <f t="shared" si="162"/>
        <v>0</v>
      </c>
      <c r="X208" s="19">
        <f t="shared" si="163"/>
        <v>0</v>
      </c>
      <c r="Y208" s="19">
        <f t="shared" si="164"/>
        <v>0</v>
      </c>
    </row>
    <row r="209" spans="1:25" outlineLevel="2">
      <c r="A209" s="1" t="s">
        <v>16</v>
      </c>
      <c r="B209">
        <v>355</v>
      </c>
      <c r="C209" s="5">
        <v>99.994693807600001</v>
      </c>
      <c r="D209" s="5">
        <v>26.5488411121</v>
      </c>
      <c r="E209" s="2">
        <v>0</v>
      </c>
      <c r="F209" s="2">
        <v>0</v>
      </c>
      <c r="G209" s="2">
        <v>0</v>
      </c>
      <c r="H209" s="2">
        <v>665.08620737351623</v>
      </c>
      <c r="I209" s="2">
        <v>448.07622295185558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P209" s="19">
        <f t="shared" si="165"/>
        <v>0</v>
      </c>
      <c r="Q209" s="19">
        <f t="shared" si="156"/>
        <v>0</v>
      </c>
      <c r="R209" s="19">
        <f t="shared" si="157"/>
        <v>0</v>
      </c>
      <c r="S209" s="19">
        <f t="shared" si="158"/>
        <v>0.59391678785215962</v>
      </c>
      <c r="T209" s="19">
        <f t="shared" si="159"/>
        <v>0.7363393088580299</v>
      </c>
      <c r="U209" s="19">
        <f t="shared" si="160"/>
        <v>0</v>
      </c>
      <c r="V209" s="19">
        <f t="shared" si="161"/>
        <v>0</v>
      </c>
      <c r="W209" s="19">
        <f t="shared" si="162"/>
        <v>0</v>
      </c>
      <c r="X209" s="19">
        <f t="shared" si="163"/>
        <v>0</v>
      </c>
      <c r="Y209" s="19">
        <f t="shared" si="164"/>
        <v>0</v>
      </c>
    </row>
    <row r="210" spans="1:25" outlineLevel="2">
      <c r="A210" s="1" t="s">
        <v>16</v>
      </c>
      <c r="B210">
        <v>356</v>
      </c>
      <c r="C210" s="5">
        <v>99.9983758395</v>
      </c>
      <c r="D210" s="5">
        <v>18.351864161200002</v>
      </c>
      <c r="E210" s="2">
        <v>0.49999187919749999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2010.1211518759912</v>
      </c>
      <c r="N210" s="2">
        <v>0</v>
      </c>
      <c r="P210" s="19">
        <f t="shared" si="165"/>
        <v>0.43103049957849876</v>
      </c>
      <c r="Q210" s="19">
        <f t="shared" si="156"/>
        <v>0</v>
      </c>
      <c r="R210" s="19">
        <f t="shared" si="157"/>
        <v>0</v>
      </c>
      <c r="S210" s="19">
        <f t="shared" si="158"/>
        <v>0</v>
      </c>
      <c r="T210" s="19">
        <f t="shared" si="159"/>
        <v>0</v>
      </c>
      <c r="U210" s="19">
        <f t="shared" si="160"/>
        <v>0</v>
      </c>
      <c r="V210" s="19">
        <f t="shared" si="161"/>
        <v>0</v>
      </c>
      <c r="W210" s="19">
        <f t="shared" si="162"/>
        <v>0</v>
      </c>
      <c r="X210" s="19">
        <f t="shared" si="163"/>
        <v>0.22716594045205488</v>
      </c>
      <c r="Y210" s="19">
        <f t="shared" si="164"/>
        <v>0</v>
      </c>
    </row>
    <row r="211" spans="1:25" outlineLevel="1">
      <c r="A211" s="18" t="s">
        <v>70</v>
      </c>
      <c r="E211" s="2">
        <f t="shared" ref="E211:N211" si="166">SUBTOTAL(9,E197:E210)</f>
        <v>1.1599918791974999</v>
      </c>
      <c r="F211" s="2">
        <f t="shared" si="166"/>
        <v>0</v>
      </c>
      <c r="G211" s="2">
        <f t="shared" si="166"/>
        <v>352.31185072667597</v>
      </c>
      <c r="H211" s="2">
        <f t="shared" si="166"/>
        <v>1119.8306243855029</v>
      </c>
      <c r="I211" s="2">
        <f t="shared" si="166"/>
        <v>608.51867822562087</v>
      </c>
      <c r="J211" s="2">
        <f t="shared" si="166"/>
        <v>0</v>
      </c>
      <c r="K211" s="2">
        <f t="shared" si="166"/>
        <v>0</v>
      </c>
      <c r="L211" s="2">
        <f t="shared" si="166"/>
        <v>0</v>
      </c>
      <c r="M211" s="2">
        <f t="shared" si="166"/>
        <v>8848.6907318759913</v>
      </c>
      <c r="N211" s="2">
        <f t="shared" si="166"/>
        <v>1668.1998999999998</v>
      </c>
    </row>
    <row r="212" spans="1:25" outlineLevel="2">
      <c r="A212" s="1" t="s">
        <v>17</v>
      </c>
      <c r="B212">
        <v>34</v>
      </c>
      <c r="C212" s="5">
        <v>99.999539507700007</v>
      </c>
      <c r="D212" s="5">
        <v>2.3844474360499999</v>
      </c>
      <c r="E212" s="2">
        <v>522.1017257506835</v>
      </c>
      <c r="F212" s="2">
        <v>607.69715158852307</v>
      </c>
      <c r="G212" s="2">
        <v>276.19872812026739</v>
      </c>
      <c r="H212" s="2">
        <v>199.79907993638463</v>
      </c>
      <c r="I212" s="2">
        <v>72.699665222097906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P212" s="19">
        <f>IF(E$242&gt;0, E212/E$242, 0)</f>
        <v>0.54042396887060962</v>
      </c>
      <c r="Q212" s="19">
        <f t="shared" ref="Q212:Q241" si="167">IF(F$242&gt;0, F212/F$242, 0)</f>
        <v>0.10822737084559561</v>
      </c>
      <c r="R212" s="19">
        <f t="shared" ref="R212:R241" si="168">IF(G$242&gt;0, G212/G$242, 0)</f>
        <v>7.781883447693122E-2</v>
      </c>
      <c r="S212" s="19">
        <f t="shared" ref="S212:S241" si="169">IF(H$242&gt;0, H212/H$242, 0)</f>
        <v>4.0204480596357964E-2</v>
      </c>
      <c r="T212" s="19">
        <f t="shared" ref="T212:T241" si="170">IF(I$242&gt;0, I212/I$242, 0)</f>
        <v>1.4185294966217314E-2</v>
      </c>
      <c r="U212" s="19">
        <f t="shared" ref="U212:U241" si="171">IF(J$242&gt;0, J212/J$242, 0)</f>
        <v>0</v>
      </c>
      <c r="V212" s="19">
        <f t="shared" ref="V212:V241" si="172">IF(K$242&gt;0, K212/K$242, 0)</f>
        <v>0</v>
      </c>
      <c r="W212" s="19">
        <f t="shared" ref="W212:W241" si="173">IF(L$242&gt;0, L212/L$242, 0)</f>
        <v>0</v>
      </c>
      <c r="X212" s="19">
        <f t="shared" ref="X212:X241" si="174">IF(M$242&gt;0, M212/M$242, 0)</f>
        <v>0</v>
      </c>
      <c r="Y212" s="19">
        <f t="shared" ref="Y212:Y241" si="175">IF(N$242&gt;0, N212/N$242, 0)</f>
        <v>0</v>
      </c>
    </row>
    <row r="213" spans="1:25" outlineLevel="2">
      <c r="A213" s="1" t="s">
        <v>17</v>
      </c>
      <c r="B213">
        <v>35</v>
      </c>
      <c r="C213" s="5">
        <v>99.999857887900006</v>
      </c>
      <c r="D213" s="5">
        <v>6.2340226536900003</v>
      </c>
      <c r="E213" s="2">
        <v>0</v>
      </c>
      <c r="F213" s="2">
        <v>696.70788989237974</v>
      </c>
      <c r="G213" s="2">
        <v>249.89960886191329</v>
      </c>
      <c r="H213" s="2">
        <v>100.49985717733951</v>
      </c>
      <c r="I213" s="2">
        <v>12.399982378099601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P213" s="19">
        <f t="shared" ref="P213:P241" si="176">IF(E$242&gt;0, E213/E$242, 0)</f>
        <v>0</v>
      </c>
      <c r="Q213" s="19">
        <f t="shared" si="167"/>
        <v>0.12407967187822347</v>
      </c>
      <c r="R213" s="19">
        <f t="shared" si="168"/>
        <v>7.0409072591410229E-2</v>
      </c>
      <c r="S213" s="19">
        <f t="shared" si="169"/>
        <v>2.0223038860387087E-2</v>
      </c>
      <c r="T213" s="19">
        <f t="shared" si="170"/>
        <v>2.4195078075239006E-3</v>
      </c>
      <c r="U213" s="19">
        <f t="shared" si="171"/>
        <v>0</v>
      </c>
      <c r="V213" s="19">
        <f t="shared" si="172"/>
        <v>0</v>
      </c>
      <c r="W213" s="19">
        <f t="shared" si="173"/>
        <v>0</v>
      </c>
      <c r="X213" s="19">
        <f t="shared" si="174"/>
        <v>0</v>
      </c>
      <c r="Y213" s="19">
        <f t="shared" si="175"/>
        <v>0</v>
      </c>
    </row>
    <row r="214" spans="1:25" outlineLevel="2">
      <c r="A214" s="1" t="s">
        <v>17</v>
      </c>
      <c r="B214">
        <v>36</v>
      </c>
      <c r="C214" s="5">
        <v>99.999855436199994</v>
      </c>
      <c r="D214" s="5">
        <v>6.3995404692699998</v>
      </c>
      <c r="E214" s="2">
        <v>0</v>
      </c>
      <c r="F214" s="2">
        <v>1293.4980110674189</v>
      </c>
      <c r="G214" s="2">
        <v>326.94192035965284</v>
      </c>
      <c r="H214" s="2">
        <v>186.39973053307679</v>
      </c>
      <c r="I214" s="2">
        <v>50.299927284408597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P214" s="19">
        <f t="shared" si="176"/>
        <v>0</v>
      </c>
      <c r="Q214" s="19">
        <f t="shared" si="167"/>
        <v>0.23036456327941388</v>
      </c>
      <c r="R214" s="19">
        <f t="shared" si="168"/>
        <v>9.2115700014952062E-2</v>
      </c>
      <c r="S214" s="19">
        <f t="shared" si="169"/>
        <v>3.7508202499078255E-2</v>
      </c>
      <c r="T214" s="19">
        <f t="shared" si="170"/>
        <v>9.8146161076369809E-3</v>
      </c>
      <c r="U214" s="19">
        <f t="shared" si="171"/>
        <v>0</v>
      </c>
      <c r="V214" s="19">
        <f t="shared" si="172"/>
        <v>0</v>
      </c>
      <c r="W214" s="19">
        <f t="shared" si="173"/>
        <v>0</v>
      </c>
      <c r="X214" s="19">
        <f t="shared" si="174"/>
        <v>0</v>
      </c>
      <c r="Y214" s="19">
        <f t="shared" si="175"/>
        <v>0</v>
      </c>
    </row>
    <row r="215" spans="1:25" outlineLevel="2">
      <c r="A215" s="1" t="s">
        <v>17</v>
      </c>
      <c r="B215">
        <v>37</v>
      </c>
      <c r="C215" s="5">
        <v>99.999884809500003</v>
      </c>
      <c r="D215" s="5">
        <v>3.0466578432200002</v>
      </c>
      <c r="E215" s="2">
        <v>0</v>
      </c>
      <c r="F215" s="2">
        <v>596.69931265828654</v>
      </c>
      <c r="G215" s="2">
        <v>188.89978240514552</v>
      </c>
      <c r="H215" s="2">
        <v>104.399879741118</v>
      </c>
      <c r="I215" s="2">
        <v>45.399947703513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P215" s="19">
        <f t="shared" si="176"/>
        <v>0</v>
      </c>
      <c r="Q215" s="19">
        <f t="shared" si="167"/>
        <v>0.10626871892614613</v>
      </c>
      <c r="R215" s="19">
        <f t="shared" si="168"/>
        <v>5.322240619918215E-2</v>
      </c>
      <c r="S215" s="19">
        <f t="shared" si="169"/>
        <v>2.1007819158378023E-2</v>
      </c>
      <c r="T215" s="19">
        <f t="shared" si="170"/>
        <v>8.8585229059544197E-3</v>
      </c>
      <c r="U215" s="19">
        <f t="shared" si="171"/>
        <v>0</v>
      </c>
      <c r="V215" s="19">
        <f t="shared" si="172"/>
        <v>0</v>
      </c>
      <c r="W215" s="19">
        <f t="shared" si="173"/>
        <v>0</v>
      </c>
      <c r="X215" s="19">
        <f t="shared" si="174"/>
        <v>0</v>
      </c>
      <c r="Y215" s="19">
        <f t="shared" si="175"/>
        <v>0</v>
      </c>
    </row>
    <row r="216" spans="1:25" outlineLevel="2">
      <c r="A216" s="1" t="s">
        <v>17</v>
      </c>
      <c r="B216">
        <v>38</v>
      </c>
      <c r="C216" s="5">
        <v>99.999897282399999</v>
      </c>
      <c r="D216" s="5">
        <v>4.4524231932099996</v>
      </c>
      <c r="E216" s="2">
        <v>443.99481293871554</v>
      </c>
      <c r="F216" s="2">
        <v>453.0995635865246</v>
      </c>
      <c r="G216" s="2">
        <v>108.99988803781599</v>
      </c>
      <c r="H216" s="2">
        <v>27.499971752659999</v>
      </c>
      <c r="I216" s="2">
        <v>1.1999987673888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P216" s="19">
        <f t="shared" si="176"/>
        <v>0.45957603112939038</v>
      </c>
      <c r="Q216" s="19">
        <f t="shared" si="167"/>
        <v>8.0694428746409891E-2</v>
      </c>
      <c r="R216" s="19">
        <f t="shared" si="168"/>
        <v>3.071065642824158E-2</v>
      </c>
      <c r="S216" s="19">
        <f t="shared" si="169"/>
        <v>5.5336695298208449E-3</v>
      </c>
      <c r="T216" s="19">
        <f t="shared" si="170"/>
        <v>2.3414600909789593E-4</v>
      </c>
      <c r="U216" s="19">
        <f t="shared" si="171"/>
        <v>0</v>
      </c>
      <c r="V216" s="19">
        <f t="shared" si="172"/>
        <v>0</v>
      </c>
      <c r="W216" s="19">
        <f t="shared" si="173"/>
        <v>0</v>
      </c>
      <c r="X216" s="19">
        <f t="shared" si="174"/>
        <v>0</v>
      </c>
      <c r="Y216" s="19">
        <f t="shared" si="175"/>
        <v>0</v>
      </c>
    </row>
    <row r="217" spans="1:25" outlineLevel="2">
      <c r="A217" s="1" t="s">
        <v>17</v>
      </c>
      <c r="B217">
        <v>39</v>
      </c>
      <c r="C217" s="5">
        <v>99.999966020599999</v>
      </c>
      <c r="D217" s="5">
        <v>2.6082456087399999</v>
      </c>
      <c r="E217" s="2">
        <v>0</v>
      </c>
      <c r="F217" s="2">
        <v>164.499944103887</v>
      </c>
      <c r="G217" s="2">
        <v>33.999988447004</v>
      </c>
      <c r="H217" s="2">
        <v>6.8000456893844898</v>
      </c>
      <c r="I217" s="2">
        <v>0.79999972816480014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P217" s="19">
        <f t="shared" si="176"/>
        <v>0</v>
      </c>
      <c r="Q217" s="19">
        <f t="shared" si="167"/>
        <v>2.9296494821594885E-2</v>
      </c>
      <c r="R217" s="19">
        <f t="shared" si="168"/>
        <v>9.579477397241595E-3</v>
      </c>
      <c r="S217" s="19">
        <f t="shared" si="169"/>
        <v>1.3683361558033877E-3</v>
      </c>
      <c r="T217" s="19">
        <f t="shared" si="170"/>
        <v>1.5609744669720888E-4</v>
      </c>
      <c r="U217" s="19">
        <f t="shared" si="171"/>
        <v>0</v>
      </c>
      <c r="V217" s="19">
        <f t="shared" si="172"/>
        <v>0</v>
      </c>
      <c r="W217" s="19">
        <f t="shared" si="173"/>
        <v>0</v>
      </c>
      <c r="X217" s="19">
        <f t="shared" si="174"/>
        <v>0</v>
      </c>
      <c r="Y217" s="19">
        <f t="shared" si="175"/>
        <v>0</v>
      </c>
    </row>
    <row r="218" spans="1:25" outlineLevel="2">
      <c r="A218" s="1" t="s">
        <v>17</v>
      </c>
      <c r="B218">
        <v>43</v>
      </c>
      <c r="C218" s="5">
        <v>99.9995466134</v>
      </c>
      <c r="D218" s="5">
        <v>2.8784787898799999</v>
      </c>
      <c r="E218" s="2">
        <v>0</v>
      </c>
      <c r="F218" s="2">
        <v>28.695189899264292</v>
      </c>
      <c r="G218" s="2">
        <v>5.6999741569638003</v>
      </c>
      <c r="H218" s="2">
        <v>3.1999854916288002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P218" s="19">
        <f t="shared" si="176"/>
        <v>0</v>
      </c>
      <c r="Q218" s="19">
        <f t="shared" si="167"/>
        <v>5.1104484373415285E-3</v>
      </c>
      <c r="R218" s="19">
        <f t="shared" si="168"/>
        <v>1.605964475152856E-3</v>
      </c>
      <c r="S218" s="19">
        <f t="shared" si="169"/>
        <v>6.4391565090179601E-4</v>
      </c>
      <c r="T218" s="19">
        <f t="shared" si="170"/>
        <v>0</v>
      </c>
      <c r="U218" s="19">
        <f t="shared" si="171"/>
        <v>0</v>
      </c>
      <c r="V218" s="19">
        <f t="shared" si="172"/>
        <v>0</v>
      </c>
      <c r="W218" s="19">
        <f t="shared" si="173"/>
        <v>0</v>
      </c>
      <c r="X218" s="19">
        <f t="shared" si="174"/>
        <v>0</v>
      </c>
      <c r="Y218" s="19">
        <f t="shared" si="175"/>
        <v>0</v>
      </c>
    </row>
    <row r="219" spans="1:25" outlineLevel="2">
      <c r="A219" s="1" t="s">
        <v>17</v>
      </c>
      <c r="B219">
        <v>45</v>
      </c>
      <c r="C219" s="5">
        <v>73.361163950900007</v>
      </c>
      <c r="D219" s="5">
        <v>1.13511317074</v>
      </c>
      <c r="E219" s="2">
        <v>0</v>
      </c>
      <c r="F219" s="2">
        <v>9.3902289857152024</v>
      </c>
      <c r="G219" s="2">
        <v>3.3746135417414003</v>
      </c>
      <c r="H219" s="2">
        <v>8.216450362500801</v>
      </c>
      <c r="I219" s="2">
        <v>1.7606679348216003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P219" s="19">
        <f t="shared" si="176"/>
        <v>0</v>
      </c>
      <c r="Q219" s="19">
        <f t="shared" si="167"/>
        <v>1.6723458257217438E-3</v>
      </c>
      <c r="R219" s="19">
        <f t="shared" si="168"/>
        <v>9.5079544506097423E-4</v>
      </c>
      <c r="S219" s="19">
        <f t="shared" si="169"/>
        <v>1.6533515533468941E-3</v>
      </c>
      <c r="T219" s="19">
        <f t="shared" si="170"/>
        <v>3.4354482811859577E-4</v>
      </c>
      <c r="U219" s="19">
        <f t="shared" si="171"/>
        <v>0</v>
      </c>
      <c r="V219" s="19">
        <f t="shared" si="172"/>
        <v>0</v>
      </c>
      <c r="W219" s="19">
        <f t="shared" si="173"/>
        <v>0</v>
      </c>
      <c r="X219" s="19">
        <f t="shared" si="174"/>
        <v>0</v>
      </c>
      <c r="Y219" s="19">
        <f t="shared" si="175"/>
        <v>0</v>
      </c>
    </row>
    <row r="220" spans="1:25" outlineLevel="2">
      <c r="A220" s="1" t="s">
        <v>17</v>
      </c>
      <c r="B220">
        <v>46</v>
      </c>
      <c r="C220" s="5">
        <v>76.766802483000006</v>
      </c>
      <c r="D220" s="5">
        <v>1.5623717512199999</v>
      </c>
      <c r="E220" s="2">
        <v>0</v>
      </c>
      <c r="F220" s="2">
        <v>633.01902256809717</v>
      </c>
      <c r="G220" s="2">
        <v>155.83657833376901</v>
      </c>
      <c r="H220" s="2">
        <v>49.207520391603005</v>
      </c>
      <c r="I220" s="2">
        <v>8.5978818780960005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P220" s="19">
        <f t="shared" si="176"/>
        <v>0</v>
      </c>
      <c r="Q220" s="19">
        <f t="shared" si="167"/>
        <v>0.11273705056656676</v>
      </c>
      <c r="R220" s="19">
        <f t="shared" si="168"/>
        <v>4.3906867266696223E-2</v>
      </c>
      <c r="S220" s="19">
        <f t="shared" si="169"/>
        <v>9.9017613064534427E-3</v>
      </c>
      <c r="T220" s="19">
        <f t="shared" si="170"/>
        <v>1.6776348302689852E-3</v>
      </c>
      <c r="U220" s="19">
        <f t="shared" si="171"/>
        <v>0</v>
      </c>
      <c r="V220" s="19">
        <f t="shared" si="172"/>
        <v>0</v>
      </c>
      <c r="W220" s="19">
        <f t="shared" si="173"/>
        <v>0</v>
      </c>
      <c r="X220" s="19">
        <f t="shared" si="174"/>
        <v>0</v>
      </c>
      <c r="Y220" s="19">
        <f t="shared" si="175"/>
        <v>0</v>
      </c>
    </row>
    <row r="221" spans="1:25" outlineLevel="2">
      <c r="A221" s="1" t="s">
        <v>17</v>
      </c>
      <c r="B221">
        <v>47</v>
      </c>
      <c r="C221" s="5">
        <v>100</v>
      </c>
      <c r="D221" s="5">
        <v>3.2433091089000001</v>
      </c>
      <c r="E221" s="2">
        <v>0</v>
      </c>
      <c r="F221" s="2">
        <v>0</v>
      </c>
      <c r="G221" s="2">
        <v>8.4</v>
      </c>
      <c r="H221" s="2">
        <v>0.8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P221" s="19">
        <f t="shared" si="176"/>
        <v>0</v>
      </c>
      <c r="Q221" s="19">
        <f t="shared" si="167"/>
        <v>0</v>
      </c>
      <c r="R221" s="19">
        <f t="shared" si="168"/>
        <v>2.3666952199779359E-3</v>
      </c>
      <c r="S221" s="19">
        <f t="shared" si="169"/>
        <v>1.6097964258557723E-4</v>
      </c>
      <c r="T221" s="19">
        <f t="shared" si="170"/>
        <v>0</v>
      </c>
      <c r="U221" s="19">
        <f t="shared" si="171"/>
        <v>0</v>
      </c>
      <c r="V221" s="19">
        <f t="shared" si="172"/>
        <v>0</v>
      </c>
      <c r="W221" s="19">
        <f t="shared" si="173"/>
        <v>0</v>
      </c>
      <c r="X221" s="19">
        <f t="shared" si="174"/>
        <v>0</v>
      </c>
      <c r="Y221" s="19">
        <f t="shared" si="175"/>
        <v>0</v>
      </c>
    </row>
    <row r="222" spans="1:25" outlineLevel="2">
      <c r="A222" s="1" t="s">
        <v>17</v>
      </c>
      <c r="B222">
        <v>48</v>
      </c>
      <c r="C222" s="5">
        <v>99.999958711199994</v>
      </c>
      <c r="D222" s="5">
        <v>7.9863982554600002</v>
      </c>
      <c r="E222" s="2">
        <v>0</v>
      </c>
      <c r="F222" s="2">
        <v>525.59822298671122</v>
      </c>
      <c r="G222" s="2">
        <v>664.79972551205753</v>
      </c>
      <c r="H222" s="2">
        <v>280.29988426749355</v>
      </c>
      <c r="I222" s="2">
        <v>89.199963170390404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P222" s="19">
        <f t="shared" si="176"/>
        <v>0</v>
      </c>
      <c r="Q222" s="19">
        <f t="shared" si="167"/>
        <v>9.3606023405364863E-2</v>
      </c>
      <c r="R222" s="19">
        <f t="shared" si="168"/>
        <v>0.18730694435857503</v>
      </c>
      <c r="S222" s="19">
        <f t="shared" si="169"/>
        <v>5.6403218982699711E-2</v>
      </c>
      <c r="T222" s="19">
        <f t="shared" si="170"/>
        <v>1.7404864034547132E-2</v>
      </c>
      <c r="U222" s="19">
        <f t="shared" si="171"/>
        <v>0</v>
      </c>
      <c r="V222" s="19">
        <f t="shared" si="172"/>
        <v>0</v>
      </c>
      <c r="W222" s="19">
        <f t="shared" si="173"/>
        <v>0</v>
      </c>
      <c r="X222" s="19">
        <f t="shared" si="174"/>
        <v>0</v>
      </c>
      <c r="Y222" s="19">
        <f t="shared" si="175"/>
        <v>0</v>
      </c>
    </row>
    <row r="223" spans="1:25" outlineLevel="2">
      <c r="A223" s="1" t="s">
        <v>17</v>
      </c>
      <c r="B223">
        <v>49</v>
      </c>
      <c r="C223" s="5">
        <v>100</v>
      </c>
      <c r="D223" s="5">
        <v>1.3277135955499999</v>
      </c>
      <c r="E223" s="2">
        <v>0</v>
      </c>
      <c r="F223" s="2">
        <v>56.9</v>
      </c>
      <c r="G223" s="2">
        <v>28.6</v>
      </c>
      <c r="H223" s="2">
        <v>14.4</v>
      </c>
      <c r="I223" s="2">
        <v>2.4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P223" s="19">
        <f t="shared" si="176"/>
        <v>0</v>
      </c>
      <c r="Q223" s="19">
        <f t="shared" si="167"/>
        <v>1.0133563050307199E-2</v>
      </c>
      <c r="R223" s="19">
        <f t="shared" si="168"/>
        <v>8.0580337251629722E-3</v>
      </c>
      <c r="S223" s="19">
        <f t="shared" si="169"/>
        <v>2.8976335665403898E-3</v>
      </c>
      <c r="T223" s="19">
        <f t="shared" si="170"/>
        <v>4.6829249921460806E-4</v>
      </c>
      <c r="U223" s="19">
        <f t="shared" si="171"/>
        <v>0</v>
      </c>
      <c r="V223" s="19">
        <f t="shared" si="172"/>
        <v>0</v>
      </c>
      <c r="W223" s="19">
        <f t="shared" si="173"/>
        <v>0</v>
      </c>
      <c r="X223" s="19">
        <f t="shared" si="174"/>
        <v>0</v>
      </c>
      <c r="Y223" s="19">
        <f t="shared" si="175"/>
        <v>0</v>
      </c>
    </row>
    <row r="224" spans="1:25" outlineLevel="2">
      <c r="A224" s="1" t="s">
        <v>17</v>
      </c>
      <c r="B224">
        <v>50</v>
      </c>
      <c r="C224" s="5">
        <v>99.999990014399998</v>
      </c>
      <c r="D224" s="5">
        <v>3.2528131682499999</v>
      </c>
      <c r="E224" s="2">
        <v>0</v>
      </c>
      <c r="F224" s="2">
        <v>127.2999872883312</v>
      </c>
      <c r="G224" s="2">
        <v>13.499998651943999</v>
      </c>
      <c r="H224" s="2">
        <v>6.1999993808928</v>
      </c>
      <c r="I224" s="2">
        <v>9.9999990014400006E-2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P224" s="19">
        <f t="shared" si="176"/>
        <v>0</v>
      </c>
      <c r="Q224" s="19">
        <f t="shared" si="167"/>
        <v>2.2671396265195241E-2</v>
      </c>
      <c r="R224" s="19">
        <f t="shared" si="168"/>
        <v>3.8036169380076712E-3</v>
      </c>
      <c r="S224" s="19">
        <f t="shared" si="169"/>
        <v>1.2475921054586536E-3</v>
      </c>
      <c r="T224" s="19">
        <f t="shared" si="170"/>
        <v>1.9512185518866344E-5</v>
      </c>
      <c r="U224" s="19">
        <f t="shared" si="171"/>
        <v>0</v>
      </c>
      <c r="V224" s="19">
        <f t="shared" si="172"/>
        <v>0</v>
      </c>
      <c r="W224" s="19">
        <f t="shared" si="173"/>
        <v>0</v>
      </c>
      <c r="X224" s="19">
        <f t="shared" si="174"/>
        <v>0</v>
      </c>
      <c r="Y224" s="19">
        <f t="shared" si="175"/>
        <v>0</v>
      </c>
    </row>
    <row r="225" spans="1:25" outlineLevel="2">
      <c r="A225" s="1" t="s">
        <v>17</v>
      </c>
      <c r="B225">
        <v>51</v>
      </c>
      <c r="C225" s="5">
        <v>99.999996553900004</v>
      </c>
      <c r="D225" s="5">
        <v>5.3982637112400003</v>
      </c>
      <c r="E225" s="2">
        <v>0</v>
      </c>
      <c r="F225" s="2">
        <v>220.50001240134884</v>
      </c>
      <c r="G225" s="2">
        <v>69.699997598068308</v>
      </c>
      <c r="H225" s="2">
        <v>35.399998780080601</v>
      </c>
      <c r="I225" s="2">
        <v>6.8999997622191005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P225" s="19">
        <f t="shared" si="176"/>
        <v>0</v>
      </c>
      <c r="Q225" s="19">
        <f t="shared" si="167"/>
        <v>3.9269785206723862E-2</v>
      </c>
      <c r="R225" s="19">
        <f t="shared" si="168"/>
        <v>1.9637934660454982E-2</v>
      </c>
      <c r="S225" s="19">
        <f t="shared" si="169"/>
        <v>7.1233489389340553E-3</v>
      </c>
      <c r="T225" s="19">
        <f t="shared" si="170"/>
        <v>1.3463408888457432E-3</v>
      </c>
      <c r="U225" s="19">
        <f t="shared" si="171"/>
        <v>0</v>
      </c>
      <c r="V225" s="19">
        <f t="shared" si="172"/>
        <v>0</v>
      </c>
      <c r="W225" s="19">
        <f t="shared" si="173"/>
        <v>0</v>
      </c>
      <c r="X225" s="19">
        <f t="shared" si="174"/>
        <v>0</v>
      </c>
      <c r="Y225" s="19">
        <f t="shared" si="175"/>
        <v>0</v>
      </c>
    </row>
    <row r="226" spans="1:25" outlineLevel="2">
      <c r="A226" s="1" t="s">
        <v>17</v>
      </c>
      <c r="B226">
        <v>52</v>
      </c>
      <c r="C226" s="5">
        <v>99.999852496599999</v>
      </c>
      <c r="D226" s="5">
        <v>2.8509390736700002</v>
      </c>
      <c r="E226" s="2">
        <v>0</v>
      </c>
      <c r="F226" s="2">
        <v>201.39975292807867</v>
      </c>
      <c r="G226" s="2">
        <v>76.399887307402409</v>
      </c>
      <c r="H226" s="2">
        <v>27.799959994053324</v>
      </c>
      <c r="I226" s="2">
        <v>1.9999970499319999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P226" s="19">
        <f t="shared" si="176"/>
        <v>0</v>
      </c>
      <c r="Q226" s="19">
        <f t="shared" si="167"/>
        <v>3.5868138745395031E-2</v>
      </c>
      <c r="R226" s="19">
        <f t="shared" si="168"/>
        <v>2.152562477348598E-2</v>
      </c>
      <c r="S226" s="19">
        <f t="shared" si="169"/>
        <v>5.5940345296700616E-3</v>
      </c>
      <c r="T226" s="19">
        <f t="shared" si="170"/>
        <v>3.9024317372270812E-4</v>
      </c>
      <c r="U226" s="19">
        <f t="shared" si="171"/>
        <v>0</v>
      </c>
      <c r="V226" s="19">
        <f t="shared" si="172"/>
        <v>0</v>
      </c>
      <c r="W226" s="19">
        <f t="shared" si="173"/>
        <v>0</v>
      </c>
      <c r="X226" s="19">
        <f t="shared" si="174"/>
        <v>0</v>
      </c>
      <c r="Y226" s="19">
        <f t="shared" si="175"/>
        <v>0</v>
      </c>
    </row>
    <row r="227" spans="1:25" outlineLevel="2">
      <c r="A227" s="1" t="s">
        <v>17</v>
      </c>
      <c r="B227">
        <v>60</v>
      </c>
      <c r="C227" s="5">
        <v>58.863668518700003</v>
      </c>
      <c r="D227" s="5">
        <v>1.2883865724600001</v>
      </c>
      <c r="E227" s="2">
        <v>0</v>
      </c>
      <c r="F227" s="2">
        <v>0</v>
      </c>
      <c r="G227" s="2">
        <v>37.908202526042807</v>
      </c>
      <c r="H227" s="2">
        <v>27.901378877863799</v>
      </c>
      <c r="I227" s="2">
        <v>12.4202340574457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P227" s="19">
        <f t="shared" si="176"/>
        <v>0</v>
      </c>
      <c r="Q227" s="19">
        <f t="shared" si="167"/>
        <v>0</v>
      </c>
      <c r="R227" s="19">
        <f t="shared" si="168"/>
        <v>1.0680614490040596E-2</v>
      </c>
      <c r="S227" s="19">
        <f t="shared" si="169"/>
        <v>5.6144424992541093E-3</v>
      </c>
      <c r="T227" s="19">
        <f t="shared" si="170"/>
        <v>2.4234593531631829E-3</v>
      </c>
      <c r="U227" s="19">
        <f t="shared" si="171"/>
        <v>0</v>
      </c>
      <c r="V227" s="19">
        <f t="shared" si="172"/>
        <v>0</v>
      </c>
      <c r="W227" s="19">
        <f t="shared" si="173"/>
        <v>0</v>
      </c>
      <c r="X227" s="19">
        <f t="shared" si="174"/>
        <v>0</v>
      </c>
      <c r="Y227" s="19">
        <f t="shared" si="175"/>
        <v>0</v>
      </c>
    </row>
    <row r="228" spans="1:25" outlineLevel="2">
      <c r="A228" s="1" t="s">
        <v>17</v>
      </c>
      <c r="B228">
        <v>61</v>
      </c>
      <c r="C228" s="5">
        <v>29.1822508451</v>
      </c>
      <c r="D228" s="5">
        <v>0.40549354404100002</v>
      </c>
      <c r="E228" s="2">
        <v>0</v>
      </c>
      <c r="F228" s="2">
        <v>0</v>
      </c>
      <c r="G228" s="2">
        <v>16.137784717340299</v>
      </c>
      <c r="H228" s="2">
        <v>10.7098860601517</v>
      </c>
      <c r="I228" s="2">
        <v>6.5951886909926012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P228" s="19">
        <f t="shared" si="176"/>
        <v>0</v>
      </c>
      <c r="Q228" s="19">
        <f t="shared" si="167"/>
        <v>0</v>
      </c>
      <c r="R228" s="19">
        <f t="shared" si="168"/>
        <v>4.5468116609002698E-3</v>
      </c>
      <c r="S228" s="19">
        <f t="shared" si="169"/>
        <v>2.1550920376193455E-3</v>
      </c>
      <c r="T228" s="19">
        <f t="shared" si="170"/>
        <v>1.2868655812070186E-3</v>
      </c>
      <c r="U228" s="19">
        <f t="shared" si="171"/>
        <v>0</v>
      </c>
      <c r="V228" s="19">
        <f t="shared" si="172"/>
        <v>0</v>
      </c>
      <c r="W228" s="19">
        <f t="shared" si="173"/>
        <v>0</v>
      </c>
      <c r="X228" s="19">
        <f t="shared" si="174"/>
        <v>0</v>
      </c>
      <c r="Y228" s="19">
        <f t="shared" si="175"/>
        <v>0</v>
      </c>
    </row>
    <row r="229" spans="1:25" outlineLevel="2">
      <c r="A229" s="1" t="s">
        <v>17</v>
      </c>
      <c r="B229">
        <v>62</v>
      </c>
      <c r="C229" s="5">
        <v>99.998715838699994</v>
      </c>
      <c r="D229" s="5">
        <v>2.2274179844600002</v>
      </c>
      <c r="E229" s="2">
        <v>0</v>
      </c>
      <c r="F229" s="2">
        <v>0</v>
      </c>
      <c r="G229" s="2">
        <v>35.199547975222401</v>
      </c>
      <c r="H229" s="2">
        <v>36.599529996964201</v>
      </c>
      <c r="I229" s="2">
        <v>12.699836911514899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P229" s="19">
        <f t="shared" si="176"/>
        <v>0</v>
      </c>
      <c r="Q229" s="19">
        <f t="shared" si="167"/>
        <v>0</v>
      </c>
      <c r="R229" s="19">
        <f t="shared" si="168"/>
        <v>9.9174526117074852E-3</v>
      </c>
      <c r="S229" s="19">
        <f t="shared" si="169"/>
        <v>7.3647240721392612E-3</v>
      </c>
      <c r="T229" s="19">
        <f t="shared" si="170"/>
        <v>2.4780159862130171E-3</v>
      </c>
      <c r="U229" s="19">
        <f t="shared" si="171"/>
        <v>0</v>
      </c>
      <c r="V229" s="19">
        <f t="shared" si="172"/>
        <v>0</v>
      </c>
      <c r="W229" s="19">
        <f t="shared" si="173"/>
        <v>0</v>
      </c>
      <c r="X229" s="19">
        <f t="shared" si="174"/>
        <v>0</v>
      </c>
      <c r="Y229" s="19">
        <f t="shared" si="175"/>
        <v>0</v>
      </c>
    </row>
    <row r="230" spans="1:25" outlineLevel="2">
      <c r="A230" s="1" t="s">
        <v>17</v>
      </c>
      <c r="B230">
        <v>63</v>
      </c>
      <c r="C230" s="5">
        <v>100</v>
      </c>
      <c r="D230" s="5">
        <v>3.3181630106700002</v>
      </c>
      <c r="E230" s="2">
        <v>0</v>
      </c>
      <c r="F230" s="2">
        <v>0</v>
      </c>
      <c r="G230" s="2">
        <v>0</v>
      </c>
      <c r="H230" s="2">
        <v>589.30000099999995</v>
      </c>
      <c r="I230" s="2">
        <v>141.4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P230" s="19">
        <f t="shared" si="176"/>
        <v>0</v>
      </c>
      <c r="Q230" s="19">
        <f t="shared" si="167"/>
        <v>0</v>
      </c>
      <c r="R230" s="19">
        <f t="shared" si="168"/>
        <v>0</v>
      </c>
      <c r="S230" s="19">
        <f t="shared" si="169"/>
        <v>0.11858162942082535</v>
      </c>
      <c r="T230" s="19">
        <f t="shared" si="170"/>
        <v>2.7590233078727325E-2</v>
      </c>
      <c r="U230" s="19">
        <f t="shared" si="171"/>
        <v>0</v>
      </c>
      <c r="V230" s="19">
        <f t="shared" si="172"/>
        <v>0</v>
      </c>
      <c r="W230" s="19">
        <f t="shared" si="173"/>
        <v>0</v>
      </c>
      <c r="X230" s="19">
        <f t="shared" si="174"/>
        <v>0</v>
      </c>
      <c r="Y230" s="19">
        <f t="shared" si="175"/>
        <v>0</v>
      </c>
    </row>
    <row r="231" spans="1:25" outlineLevel="2">
      <c r="A231" s="1" t="s">
        <v>17</v>
      </c>
      <c r="B231">
        <v>64</v>
      </c>
      <c r="C231" s="5">
        <v>99.999660069900003</v>
      </c>
      <c r="D231" s="5">
        <v>3.7084412332099999</v>
      </c>
      <c r="E231" s="2">
        <v>0</v>
      </c>
      <c r="F231" s="2">
        <v>0</v>
      </c>
      <c r="G231" s="2">
        <v>0</v>
      </c>
      <c r="H231" s="2">
        <v>2072.8492237376086</v>
      </c>
      <c r="I231" s="2">
        <v>880.79693589591716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P231" s="19">
        <f t="shared" si="176"/>
        <v>0</v>
      </c>
      <c r="Q231" s="19">
        <f t="shared" si="167"/>
        <v>0</v>
      </c>
      <c r="R231" s="19">
        <f t="shared" si="168"/>
        <v>0</v>
      </c>
      <c r="S231" s="19">
        <f t="shared" si="169"/>
        <v>0.41710815896383924</v>
      </c>
      <c r="T231" s="19">
        <f t="shared" si="170"/>
        <v>0.17186274933802831</v>
      </c>
      <c r="U231" s="19">
        <f t="shared" si="171"/>
        <v>0</v>
      </c>
      <c r="V231" s="19">
        <f t="shared" si="172"/>
        <v>0</v>
      </c>
      <c r="W231" s="19">
        <f t="shared" si="173"/>
        <v>0</v>
      </c>
      <c r="X231" s="19">
        <f t="shared" si="174"/>
        <v>0</v>
      </c>
      <c r="Y231" s="19">
        <f t="shared" si="175"/>
        <v>0</v>
      </c>
    </row>
    <row r="232" spans="1:25" outlineLevel="2">
      <c r="A232" s="1" t="s">
        <v>17</v>
      </c>
      <c r="B232">
        <v>65</v>
      </c>
      <c r="C232" s="5">
        <v>99.999837744600001</v>
      </c>
      <c r="D232" s="5">
        <v>4.36679885601</v>
      </c>
      <c r="E232" s="2">
        <v>0</v>
      </c>
      <c r="F232" s="2">
        <v>0</v>
      </c>
      <c r="G232" s="2">
        <v>0</v>
      </c>
      <c r="H232" s="2">
        <v>119.80435561064819</v>
      </c>
      <c r="I232" s="2">
        <v>395.39939844208345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P232" s="19">
        <f t="shared" si="176"/>
        <v>0</v>
      </c>
      <c r="Q232" s="19">
        <f t="shared" si="167"/>
        <v>0</v>
      </c>
      <c r="R232" s="19">
        <f t="shared" si="168"/>
        <v>0</v>
      </c>
      <c r="S232" s="19">
        <f t="shared" si="169"/>
        <v>2.4107577932996921E-2</v>
      </c>
      <c r="T232" s="19">
        <f t="shared" si="170"/>
        <v>7.7151071868498275E-2</v>
      </c>
      <c r="U232" s="19">
        <f t="shared" si="171"/>
        <v>0</v>
      </c>
      <c r="V232" s="19">
        <f t="shared" si="172"/>
        <v>0</v>
      </c>
      <c r="W232" s="19">
        <f t="shared" si="173"/>
        <v>0</v>
      </c>
      <c r="X232" s="19">
        <f t="shared" si="174"/>
        <v>0</v>
      </c>
      <c r="Y232" s="19">
        <f t="shared" si="175"/>
        <v>0</v>
      </c>
    </row>
    <row r="233" spans="1:25" outlineLevel="2">
      <c r="A233" s="1" t="s">
        <v>17</v>
      </c>
      <c r="B233">
        <v>66</v>
      </c>
      <c r="C233" s="5">
        <v>100</v>
      </c>
      <c r="D233" s="5">
        <v>3.68272610564</v>
      </c>
      <c r="E233" s="2">
        <v>0</v>
      </c>
      <c r="F233" s="2">
        <v>0</v>
      </c>
      <c r="G233" s="2">
        <v>0</v>
      </c>
      <c r="H233" s="2">
        <v>0</v>
      </c>
      <c r="I233" s="2">
        <v>107.3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P233" s="19">
        <f t="shared" si="176"/>
        <v>0</v>
      </c>
      <c r="Q233" s="19">
        <f t="shared" si="167"/>
        <v>0</v>
      </c>
      <c r="R233" s="19">
        <f t="shared" si="168"/>
        <v>0</v>
      </c>
      <c r="S233" s="19">
        <f t="shared" si="169"/>
        <v>0</v>
      </c>
      <c r="T233" s="19">
        <f t="shared" si="170"/>
        <v>2.0936577152386435E-2</v>
      </c>
      <c r="U233" s="19">
        <f t="shared" si="171"/>
        <v>0</v>
      </c>
      <c r="V233" s="19">
        <f t="shared" si="172"/>
        <v>0</v>
      </c>
      <c r="W233" s="19">
        <f t="shared" si="173"/>
        <v>0</v>
      </c>
      <c r="X233" s="19">
        <f t="shared" si="174"/>
        <v>0</v>
      </c>
      <c r="Y233" s="19">
        <f t="shared" si="175"/>
        <v>0</v>
      </c>
    </row>
    <row r="234" spans="1:25" outlineLevel="2">
      <c r="A234" s="1" t="s">
        <v>17</v>
      </c>
      <c r="B234">
        <v>67</v>
      </c>
      <c r="C234" s="5">
        <v>100</v>
      </c>
      <c r="D234" s="5">
        <v>4.5566247959100004</v>
      </c>
      <c r="E234" s="2">
        <v>0</v>
      </c>
      <c r="F234" s="2">
        <v>0</v>
      </c>
      <c r="G234" s="2">
        <v>0</v>
      </c>
      <c r="H234" s="2">
        <v>24.777550000000002</v>
      </c>
      <c r="I234" s="2">
        <v>452.60007000000007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P234" s="19">
        <f t="shared" si="176"/>
        <v>0</v>
      </c>
      <c r="Q234" s="19">
        <f t="shared" si="167"/>
        <v>0</v>
      </c>
      <c r="R234" s="19">
        <f t="shared" si="168"/>
        <v>0</v>
      </c>
      <c r="S234" s="19">
        <f t="shared" si="169"/>
        <v>4.9858514289328358E-3</v>
      </c>
      <c r="T234" s="19">
        <f t="shared" si="170"/>
        <v>8.8312174135419405E-2</v>
      </c>
      <c r="U234" s="19">
        <f t="shared" si="171"/>
        <v>0</v>
      </c>
      <c r="V234" s="19">
        <f t="shared" si="172"/>
        <v>0</v>
      </c>
      <c r="W234" s="19">
        <f t="shared" si="173"/>
        <v>0</v>
      </c>
      <c r="X234" s="19">
        <f t="shared" si="174"/>
        <v>0</v>
      </c>
      <c r="Y234" s="19">
        <f t="shared" si="175"/>
        <v>0</v>
      </c>
    </row>
    <row r="235" spans="1:25" outlineLevel="2">
      <c r="A235" s="1" t="s">
        <v>17</v>
      </c>
      <c r="B235">
        <v>68</v>
      </c>
      <c r="C235" s="5">
        <v>99.999639900899993</v>
      </c>
      <c r="D235" s="5">
        <v>2.4296081278899999</v>
      </c>
      <c r="E235" s="2">
        <v>0</v>
      </c>
      <c r="F235" s="2">
        <v>0</v>
      </c>
      <c r="G235" s="2">
        <v>48.361295850781779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P235" s="19">
        <f t="shared" si="176"/>
        <v>0</v>
      </c>
      <c r="Q235" s="19">
        <f t="shared" si="167"/>
        <v>0</v>
      </c>
      <c r="R235" s="19">
        <f t="shared" si="168"/>
        <v>1.3625767585950478E-2</v>
      </c>
      <c r="S235" s="19">
        <f t="shared" si="169"/>
        <v>0</v>
      </c>
      <c r="T235" s="19">
        <f t="shared" si="170"/>
        <v>0</v>
      </c>
      <c r="U235" s="19">
        <f t="shared" si="171"/>
        <v>0</v>
      </c>
      <c r="V235" s="19">
        <f t="shared" si="172"/>
        <v>0</v>
      </c>
      <c r="W235" s="19">
        <f t="shared" si="173"/>
        <v>0</v>
      </c>
      <c r="X235" s="19">
        <f t="shared" si="174"/>
        <v>0</v>
      </c>
      <c r="Y235" s="19">
        <f t="shared" si="175"/>
        <v>0</v>
      </c>
    </row>
    <row r="236" spans="1:25" outlineLevel="2">
      <c r="A236" s="1" t="s">
        <v>17</v>
      </c>
      <c r="B236">
        <v>69</v>
      </c>
      <c r="C236" s="5">
        <v>99.999781855199998</v>
      </c>
      <c r="D236" s="5">
        <v>2.2824523244899999</v>
      </c>
      <c r="E236" s="2">
        <v>0</v>
      </c>
      <c r="F236" s="2">
        <v>0</v>
      </c>
      <c r="G236" s="2">
        <v>3.7976037157068974</v>
      </c>
      <c r="H236" s="2">
        <v>0.79999825484160003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P236" s="19">
        <f t="shared" si="176"/>
        <v>0</v>
      </c>
      <c r="Q236" s="19">
        <f t="shared" si="167"/>
        <v>0</v>
      </c>
      <c r="R236" s="19">
        <f t="shared" si="168"/>
        <v>1.0699726858730905E-3</v>
      </c>
      <c r="S236" s="19">
        <f t="shared" si="169"/>
        <v>1.6097929141685785E-4</v>
      </c>
      <c r="T236" s="19">
        <f t="shared" si="170"/>
        <v>0</v>
      </c>
      <c r="U236" s="19">
        <f t="shared" si="171"/>
        <v>0</v>
      </c>
      <c r="V236" s="19">
        <f t="shared" si="172"/>
        <v>0</v>
      </c>
      <c r="W236" s="19">
        <f t="shared" si="173"/>
        <v>0</v>
      </c>
      <c r="X236" s="19">
        <f t="shared" si="174"/>
        <v>0</v>
      </c>
      <c r="Y236" s="19">
        <f t="shared" si="175"/>
        <v>0</v>
      </c>
    </row>
    <row r="237" spans="1:25" outlineLevel="2">
      <c r="A237" s="1" t="s">
        <v>17</v>
      </c>
      <c r="B237">
        <v>70</v>
      </c>
      <c r="C237" s="5">
        <v>99.999999844599998</v>
      </c>
      <c r="D237" s="5">
        <v>6.8321375944299998</v>
      </c>
      <c r="E237" s="2">
        <v>0</v>
      </c>
      <c r="F237" s="2">
        <v>0</v>
      </c>
      <c r="G237" s="2">
        <v>0</v>
      </c>
      <c r="H237" s="2">
        <v>593.41553507783226</v>
      </c>
      <c r="I237" s="2">
        <v>1087.0999553106467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P237" s="19">
        <f t="shared" si="176"/>
        <v>0</v>
      </c>
      <c r="Q237" s="19">
        <f t="shared" si="167"/>
        <v>0</v>
      </c>
      <c r="R237" s="19">
        <f t="shared" si="168"/>
        <v>0</v>
      </c>
      <c r="S237" s="19">
        <f t="shared" si="169"/>
        <v>0.11940977592694813</v>
      </c>
      <c r="T237" s="19">
        <f t="shared" si="170"/>
        <v>0.21211698123687978</v>
      </c>
      <c r="U237" s="19">
        <f t="shared" si="171"/>
        <v>0</v>
      </c>
      <c r="V237" s="19">
        <f t="shared" si="172"/>
        <v>0</v>
      </c>
      <c r="W237" s="19">
        <f t="shared" si="173"/>
        <v>0</v>
      </c>
      <c r="X237" s="19">
        <f t="shared" si="174"/>
        <v>0</v>
      </c>
      <c r="Y237" s="19">
        <f t="shared" si="175"/>
        <v>0</v>
      </c>
    </row>
    <row r="238" spans="1:25" outlineLevel="2">
      <c r="A238" s="1" t="s">
        <v>17</v>
      </c>
      <c r="B238">
        <v>71</v>
      </c>
      <c r="C238" s="5">
        <v>99.999818450199996</v>
      </c>
      <c r="D238" s="5">
        <v>5.2970079992799999</v>
      </c>
      <c r="E238" s="2">
        <v>0</v>
      </c>
      <c r="F238" s="2">
        <v>0</v>
      </c>
      <c r="G238" s="2">
        <v>1196.5978275750931</v>
      </c>
      <c r="H238" s="2">
        <v>418.54283813493493</v>
      </c>
      <c r="I238" s="2">
        <v>42.099920567539648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P238" s="19">
        <f t="shared" si="176"/>
        <v>0</v>
      </c>
      <c r="Q238" s="19">
        <f t="shared" si="167"/>
        <v>0</v>
      </c>
      <c r="R238" s="19">
        <f t="shared" si="168"/>
        <v>0.33714075699499463</v>
      </c>
      <c r="S238" s="19">
        <f t="shared" si="169"/>
        <v>8.4221095612143651E-2</v>
      </c>
      <c r="T238" s="19">
        <f t="shared" si="170"/>
        <v>8.2146154247123432E-3</v>
      </c>
      <c r="U238" s="19">
        <f t="shared" si="171"/>
        <v>0</v>
      </c>
      <c r="V238" s="19">
        <f t="shared" si="172"/>
        <v>0</v>
      </c>
      <c r="W238" s="19">
        <f t="shared" si="173"/>
        <v>0</v>
      </c>
      <c r="X238" s="19">
        <f t="shared" si="174"/>
        <v>0</v>
      </c>
      <c r="Y238" s="19">
        <f t="shared" si="175"/>
        <v>0</v>
      </c>
    </row>
    <row r="239" spans="1:25" outlineLevel="2">
      <c r="A239" s="1" t="s">
        <v>17</v>
      </c>
      <c r="B239">
        <v>72</v>
      </c>
      <c r="C239" s="5">
        <v>99.9999939028</v>
      </c>
      <c r="D239" s="5">
        <v>1.6432089699400001</v>
      </c>
      <c r="E239" s="2">
        <v>0</v>
      </c>
      <c r="F239" s="2">
        <v>0</v>
      </c>
      <c r="G239" s="2">
        <v>0</v>
      </c>
      <c r="H239" s="2">
        <v>0</v>
      </c>
      <c r="I239" s="2">
        <v>110.7999932443024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P239" s="19">
        <f t="shared" si="176"/>
        <v>0</v>
      </c>
      <c r="Q239" s="19">
        <f t="shared" si="167"/>
        <v>0</v>
      </c>
      <c r="R239" s="19">
        <f t="shared" si="168"/>
        <v>0</v>
      </c>
      <c r="S239" s="19">
        <f t="shared" si="169"/>
        <v>0</v>
      </c>
      <c r="T239" s="19">
        <f t="shared" si="170"/>
        <v>2.161950239555669E-2</v>
      </c>
      <c r="U239" s="19">
        <f t="shared" si="171"/>
        <v>0</v>
      </c>
      <c r="V239" s="19">
        <f t="shared" si="172"/>
        <v>0</v>
      </c>
      <c r="W239" s="19">
        <f t="shared" si="173"/>
        <v>0</v>
      </c>
      <c r="X239" s="19">
        <f t="shared" si="174"/>
        <v>0</v>
      </c>
      <c r="Y239" s="19">
        <f t="shared" si="175"/>
        <v>0</v>
      </c>
    </row>
    <row r="240" spans="1:25" outlineLevel="2">
      <c r="A240" s="1" t="s">
        <v>17</v>
      </c>
      <c r="B240">
        <v>73</v>
      </c>
      <c r="C240" s="5">
        <v>76.171000654300002</v>
      </c>
      <c r="D240" s="5">
        <v>1.8811370031800001</v>
      </c>
      <c r="E240" s="2">
        <v>0</v>
      </c>
      <c r="F240" s="2">
        <v>0</v>
      </c>
      <c r="G240" s="2">
        <v>0</v>
      </c>
      <c r="H240" s="2">
        <v>0</v>
      </c>
      <c r="I240" s="2">
        <v>24.450891210030299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P240" s="19">
        <f t="shared" si="176"/>
        <v>0</v>
      </c>
      <c r="Q240" s="19">
        <f t="shared" si="167"/>
        <v>0</v>
      </c>
      <c r="R240" s="19">
        <f t="shared" si="168"/>
        <v>0</v>
      </c>
      <c r="S240" s="19">
        <f t="shared" si="169"/>
        <v>0</v>
      </c>
      <c r="T240" s="19">
        <f t="shared" si="170"/>
        <v>4.7709037303206589E-3</v>
      </c>
      <c r="U240" s="19">
        <f t="shared" si="171"/>
        <v>0</v>
      </c>
      <c r="V240" s="19">
        <f t="shared" si="172"/>
        <v>0</v>
      </c>
      <c r="W240" s="19">
        <f t="shared" si="173"/>
        <v>0</v>
      </c>
      <c r="X240" s="19">
        <f t="shared" si="174"/>
        <v>0</v>
      </c>
      <c r="Y240" s="19">
        <f t="shared" si="175"/>
        <v>0</v>
      </c>
    </row>
    <row r="241" spans="1:25" outlineLevel="2">
      <c r="A241" s="1" t="s">
        <v>17</v>
      </c>
      <c r="B241">
        <v>74</v>
      </c>
      <c r="C241" s="5">
        <v>17.026737952200001</v>
      </c>
      <c r="D241" s="5">
        <v>1.3180978944199999</v>
      </c>
      <c r="E241" s="2">
        <v>0</v>
      </c>
      <c r="F241" s="2">
        <v>0</v>
      </c>
      <c r="G241" s="2">
        <v>0</v>
      </c>
      <c r="H241" s="2">
        <v>23.949809603564521</v>
      </c>
      <c r="I241" s="2">
        <v>1557.5815553496318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P241" s="19">
        <f t="shared" si="176"/>
        <v>0</v>
      </c>
      <c r="Q241" s="19">
        <f t="shared" si="167"/>
        <v>0</v>
      </c>
      <c r="R241" s="19">
        <f t="shared" si="168"/>
        <v>0</v>
      </c>
      <c r="S241" s="19">
        <f t="shared" si="169"/>
        <v>4.8192897374680519E-3</v>
      </c>
      <c r="T241" s="19">
        <f t="shared" si="170"/>
        <v>0.30391823303552312</v>
      </c>
      <c r="U241" s="19">
        <f t="shared" si="171"/>
        <v>0</v>
      </c>
      <c r="V241" s="19">
        <f t="shared" si="172"/>
        <v>0</v>
      </c>
      <c r="W241" s="19">
        <f t="shared" si="173"/>
        <v>0</v>
      </c>
      <c r="X241" s="19">
        <f t="shared" si="174"/>
        <v>0</v>
      </c>
      <c r="Y241" s="19">
        <f t="shared" si="175"/>
        <v>0</v>
      </c>
    </row>
    <row r="242" spans="1:25" outlineLevel="1">
      <c r="A242" s="18" t="s">
        <v>71</v>
      </c>
      <c r="E242" s="2">
        <f t="shared" ref="E242:N242" si="177">SUBTOTAL(9,E212:E241)</f>
        <v>966.09653868939904</v>
      </c>
      <c r="F242" s="2">
        <f t="shared" si="177"/>
        <v>5615.004289954566</v>
      </c>
      <c r="G242" s="2">
        <f t="shared" si="177"/>
        <v>3549.2529536939328</v>
      </c>
      <c r="H242" s="2">
        <f t="shared" si="177"/>
        <v>4969.5724698526265</v>
      </c>
      <c r="I242" s="2">
        <f t="shared" si="177"/>
        <v>5125.0020105492513</v>
      </c>
      <c r="J242" s="2">
        <f t="shared" si="177"/>
        <v>0</v>
      </c>
      <c r="K242" s="2">
        <f t="shared" si="177"/>
        <v>0</v>
      </c>
      <c r="L242" s="2">
        <f t="shared" si="177"/>
        <v>0</v>
      </c>
      <c r="M242" s="2">
        <f t="shared" si="177"/>
        <v>0</v>
      </c>
      <c r="N242" s="2">
        <f t="shared" si="177"/>
        <v>0</v>
      </c>
    </row>
    <row r="243" spans="1:25" outlineLevel="2">
      <c r="A243" s="1" t="s">
        <v>18</v>
      </c>
      <c r="B243">
        <v>341</v>
      </c>
      <c r="C243" s="5">
        <v>10.6376266373</v>
      </c>
      <c r="D243" s="5">
        <v>65.778198993399997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P243" s="19">
        <f>IF(E$244&gt;0, E243/E$244, 0)</f>
        <v>0</v>
      </c>
      <c r="Q243" s="19">
        <f t="shared" ref="Q243:Y243" si="178">IF(F$244&gt;0, F243/F$244, 0)</f>
        <v>0</v>
      </c>
      <c r="R243" s="19">
        <f t="shared" si="178"/>
        <v>0</v>
      </c>
      <c r="S243" s="19">
        <f t="shared" si="178"/>
        <v>0</v>
      </c>
      <c r="T243" s="19">
        <f t="shared" si="178"/>
        <v>0</v>
      </c>
      <c r="U243" s="19">
        <f t="shared" si="178"/>
        <v>0</v>
      </c>
      <c r="V243" s="19">
        <f t="shared" si="178"/>
        <v>0</v>
      </c>
      <c r="W243" s="19">
        <f t="shared" si="178"/>
        <v>0</v>
      </c>
      <c r="X243" s="19">
        <f t="shared" si="178"/>
        <v>0</v>
      </c>
      <c r="Y243" s="19">
        <f t="shared" si="178"/>
        <v>0</v>
      </c>
    </row>
    <row r="244" spans="1:25" outlineLevel="1">
      <c r="A244" s="18" t="s">
        <v>72</v>
      </c>
      <c r="E244" s="2">
        <f t="shared" ref="E244:N244" si="179">SUBTOTAL(9,E243:E243)</f>
        <v>0</v>
      </c>
      <c r="F244" s="2">
        <f t="shared" si="179"/>
        <v>0</v>
      </c>
      <c r="G244" s="2">
        <f t="shared" si="179"/>
        <v>0</v>
      </c>
      <c r="H244" s="2">
        <f t="shared" si="179"/>
        <v>0</v>
      </c>
      <c r="I244" s="2">
        <f t="shared" si="179"/>
        <v>0</v>
      </c>
      <c r="J244" s="2">
        <f t="shared" si="179"/>
        <v>0</v>
      </c>
      <c r="K244" s="2">
        <f t="shared" si="179"/>
        <v>0</v>
      </c>
      <c r="L244" s="2">
        <f t="shared" si="179"/>
        <v>0</v>
      </c>
      <c r="M244" s="2">
        <f t="shared" si="179"/>
        <v>0</v>
      </c>
      <c r="N244" s="2">
        <f t="shared" si="179"/>
        <v>0</v>
      </c>
    </row>
    <row r="245" spans="1:25" outlineLevel="2">
      <c r="A245" s="1" t="s">
        <v>19</v>
      </c>
      <c r="B245">
        <v>1</v>
      </c>
      <c r="C245" s="5">
        <v>100</v>
      </c>
      <c r="D245" s="5">
        <v>3.2514195190900002</v>
      </c>
      <c r="E245" s="2">
        <v>0</v>
      </c>
      <c r="F245" s="2">
        <v>299.000022</v>
      </c>
      <c r="G245" s="2">
        <v>82.599989999999991</v>
      </c>
      <c r="H245" s="2">
        <v>41.5</v>
      </c>
      <c r="I245" s="2">
        <v>18.8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P245" s="19">
        <f>IF(E$273&gt;0, E245/E$273, 0)</f>
        <v>0</v>
      </c>
      <c r="Q245" s="19">
        <f t="shared" ref="Q245:Q272" si="180">IF(F$273&gt;0, F245/F$273, 0)</f>
        <v>2.1751211557156834E-2</v>
      </c>
      <c r="R245" s="19">
        <f t="shared" ref="R245:R272" si="181">IF(G$273&gt;0, G245/G$273, 0)</f>
        <v>2.2507365472376757E-2</v>
      </c>
      <c r="S245" s="19">
        <f t="shared" ref="S245:S272" si="182">IF(H$273&gt;0, H245/H$273, 0)</f>
        <v>2.4200429587042455E-2</v>
      </c>
      <c r="T245" s="19">
        <f t="shared" ref="T245:T272" si="183">IF(I$273&gt;0, I245/I$273, 0)</f>
        <v>4.4852700955374372E-2</v>
      </c>
      <c r="U245" s="19">
        <f t="shared" ref="U245:U272" si="184">IF(J$273&gt;0, J245/J$273, 0)</f>
        <v>0</v>
      </c>
      <c r="V245" s="19">
        <f t="shared" ref="V245:V272" si="185">IF(K$273&gt;0, K245/K$273, 0)</f>
        <v>0</v>
      </c>
      <c r="W245" s="19">
        <f t="shared" ref="W245:W272" si="186">IF(L$273&gt;0, L245/L$273, 0)</f>
        <v>0</v>
      </c>
      <c r="X245" s="19">
        <f t="shared" ref="X245:X272" si="187">IF(M$273&gt;0, M245/M$273, 0)</f>
        <v>0</v>
      </c>
      <c r="Y245" s="19">
        <f t="shared" ref="Y245:Y272" si="188">IF(N$273&gt;0, N245/N$273, 0)</f>
        <v>0</v>
      </c>
    </row>
    <row r="246" spans="1:25" outlineLevel="2">
      <c r="A246" s="1" t="s">
        <v>19</v>
      </c>
      <c r="B246">
        <v>2</v>
      </c>
      <c r="C246" s="5">
        <v>99.999166275199997</v>
      </c>
      <c r="D246" s="5">
        <v>1.7227726891999999</v>
      </c>
      <c r="E246" s="2">
        <v>0</v>
      </c>
      <c r="F246" s="2">
        <v>68.999424729887991</v>
      </c>
      <c r="G246" s="2">
        <v>43.699635662262402</v>
      </c>
      <c r="H246" s="2">
        <v>43.699635662262402</v>
      </c>
      <c r="I246" s="2">
        <v>16.699860767958398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P246" s="19">
        <f t="shared" ref="P246:P272" si="189">IF(E$273&gt;0, E246/E$273, 0)</f>
        <v>0</v>
      </c>
      <c r="Q246" s="19">
        <f t="shared" si="180"/>
        <v>5.0194681411157649E-3</v>
      </c>
      <c r="R246" s="19">
        <f t="shared" si="181"/>
        <v>1.1907551936268381E-2</v>
      </c>
      <c r="S246" s="19">
        <f t="shared" si="182"/>
        <v>2.5483131465638329E-2</v>
      </c>
      <c r="T246" s="19">
        <f t="shared" si="183"/>
        <v>3.9842226650086521E-2</v>
      </c>
      <c r="U246" s="19">
        <f t="shared" si="184"/>
        <v>0</v>
      </c>
      <c r="V246" s="19">
        <f t="shared" si="185"/>
        <v>0</v>
      </c>
      <c r="W246" s="19">
        <f t="shared" si="186"/>
        <v>0</v>
      </c>
      <c r="X246" s="19">
        <f t="shared" si="187"/>
        <v>0</v>
      </c>
      <c r="Y246" s="19">
        <f t="shared" si="188"/>
        <v>0</v>
      </c>
    </row>
    <row r="247" spans="1:25" outlineLevel="2">
      <c r="A247" s="1" t="s">
        <v>19</v>
      </c>
      <c r="B247">
        <v>3</v>
      </c>
      <c r="C247" s="5">
        <v>100</v>
      </c>
      <c r="D247" s="5">
        <v>3.0973791177400001</v>
      </c>
      <c r="E247" s="2">
        <v>0</v>
      </c>
      <c r="F247" s="2">
        <v>0</v>
      </c>
      <c r="G247" s="2">
        <v>126.9</v>
      </c>
      <c r="H247" s="2">
        <v>119</v>
      </c>
      <c r="I247" s="2">
        <v>67.600000000000009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P247" s="19">
        <f t="shared" si="189"/>
        <v>0</v>
      </c>
      <c r="Q247" s="19">
        <f t="shared" si="180"/>
        <v>0</v>
      </c>
      <c r="R247" s="19">
        <f t="shared" si="181"/>
        <v>3.4578511189221825E-2</v>
      </c>
      <c r="S247" s="19">
        <f t="shared" si="182"/>
        <v>6.9394002912242223E-2</v>
      </c>
      <c r="T247" s="19">
        <f t="shared" si="183"/>
        <v>0.16127886088209084</v>
      </c>
      <c r="U247" s="19">
        <f t="shared" si="184"/>
        <v>0</v>
      </c>
      <c r="V247" s="19">
        <f t="shared" si="185"/>
        <v>0</v>
      </c>
      <c r="W247" s="19">
        <f t="shared" si="186"/>
        <v>0</v>
      </c>
      <c r="X247" s="19">
        <f t="shared" si="187"/>
        <v>0</v>
      </c>
      <c r="Y247" s="19">
        <f t="shared" si="188"/>
        <v>0</v>
      </c>
    </row>
    <row r="248" spans="1:25" outlineLevel="2">
      <c r="A248" s="1" t="s">
        <v>19</v>
      </c>
      <c r="B248">
        <v>4</v>
      </c>
      <c r="C248" s="5">
        <v>100</v>
      </c>
      <c r="D248" s="5">
        <v>2.2499508005700002</v>
      </c>
      <c r="E248" s="2">
        <v>567.54319999999996</v>
      </c>
      <c r="F248" s="2">
        <v>2110.8003899999999</v>
      </c>
      <c r="G248" s="2">
        <v>497.29996499999993</v>
      </c>
      <c r="H248" s="2">
        <v>87.7</v>
      </c>
      <c r="I248" s="2">
        <v>5.4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P248" s="19">
        <f t="shared" si="189"/>
        <v>0.77066173553119732</v>
      </c>
      <c r="Q248" s="19">
        <f t="shared" si="180"/>
        <v>0.15355338615265771</v>
      </c>
      <c r="R248" s="19">
        <f t="shared" si="181"/>
        <v>0.13550742635265658</v>
      </c>
      <c r="S248" s="19">
        <f t="shared" si="182"/>
        <v>5.1141630717677668E-2</v>
      </c>
      <c r="T248" s="19">
        <f t="shared" si="183"/>
        <v>1.2883222614841575E-2</v>
      </c>
      <c r="U248" s="19">
        <f t="shared" si="184"/>
        <v>0</v>
      </c>
      <c r="V248" s="19">
        <f t="shared" si="185"/>
        <v>0</v>
      </c>
      <c r="W248" s="19">
        <f t="shared" si="186"/>
        <v>0</v>
      </c>
      <c r="X248" s="19">
        <f t="shared" si="187"/>
        <v>0</v>
      </c>
      <c r="Y248" s="19">
        <f t="shared" si="188"/>
        <v>0</v>
      </c>
    </row>
    <row r="249" spans="1:25" outlineLevel="2">
      <c r="A249" s="1" t="s">
        <v>19</v>
      </c>
      <c r="B249">
        <v>5</v>
      </c>
      <c r="C249" s="5">
        <v>100</v>
      </c>
      <c r="D249" s="5">
        <v>5.13554672285</v>
      </c>
      <c r="E249" s="2">
        <v>0</v>
      </c>
      <c r="F249" s="2">
        <v>2549.10025</v>
      </c>
      <c r="G249" s="2">
        <v>550.70000000000005</v>
      </c>
      <c r="H249" s="2">
        <v>268.60000000000002</v>
      </c>
      <c r="I249" s="2">
        <v>61.4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P249" s="19">
        <f t="shared" si="189"/>
        <v>0</v>
      </c>
      <c r="Q249" s="19">
        <f t="shared" si="180"/>
        <v>0.1854381763829816</v>
      </c>
      <c r="R249" s="19">
        <f t="shared" si="181"/>
        <v>0.15005820419152452</v>
      </c>
      <c r="S249" s="19">
        <f t="shared" si="182"/>
        <v>0.15663217800191817</v>
      </c>
      <c r="T249" s="19">
        <f t="shared" si="183"/>
        <v>0.14648701269468012</v>
      </c>
      <c r="U249" s="19">
        <f t="shared" si="184"/>
        <v>0</v>
      </c>
      <c r="V249" s="19">
        <f t="shared" si="185"/>
        <v>0</v>
      </c>
      <c r="W249" s="19">
        <f t="shared" si="186"/>
        <v>0</v>
      </c>
      <c r="X249" s="19">
        <f t="shared" si="187"/>
        <v>0</v>
      </c>
      <c r="Y249" s="19">
        <f t="shared" si="188"/>
        <v>0</v>
      </c>
    </row>
    <row r="250" spans="1:25" outlineLevel="2">
      <c r="A250" s="1" t="s">
        <v>19</v>
      </c>
      <c r="B250">
        <v>6</v>
      </c>
      <c r="C250" s="5">
        <v>99.999988301800002</v>
      </c>
      <c r="D250" s="5">
        <v>2.2434121307399999</v>
      </c>
      <c r="E250" s="2">
        <v>0</v>
      </c>
      <c r="F250" s="2">
        <v>16.399998081495198</v>
      </c>
      <c r="G250" s="2">
        <v>2.3999997192431999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P250" s="19">
        <f t="shared" si="189"/>
        <v>0</v>
      </c>
      <c r="Q250" s="19">
        <f t="shared" si="180"/>
        <v>1.1930428145840346E-3</v>
      </c>
      <c r="R250" s="19">
        <f t="shared" si="181"/>
        <v>6.5396703818739344E-4</v>
      </c>
      <c r="S250" s="19">
        <f t="shared" si="182"/>
        <v>0</v>
      </c>
      <c r="T250" s="19">
        <f t="shared" si="183"/>
        <v>0</v>
      </c>
      <c r="U250" s="19">
        <f t="shared" si="184"/>
        <v>0</v>
      </c>
      <c r="V250" s="19">
        <f t="shared" si="185"/>
        <v>0</v>
      </c>
      <c r="W250" s="19">
        <f t="shared" si="186"/>
        <v>0</v>
      </c>
      <c r="X250" s="19">
        <f t="shared" si="187"/>
        <v>0</v>
      </c>
      <c r="Y250" s="19">
        <f t="shared" si="188"/>
        <v>0</v>
      </c>
    </row>
    <row r="251" spans="1:25" outlineLevel="2">
      <c r="A251" s="1" t="s">
        <v>19</v>
      </c>
      <c r="B251">
        <v>7</v>
      </c>
      <c r="C251" s="5">
        <v>100</v>
      </c>
      <c r="D251" s="5">
        <v>1.95985747513</v>
      </c>
      <c r="E251" s="2">
        <v>0</v>
      </c>
      <c r="F251" s="2">
        <v>187.10000000000002</v>
      </c>
      <c r="G251" s="2">
        <v>30.2</v>
      </c>
      <c r="H251" s="2">
        <v>3.8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P251" s="19">
        <f t="shared" si="189"/>
        <v>0</v>
      </c>
      <c r="Q251" s="19">
        <f t="shared" si="180"/>
        <v>1.3610874190317097E-2</v>
      </c>
      <c r="R251" s="19">
        <f t="shared" si="181"/>
        <v>8.2290861931796615E-3</v>
      </c>
      <c r="S251" s="19">
        <f t="shared" si="182"/>
        <v>2.2159429501388268E-3</v>
      </c>
      <c r="T251" s="19">
        <f t="shared" si="183"/>
        <v>0</v>
      </c>
      <c r="U251" s="19">
        <f t="shared" si="184"/>
        <v>0</v>
      </c>
      <c r="V251" s="19">
        <f t="shared" si="185"/>
        <v>0</v>
      </c>
      <c r="W251" s="19">
        <f t="shared" si="186"/>
        <v>0</v>
      </c>
      <c r="X251" s="19">
        <f t="shared" si="187"/>
        <v>0</v>
      </c>
      <c r="Y251" s="19">
        <f t="shared" si="188"/>
        <v>0</v>
      </c>
    </row>
    <row r="252" spans="1:25" outlineLevel="2">
      <c r="A252" s="1" t="s">
        <v>19</v>
      </c>
      <c r="B252">
        <v>8</v>
      </c>
      <c r="C252" s="5">
        <v>99.9999924241</v>
      </c>
      <c r="D252" s="5">
        <v>6.6370429101299999</v>
      </c>
      <c r="E252" s="2">
        <v>0</v>
      </c>
      <c r="F252" s="2">
        <v>137.99998954525799</v>
      </c>
      <c r="G252" s="2">
        <v>58.899995537794901</v>
      </c>
      <c r="H252" s="2">
        <v>25.899998037841897</v>
      </c>
      <c r="I252" s="2">
        <v>2.2999998257542997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P252" s="19">
        <f t="shared" si="189"/>
        <v>0</v>
      </c>
      <c r="Q252" s="19">
        <f t="shared" si="180"/>
        <v>1.0039019219484666E-2</v>
      </c>
      <c r="R252" s="19">
        <f t="shared" si="181"/>
        <v>1.6049441723788468E-2</v>
      </c>
      <c r="S252" s="19">
        <f t="shared" si="182"/>
        <v>1.5103399489622422E-2</v>
      </c>
      <c r="T252" s="19">
        <f t="shared" si="183"/>
        <v>5.4872981054239767E-3</v>
      </c>
      <c r="U252" s="19">
        <f t="shared" si="184"/>
        <v>0</v>
      </c>
      <c r="V252" s="19">
        <f t="shared" si="185"/>
        <v>0</v>
      </c>
      <c r="W252" s="19">
        <f t="shared" si="186"/>
        <v>0</v>
      </c>
      <c r="X252" s="19">
        <f t="shared" si="187"/>
        <v>0</v>
      </c>
      <c r="Y252" s="19">
        <f t="shared" si="188"/>
        <v>0</v>
      </c>
    </row>
    <row r="253" spans="1:25" outlineLevel="2">
      <c r="A253" s="1" t="s">
        <v>19</v>
      </c>
      <c r="B253">
        <v>9</v>
      </c>
      <c r="C253" s="5">
        <v>100</v>
      </c>
      <c r="D253" s="5">
        <v>2.2351645847400001</v>
      </c>
      <c r="E253" s="2">
        <v>0</v>
      </c>
      <c r="F253" s="2">
        <v>1540.3</v>
      </c>
      <c r="G253" s="2">
        <v>208.60000000000002</v>
      </c>
      <c r="H253" s="2">
        <v>21.6</v>
      </c>
      <c r="I253" s="2">
        <v>3.3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P253" s="19">
        <f t="shared" si="189"/>
        <v>0</v>
      </c>
      <c r="Q253" s="19">
        <f t="shared" si="180"/>
        <v>0.1120514672118943</v>
      </c>
      <c r="R253" s="19">
        <f t="shared" si="181"/>
        <v>5.6840641718452906E-2</v>
      </c>
      <c r="S253" s="19">
        <f t="shared" si="182"/>
        <v>1.2595886242894386E-2</v>
      </c>
      <c r="T253" s="19">
        <f t="shared" si="183"/>
        <v>7.8730804868476292E-3</v>
      </c>
      <c r="U253" s="19">
        <f t="shared" si="184"/>
        <v>0</v>
      </c>
      <c r="V253" s="19">
        <f t="shared" si="185"/>
        <v>0</v>
      </c>
      <c r="W253" s="19">
        <f t="shared" si="186"/>
        <v>0</v>
      </c>
      <c r="X253" s="19">
        <f t="shared" si="187"/>
        <v>0</v>
      </c>
      <c r="Y253" s="19">
        <f t="shared" si="188"/>
        <v>0</v>
      </c>
    </row>
    <row r="254" spans="1:25" outlineLevel="2">
      <c r="A254" s="1" t="s">
        <v>19</v>
      </c>
      <c r="B254">
        <v>10</v>
      </c>
      <c r="C254" s="5">
        <v>100</v>
      </c>
      <c r="D254" s="5">
        <v>1.1013322325199999</v>
      </c>
      <c r="E254" s="2">
        <v>0</v>
      </c>
      <c r="F254" s="2">
        <v>372.78111999999999</v>
      </c>
      <c r="G254" s="2">
        <v>156.70001000000002</v>
      </c>
      <c r="H254" s="2">
        <v>87.4</v>
      </c>
      <c r="I254" s="2">
        <v>14.6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P254" s="19">
        <f t="shared" si="189"/>
        <v>0</v>
      </c>
      <c r="Q254" s="19">
        <f t="shared" si="180"/>
        <v>2.7118529796074292E-2</v>
      </c>
      <c r="R254" s="19">
        <f t="shared" si="181"/>
        <v>4.2698605588149509E-2</v>
      </c>
      <c r="S254" s="19">
        <f t="shared" si="182"/>
        <v>5.0966687853193027E-2</v>
      </c>
      <c r="T254" s="19">
        <f t="shared" si="183"/>
        <v>3.4832416699386477E-2</v>
      </c>
      <c r="U254" s="19">
        <f t="shared" si="184"/>
        <v>0</v>
      </c>
      <c r="V254" s="19">
        <f t="shared" si="185"/>
        <v>0</v>
      </c>
      <c r="W254" s="19">
        <f t="shared" si="186"/>
        <v>0</v>
      </c>
      <c r="X254" s="19">
        <f t="shared" si="187"/>
        <v>0</v>
      </c>
      <c r="Y254" s="19">
        <f t="shared" si="188"/>
        <v>0</v>
      </c>
    </row>
    <row r="255" spans="1:25" outlineLevel="2">
      <c r="A255" s="1" t="s">
        <v>19</v>
      </c>
      <c r="B255">
        <v>11</v>
      </c>
      <c r="C255" s="5">
        <v>100</v>
      </c>
      <c r="D255" s="5">
        <v>0.503497068725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P255" s="19">
        <f t="shared" si="189"/>
        <v>0</v>
      </c>
      <c r="Q255" s="19">
        <f t="shared" si="180"/>
        <v>0</v>
      </c>
      <c r="R255" s="19">
        <f t="shared" si="181"/>
        <v>0</v>
      </c>
      <c r="S255" s="19">
        <f t="shared" si="182"/>
        <v>0</v>
      </c>
      <c r="T255" s="19">
        <f t="shared" si="183"/>
        <v>0</v>
      </c>
      <c r="U255" s="19">
        <f t="shared" si="184"/>
        <v>0</v>
      </c>
      <c r="V255" s="19">
        <f t="shared" si="185"/>
        <v>0</v>
      </c>
      <c r="W255" s="19">
        <f t="shared" si="186"/>
        <v>0</v>
      </c>
      <c r="X255" s="19">
        <f t="shared" si="187"/>
        <v>0</v>
      </c>
      <c r="Y255" s="19">
        <f t="shared" si="188"/>
        <v>0</v>
      </c>
    </row>
    <row r="256" spans="1:25" outlineLevel="2">
      <c r="A256" s="1" t="s">
        <v>19</v>
      </c>
      <c r="B256">
        <v>12</v>
      </c>
      <c r="C256" s="5">
        <v>100</v>
      </c>
      <c r="D256" s="5">
        <v>1.60190494452</v>
      </c>
      <c r="E256" s="2">
        <v>0</v>
      </c>
      <c r="F256" s="2">
        <v>136.19999999999999</v>
      </c>
      <c r="G256" s="2">
        <v>39.799999999999997</v>
      </c>
      <c r="H256" s="2">
        <v>26.2</v>
      </c>
      <c r="I256" s="2">
        <v>8.6999999999999993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P256" s="19">
        <f t="shared" si="189"/>
        <v>0</v>
      </c>
      <c r="Q256" s="19">
        <f t="shared" si="180"/>
        <v>9.9080762411608136E-3</v>
      </c>
      <c r="R256" s="19">
        <f t="shared" si="181"/>
        <v>1.084495465193876E-2</v>
      </c>
      <c r="S256" s="19">
        <f t="shared" si="182"/>
        <v>1.5278343498325598E-2</v>
      </c>
      <c r="T256" s="19">
        <f t="shared" si="183"/>
        <v>2.0756303101689202E-2</v>
      </c>
      <c r="U256" s="19">
        <f t="shared" si="184"/>
        <v>0</v>
      </c>
      <c r="V256" s="19">
        <f t="shared" si="185"/>
        <v>0</v>
      </c>
      <c r="W256" s="19">
        <f t="shared" si="186"/>
        <v>0</v>
      </c>
      <c r="X256" s="19">
        <f t="shared" si="187"/>
        <v>0</v>
      </c>
      <c r="Y256" s="19">
        <f t="shared" si="188"/>
        <v>0</v>
      </c>
    </row>
    <row r="257" spans="1:25" outlineLevel="2">
      <c r="A257" s="1" t="s">
        <v>19</v>
      </c>
      <c r="B257">
        <v>13</v>
      </c>
      <c r="C257" s="5">
        <v>100</v>
      </c>
      <c r="D257" s="5">
        <v>3.9431059413499998</v>
      </c>
      <c r="E257" s="2">
        <v>0</v>
      </c>
      <c r="F257" s="2">
        <v>296.7</v>
      </c>
      <c r="G257" s="2">
        <v>132</v>
      </c>
      <c r="H257" s="2">
        <v>69</v>
      </c>
      <c r="I257" s="2">
        <v>5.9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P257" s="19">
        <f t="shared" si="189"/>
        <v>0</v>
      </c>
      <c r="Q257" s="19">
        <f t="shared" si="180"/>
        <v>2.158389295706618E-2</v>
      </c>
      <c r="R257" s="19">
        <f t="shared" si="181"/>
        <v>3.5968191307937596E-2</v>
      </c>
      <c r="S257" s="19">
        <f t="shared" si="182"/>
        <v>4.0236858831468179E-2</v>
      </c>
      <c r="T257" s="19">
        <f t="shared" si="183"/>
        <v>1.4076113597697277E-2</v>
      </c>
      <c r="U257" s="19">
        <f t="shared" si="184"/>
        <v>0</v>
      </c>
      <c r="V257" s="19">
        <f t="shared" si="185"/>
        <v>0</v>
      </c>
      <c r="W257" s="19">
        <f t="shared" si="186"/>
        <v>0</v>
      </c>
      <c r="X257" s="19">
        <f t="shared" si="187"/>
        <v>0</v>
      </c>
      <c r="Y257" s="19">
        <f t="shared" si="188"/>
        <v>0</v>
      </c>
    </row>
    <row r="258" spans="1:25" outlineLevel="2">
      <c r="A258" s="1" t="s">
        <v>19</v>
      </c>
      <c r="B258">
        <v>14</v>
      </c>
      <c r="C258" s="5">
        <v>100</v>
      </c>
      <c r="D258" s="5">
        <v>2.0634759860299998</v>
      </c>
      <c r="E258" s="2">
        <v>0</v>
      </c>
      <c r="F258" s="2">
        <v>630.00006000000008</v>
      </c>
      <c r="G258" s="2">
        <v>301.3</v>
      </c>
      <c r="H258" s="2">
        <v>194.49999999999997</v>
      </c>
      <c r="I258" s="2">
        <v>39</v>
      </c>
      <c r="J258" s="2">
        <v>0</v>
      </c>
      <c r="K258" s="2">
        <v>0</v>
      </c>
      <c r="L258" s="2">
        <v>0</v>
      </c>
      <c r="M258" s="2">
        <v>0</v>
      </c>
      <c r="N258" s="2">
        <v>72.289789999999996</v>
      </c>
      <c r="P258" s="19">
        <f t="shared" si="189"/>
        <v>0</v>
      </c>
      <c r="Q258" s="19">
        <f t="shared" si="180"/>
        <v>4.5830312969279655E-2</v>
      </c>
      <c r="R258" s="19">
        <f t="shared" si="181"/>
        <v>8.2100121523345448E-2</v>
      </c>
      <c r="S258" s="19">
        <f t="shared" si="182"/>
        <v>0.113421290474211</v>
      </c>
      <c r="T258" s="19">
        <f t="shared" si="183"/>
        <v>9.3045496662744698E-2</v>
      </c>
      <c r="U258" s="19">
        <f t="shared" si="184"/>
        <v>0</v>
      </c>
      <c r="V258" s="19">
        <f t="shared" si="185"/>
        <v>0</v>
      </c>
      <c r="W258" s="19">
        <f t="shared" si="186"/>
        <v>0</v>
      </c>
      <c r="X258" s="19">
        <f t="shared" si="187"/>
        <v>0</v>
      </c>
      <c r="Y258" s="19">
        <f t="shared" si="188"/>
        <v>0.99461136770968106</v>
      </c>
    </row>
    <row r="259" spans="1:25" outlineLevel="2">
      <c r="A259" s="1" t="s">
        <v>19</v>
      </c>
      <c r="B259">
        <v>15</v>
      </c>
      <c r="C259" s="5">
        <v>100</v>
      </c>
      <c r="D259" s="5">
        <v>5.9165685580499998</v>
      </c>
      <c r="E259" s="2">
        <v>168.893</v>
      </c>
      <c r="F259" s="2">
        <v>252.1</v>
      </c>
      <c r="G259" s="2">
        <v>82.8</v>
      </c>
      <c r="H259" s="2">
        <v>41.9</v>
      </c>
      <c r="I259" s="2">
        <v>11.2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P259" s="19">
        <f t="shared" si="189"/>
        <v>0.22933826446880259</v>
      </c>
      <c r="Q259" s="19">
        <f t="shared" si="180"/>
        <v>1.8339398093954781E-2</v>
      </c>
      <c r="R259" s="19">
        <f t="shared" si="181"/>
        <v>2.2561865456797218E-2</v>
      </c>
      <c r="S259" s="19">
        <f t="shared" si="182"/>
        <v>2.4433686739688647E-2</v>
      </c>
      <c r="T259" s="19">
        <f t="shared" si="183"/>
        <v>2.6720758015967707E-2</v>
      </c>
      <c r="U259" s="19">
        <f t="shared" si="184"/>
        <v>0</v>
      </c>
      <c r="V259" s="19">
        <f t="shared" si="185"/>
        <v>0</v>
      </c>
      <c r="W259" s="19">
        <f t="shared" si="186"/>
        <v>0</v>
      </c>
      <c r="X259" s="19">
        <f t="shared" si="187"/>
        <v>0</v>
      </c>
      <c r="Y259" s="19">
        <f t="shared" si="188"/>
        <v>0</v>
      </c>
    </row>
    <row r="260" spans="1:25" outlineLevel="2">
      <c r="A260" s="1" t="s">
        <v>19</v>
      </c>
      <c r="B260">
        <v>16</v>
      </c>
      <c r="C260" s="5">
        <v>100</v>
      </c>
      <c r="D260" s="5">
        <v>6.5271651788399998</v>
      </c>
      <c r="E260" s="2">
        <v>0</v>
      </c>
      <c r="F260" s="2">
        <v>2187.1970099999999</v>
      </c>
      <c r="G260" s="2">
        <v>467.86605999999995</v>
      </c>
      <c r="H260" s="2">
        <v>159.69999999999999</v>
      </c>
      <c r="I260" s="2">
        <v>24.2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P260" s="19">
        <f t="shared" si="189"/>
        <v>0</v>
      </c>
      <c r="Q260" s="19">
        <f t="shared" si="180"/>
        <v>0.15911097451922887</v>
      </c>
      <c r="R260" s="19">
        <f t="shared" si="181"/>
        <v>0.12748709054978036</v>
      </c>
      <c r="S260" s="19">
        <f t="shared" si="182"/>
        <v>9.3127918193992285E-2</v>
      </c>
      <c r="T260" s="19">
        <f t="shared" si="183"/>
        <v>5.7735923570215945E-2</v>
      </c>
      <c r="U260" s="19">
        <f t="shared" si="184"/>
        <v>0</v>
      </c>
      <c r="V260" s="19">
        <f t="shared" si="185"/>
        <v>0</v>
      </c>
      <c r="W260" s="19">
        <f t="shared" si="186"/>
        <v>0</v>
      </c>
      <c r="X260" s="19">
        <f t="shared" si="187"/>
        <v>0</v>
      </c>
      <c r="Y260" s="19">
        <f t="shared" si="188"/>
        <v>0</v>
      </c>
    </row>
    <row r="261" spans="1:25" outlineLevel="2">
      <c r="A261" s="1" t="s">
        <v>19</v>
      </c>
      <c r="B261">
        <v>17</v>
      </c>
      <c r="C261" s="5">
        <v>100</v>
      </c>
      <c r="D261" s="5">
        <v>5.9464166599599997</v>
      </c>
      <c r="E261" s="2">
        <v>0</v>
      </c>
      <c r="F261" s="2">
        <v>36.12753</v>
      </c>
      <c r="G261" s="2">
        <v>46.4</v>
      </c>
      <c r="H261" s="2">
        <v>27.2</v>
      </c>
      <c r="I261" s="2">
        <v>6.6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P261" s="19">
        <f t="shared" si="189"/>
        <v>0</v>
      </c>
      <c r="Q261" s="19">
        <f t="shared" si="180"/>
        <v>2.6281521412982716E-3</v>
      </c>
      <c r="R261" s="19">
        <f t="shared" si="181"/>
        <v>1.264336421733564E-2</v>
      </c>
      <c r="S261" s="19">
        <f t="shared" si="182"/>
        <v>1.5861486379941076E-2</v>
      </c>
      <c r="T261" s="19">
        <f t="shared" si="183"/>
        <v>1.5746160973695258E-2</v>
      </c>
      <c r="U261" s="19">
        <f t="shared" si="184"/>
        <v>0</v>
      </c>
      <c r="V261" s="19">
        <f t="shared" si="185"/>
        <v>0</v>
      </c>
      <c r="W261" s="19">
        <f t="shared" si="186"/>
        <v>0</v>
      </c>
      <c r="X261" s="19">
        <f t="shared" si="187"/>
        <v>0</v>
      </c>
      <c r="Y261" s="19">
        <f t="shared" si="188"/>
        <v>0</v>
      </c>
    </row>
    <row r="262" spans="1:25" outlineLevel="2">
      <c r="A262" s="1" t="s">
        <v>19</v>
      </c>
      <c r="B262">
        <v>18</v>
      </c>
      <c r="C262" s="5">
        <v>99.999994292099998</v>
      </c>
      <c r="D262" s="5">
        <v>7.8501235127299998</v>
      </c>
      <c r="E262" s="2">
        <v>0</v>
      </c>
      <c r="F262" s="2">
        <v>715.02202618725539</v>
      </c>
      <c r="G262" s="2">
        <v>174.76067402483491</v>
      </c>
      <c r="H262" s="2">
        <v>106.89999389825491</v>
      </c>
      <c r="I262" s="2">
        <v>19.99999885842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P262" s="19">
        <f t="shared" si="189"/>
        <v>0</v>
      </c>
      <c r="Q262" s="19">
        <f t="shared" si="180"/>
        <v>5.2015365268521373E-2</v>
      </c>
      <c r="R262" s="19">
        <f t="shared" si="181"/>
        <v>4.7619889063858965E-2</v>
      </c>
      <c r="S262" s="19">
        <f t="shared" si="182"/>
        <v>6.2337970486505682E-2</v>
      </c>
      <c r="T262" s="19">
        <f t="shared" si="183"/>
        <v>4.7715636590667077E-2</v>
      </c>
      <c r="U262" s="19">
        <f t="shared" si="184"/>
        <v>0</v>
      </c>
      <c r="V262" s="19">
        <f t="shared" si="185"/>
        <v>0</v>
      </c>
      <c r="W262" s="19">
        <f t="shared" si="186"/>
        <v>0</v>
      </c>
      <c r="X262" s="19">
        <f t="shared" si="187"/>
        <v>0</v>
      </c>
      <c r="Y262" s="19">
        <f t="shared" si="188"/>
        <v>0</v>
      </c>
    </row>
    <row r="263" spans="1:25" outlineLevel="2">
      <c r="A263" s="1" t="s">
        <v>19</v>
      </c>
      <c r="B263">
        <v>19</v>
      </c>
      <c r="C263" s="5">
        <v>99.999615980000002</v>
      </c>
      <c r="D263" s="5">
        <v>5.4987742377700002</v>
      </c>
      <c r="E263" s="2">
        <v>0</v>
      </c>
      <c r="F263" s="2">
        <v>765.49704932694226</v>
      </c>
      <c r="G263" s="2">
        <v>87.199665134560007</v>
      </c>
      <c r="H263" s="2">
        <v>22.799912443440004</v>
      </c>
      <c r="I263" s="2">
        <v>3.1999877113600004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P263" s="19">
        <f t="shared" si="189"/>
        <v>0</v>
      </c>
      <c r="Q263" s="19">
        <f t="shared" si="180"/>
        <v>5.5687247629331756E-2</v>
      </c>
      <c r="R263" s="19">
        <f t="shared" si="181"/>
        <v>2.3760713920817807E-2</v>
      </c>
      <c r="S263" s="19">
        <f t="shared" si="182"/>
        <v>1.3295606642848262E-2</v>
      </c>
      <c r="T263" s="19">
        <f t="shared" si="183"/>
        <v>7.6344729722607942E-3</v>
      </c>
      <c r="U263" s="19">
        <f t="shared" si="184"/>
        <v>0</v>
      </c>
      <c r="V263" s="19">
        <f t="shared" si="185"/>
        <v>0</v>
      </c>
      <c r="W263" s="19">
        <f t="shared" si="186"/>
        <v>0</v>
      </c>
      <c r="X263" s="19">
        <f t="shared" si="187"/>
        <v>0</v>
      </c>
      <c r="Y263" s="19">
        <f t="shared" si="188"/>
        <v>0</v>
      </c>
    </row>
    <row r="264" spans="1:25" outlineLevel="2">
      <c r="A264" s="1" t="s">
        <v>19</v>
      </c>
      <c r="B264">
        <v>20</v>
      </c>
      <c r="C264" s="5">
        <v>5.5950510535499998</v>
      </c>
      <c r="D264" s="5">
        <v>0.42849745894199998</v>
      </c>
      <c r="E264" s="2">
        <v>0</v>
      </c>
      <c r="F264" s="2">
        <v>23.700637941353115</v>
      </c>
      <c r="G264" s="2">
        <v>8.9856519920013014</v>
      </c>
      <c r="H264" s="2">
        <v>6.8931028979735993</v>
      </c>
      <c r="I264" s="2">
        <v>2.948591737369318</v>
      </c>
      <c r="J264" s="2">
        <v>0</v>
      </c>
      <c r="K264" s="2">
        <v>0</v>
      </c>
      <c r="L264" s="2">
        <v>0</v>
      </c>
      <c r="M264" s="2">
        <v>0</v>
      </c>
      <c r="N264" s="2">
        <v>0.39165357374849996</v>
      </c>
      <c r="P264" s="19">
        <f t="shared" si="189"/>
        <v>0</v>
      </c>
      <c r="Q264" s="19">
        <f t="shared" si="180"/>
        <v>1.7241389698023153E-3</v>
      </c>
      <c r="R264" s="19">
        <f t="shared" si="181"/>
        <v>2.4484670445064651E-3</v>
      </c>
      <c r="S264" s="19">
        <f t="shared" si="182"/>
        <v>4.0196638871963465E-3</v>
      </c>
      <c r="T264" s="19">
        <f t="shared" si="183"/>
        <v>7.0346969912613716E-3</v>
      </c>
      <c r="U264" s="19">
        <f t="shared" si="184"/>
        <v>0</v>
      </c>
      <c r="V264" s="19">
        <f t="shared" si="185"/>
        <v>0</v>
      </c>
      <c r="W264" s="19">
        <f t="shared" si="186"/>
        <v>0</v>
      </c>
      <c r="X264" s="19">
        <f t="shared" si="187"/>
        <v>0</v>
      </c>
      <c r="Y264" s="19">
        <f t="shared" si="188"/>
        <v>5.3886322903190058E-3</v>
      </c>
    </row>
    <row r="265" spans="1:25" outlineLevel="2">
      <c r="A265" s="1" t="s">
        <v>19</v>
      </c>
      <c r="B265">
        <v>21</v>
      </c>
      <c r="C265" s="5">
        <v>69.089417611100004</v>
      </c>
      <c r="D265" s="5">
        <v>4.4565400283700001</v>
      </c>
      <c r="E265" s="2">
        <v>0</v>
      </c>
      <c r="F265" s="2">
        <v>297.15359205428291</v>
      </c>
      <c r="G265" s="2">
        <v>46.256657062740778</v>
      </c>
      <c r="H265" s="2">
        <v>53.889745736658007</v>
      </c>
      <c r="I265" s="2">
        <v>19.275947513496902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P265" s="19">
        <f t="shared" si="189"/>
        <v>0</v>
      </c>
      <c r="Q265" s="19">
        <f t="shared" si="180"/>
        <v>2.1616890201238134E-2</v>
      </c>
      <c r="R265" s="19">
        <f t="shared" si="181"/>
        <v>1.2604305231047903E-2</v>
      </c>
      <c r="S265" s="19">
        <f t="shared" si="182"/>
        <v>3.1425421618400319E-2</v>
      </c>
      <c r="T265" s="19">
        <f t="shared" si="183"/>
        <v>4.5988207949700467E-2</v>
      </c>
      <c r="U265" s="19">
        <f t="shared" si="184"/>
        <v>0</v>
      </c>
      <c r="V265" s="19">
        <f t="shared" si="185"/>
        <v>0</v>
      </c>
      <c r="W265" s="19">
        <f t="shared" si="186"/>
        <v>0</v>
      </c>
      <c r="X265" s="19">
        <f t="shared" si="187"/>
        <v>0</v>
      </c>
      <c r="Y265" s="19">
        <f t="shared" si="188"/>
        <v>0</v>
      </c>
    </row>
    <row r="266" spans="1:25" outlineLevel="2">
      <c r="A266" s="1" t="s">
        <v>19</v>
      </c>
      <c r="B266">
        <v>41</v>
      </c>
      <c r="C266" s="5">
        <v>99.998572530999994</v>
      </c>
      <c r="D266" s="5">
        <v>3.25624838361</v>
      </c>
      <c r="E266" s="2">
        <v>0</v>
      </c>
      <c r="F266" s="2">
        <v>0</v>
      </c>
      <c r="G266" s="2">
        <v>106.19848402792201</v>
      </c>
      <c r="H266" s="2">
        <v>95.098642476980984</v>
      </c>
      <c r="I266" s="2">
        <v>40.999414737709998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P266" s="19">
        <f t="shared" si="189"/>
        <v>0</v>
      </c>
      <c r="Q266" s="19">
        <f t="shared" si="180"/>
        <v>0</v>
      </c>
      <c r="R266" s="19">
        <f t="shared" si="181"/>
        <v>2.8937631743403441E-2</v>
      </c>
      <c r="S266" s="19">
        <f t="shared" si="182"/>
        <v>5.5456096411747056E-2</v>
      </c>
      <c r="T266" s="19">
        <f t="shared" si="183"/>
        <v>9.7815664285950815E-2</v>
      </c>
      <c r="U266" s="19">
        <f t="shared" si="184"/>
        <v>0</v>
      </c>
      <c r="V266" s="19">
        <f t="shared" si="185"/>
        <v>0</v>
      </c>
      <c r="W266" s="19">
        <f t="shared" si="186"/>
        <v>0</v>
      </c>
      <c r="X266" s="19">
        <f t="shared" si="187"/>
        <v>0</v>
      </c>
      <c r="Y266" s="19">
        <f t="shared" si="188"/>
        <v>0</v>
      </c>
    </row>
    <row r="267" spans="1:25" outlineLevel="2">
      <c r="A267" s="1" t="s">
        <v>19</v>
      </c>
      <c r="B267">
        <v>42</v>
      </c>
      <c r="C267" s="5">
        <v>99.999758400999994</v>
      </c>
      <c r="D267" s="5">
        <v>9.7513881793300001</v>
      </c>
      <c r="E267" s="2">
        <v>0</v>
      </c>
      <c r="F267" s="2">
        <v>29.892197780574602</v>
      </c>
      <c r="G267" s="2">
        <v>78.299811827980577</v>
      </c>
      <c r="H267" s="2">
        <v>69.799831363897994</v>
      </c>
      <c r="I267" s="2">
        <v>15.299963035353001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P267" s="19">
        <f t="shared" si="189"/>
        <v>0</v>
      </c>
      <c r="Q267" s="19">
        <f t="shared" si="180"/>
        <v>2.1745534113494216E-3</v>
      </c>
      <c r="R267" s="19">
        <f t="shared" si="181"/>
        <v>2.1335625842456973E-2</v>
      </c>
      <c r="S267" s="19">
        <f t="shared" si="182"/>
        <v>4.0703274797818094E-2</v>
      </c>
      <c r="T267" s="19">
        <f t="shared" si="183"/>
        <v>3.650237588579628E-2</v>
      </c>
      <c r="U267" s="19">
        <f t="shared" si="184"/>
        <v>0</v>
      </c>
      <c r="V267" s="19">
        <f t="shared" si="185"/>
        <v>0</v>
      </c>
      <c r="W267" s="19">
        <f t="shared" si="186"/>
        <v>0</v>
      </c>
      <c r="X267" s="19">
        <f t="shared" si="187"/>
        <v>0</v>
      </c>
      <c r="Y267" s="19">
        <f t="shared" si="188"/>
        <v>0</v>
      </c>
    </row>
    <row r="268" spans="1:25" outlineLevel="2">
      <c r="A268" s="1" t="s">
        <v>19</v>
      </c>
      <c r="B268">
        <v>44</v>
      </c>
      <c r="C268" s="5">
        <v>99.999968631000002</v>
      </c>
      <c r="D268" s="5">
        <v>5.5734391099199998</v>
      </c>
      <c r="E268" s="2">
        <v>0</v>
      </c>
      <c r="F268" s="2">
        <v>899.29971789858303</v>
      </c>
      <c r="G268" s="2">
        <v>225.99993910605684</v>
      </c>
      <c r="H268" s="2">
        <v>78.399975406704002</v>
      </c>
      <c r="I268" s="2">
        <v>3.7999988079779996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P268" s="19">
        <f t="shared" si="189"/>
        <v>0</v>
      </c>
      <c r="Q268" s="19">
        <f t="shared" si="180"/>
        <v>6.5420926347970434E-2</v>
      </c>
      <c r="R268" s="19">
        <f t="shared" si="181"/>
        <v>6.1581886707188636E-2</v>
      </c>
      <c r="S268" s="19">
        <f t="shared" si="182"/>
        <v>4.57183875772482E-2</v>
      </c>
      <c r="T268" s="19">
        <f t="shared" si="183"/>
        <v>9.0659686257987381E-3</v>
      </c>
      <c r="U268" s="19">
        <f t="shared" si="184"/>
        <v>0</v>
      </c>
      <c r="V268" s="19">
        <f t="shared" si="185"/>
        <v>0</v>
      </c>
      <c r="W268" s="19">
        <f t="shared" si="186"/>
        <v>0</v>
      </c>
      <c r="X268" s="19">
        <f t="shared" si="187"/>
        <v>0</v>
      </c>
      <c r="Y268" s="19">
        <f t="shared" si="188"/>
        <v>0</v>
      </c>
    </row>
    <row r="269" spans="1:25" outlineLevel="2">
      <c r="A269" s="1" t="s">
        <v>19</v>
      </c>
      <c r="B269">
        <v>45</v>
      </c>
      <c r="C269" s="5">
        <v>26.638836048999998</v>
      </c>
      <c r="D269" s="5">
        <v>0.71005198624700006</v>
      </c>
      <c r="E269" s="2">
        <v>0</v>
      </c>
      <c r="F269" s="2">
        <v>3.4097710142720001</v>
      </c>
      <c r="G269" s="2">
        <v>1.2253864582539997</v>
      </c>
      <c r="H269" s="2">
        <v>2.9835496374879993</v>
      </c>
      <c r="I269" s="2">
        <v>0.63933206517599994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P269" s="19">
        <f t="shared" si="189"/>
        <v>0</v>
      </c>
      <c r="Q269" s="19">
        <f t="shared" si="180"/>
        <v>2.4804898072178574E-4</v>
      </c>
      <c r="R269" s="19">
        <f t="shared" si="181"/>
        <v>3.3390101936845416E-4</v>
      </c>
      <c r="S269" s="19">
        <f t="shared" si="182"/>
        <v>1.739835733047575E-3</v>
      </c>
      <c r="T269" s="19">
        <f t="shared" si="183"/>
        <v>1.5253069111979278E-3</v>
      </c>
      <c r="U269" s="19">
        <f t="shared" si="184"/>
        <v>0</v>
      </c>
      <c r="V269" s="19">
        <f t="shared" si="185"/>
        <v>0</v>
      </c>
      <c r="W269" s="19">
        <f t="shared" si="186"/>
        <v>0</v>
      </c>
      <c r="X269" s="19">
        <f t="shared" si="187"/>
        <v>0</v>
      </c>
      <c r="Y269" s="19">
        <f t="shared" si="188"/>
        <v>0</v>
      </c>
    </row>
    <row r="270" spans="1:25" outlineLevel="2">
      <c r="A270" s="1" t="s">
        <v>19</v>
      </c>
      <c r="B270">
        <v>46</v>
      </c>
      <c r="C270" s="5">
        <v>23.233197518400001</v>
      </c>
      <c r="D270" s="5">
        <v>0.81455771819099998</v>
      </c>
      <c r="E270" s="2">
        <v>0</v>
      </c>
      <c r="F270" s="2">
        <v>191.58093744344743</v>
      </c>
      <c r="G270" s="2">
        <v>47.16338166907299</v>
      </c>
      <c r="H270" s="2">
        <v>14.892479609294398</v>
      </c>
      <c r="I270" s="2">
        <v>2.6021181220607996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P270" s="19">
        <f t="shared" si="189"/>
        <v>0</v>
      </c>
      <c r="Q270" s="19">
        <f t="shared" si="180"/>
        <v>1.3936846802810116E-2</v>
      </c>
      <c r="R270" s="19">
        <f t="shared" si="181"/>
        <v>1.285137526214011E-2</v>
      </c>
      <c r="S270" s="19">
        <f t="shared" si="182"/>
        <v>8.6844434737637245E-3</v>
      </c>
      <c r="T270" s="19">
        <f t="shared" si="183"/>
        <v>6.2080864882634781E-3</v>
      </c>
      <c r="U270" s="19">
        <f t="shared" si="184"/>
        <v>0</v>
      </c>
      <c r="V270" s="19">
        <f t="shared" si="185"/>
        <v>0</v>
      </c>
      <c r="W270" s="19">
        <f t="shared" si="186"/>
        <v>0</v>
      </c>
      <c r="X270" s="19">
        <f t="shared" si="187"/>
        <v>0</v>
      </c>
      <c r="Y270" s="19">
        <f t="shared" si="188"/>
        <v>0</v>
      </c>
    </row>
    <row r="271" spans="1:25" outlineLevel="2">
      <c r="A271" s="1" t="s">
        <v>19</v>
      </c>
      <c r="B271">
        <v>60</v>
      </c>
      <c r="C271" s="5">
        <v>41.136309738100003</v>
      </c>
      <c r="D271" s="5">
        <v>1.55105124472</v>
      </c>
      <c r="E271" s="2">
        <v>0</v>
      </c>
      <c r="F271" s="2">
        <v>0</v>
      </c>
      <c r="G271" s="2">
        <v>26.491783471336404</v>
      </c>
      <c r="H271" s="2">
        <v>19.498610815859401</v>
      </c>
      <c r="I271" s="2">
        <v>8.6797613547391013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P271" s="19">
        <f t="shared" si="189"/>
        <v>0</v>
      </c>
      <c r="Q271" s="19">
        <f t="shared" si="180"/>
        <v>0</v>
      </c>
      <c r="R271" s="19">
        <f t="shared" si="181"/>
        <v>7.2186479998900526E-3</v>
      </c>
      <c r="S271" s="19">
        <f t="shared" si="182"/>
        <v>1.1370476098659031E-2</v>
      </c>
      <c r="T271" s="19">
        <f t="shared" si="183"/>
        <v>2.0708018106815322E-2</v>
      </c>
      <c r="U271" s="19">
        <f t="shared" si="184"/>
        <v>0</v>
      </c>
      <c r="V271" s="19">
        <f t="shared" si="185"/>
        <v>0</v>
      </c>
      <c r="W271" s="19">
        <f t="shared" si="186"/>
        <v>0</v>
      </c>
      <c r="X271" s="19">
        <f t="shared" si="187"/>
        <v>0</v>
      </c>
      <c r="Y271" s="19">
        <f t="shared" si="188"/>
        <v>0</v>
      </c>
    </row>
    <row r="272" spans="1:25" outlineLevel="2">
      <c r="A272" s="1" t="s">
        <v>19</v>
      </c>
      <c r="B272">
        <v>61</v>
      </c>
      <c r="C272" s="5">
        <v>70.817749147300006</v>
      </c>
      <c r="D272" s="5">
        <v>1.6951542744300001</v>
      </c>
      <c r="E272" s="2">
        <v>0</v>
      </c>
      <c r="F272" s="2">
        <v>0</v>
      </c>
      <c r="G272" s="2">
        <v>39.162215278456898</v>
      </c>
      <c r="H272" s="2">
        <v>25.990113937059103</v>
      </c>
      <c r="I272" s="2">
        <v>16.004811307289803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P272" s="19">
        <f t="shared" si="189"/>
        <v>0</v>
      </c>
      <c r="Q272" s="19">
        <f t="shared" si="180"/>
        <v>0</v>
      </c>
      <c r="R272" s="19">
        <f t="shared" si="181"/>
        <v>1.0671167054380109E-2</v>
      </c>
      <c r="S272" s="19">
        <f t="shared" si="182"/>
        <v>1.5155949934771314E-2</v>
      </c>
      <c r="T272" s="19">
        <f t="shared" si="183"/>
        <v>3.8183990181545953E-2</v>
      </c>
      <c r="U272" s="19">
        <f t="shared" si="184"/>
        <v>0</v>
      </c>
      <c r="V272" s="19">
        <f t="shared" si="185"/>
        <v>0</v>
      </c>
      <c r="W272" s="19">
        <f t="shared" si="186"/>
        <v>0</v>
      </c>
      <c r="X272" s="19">
        <f t="shared" si="187"/>
        <v>0</v>
      </c>
      <c r="Y272" s="19">
        <f t="shared" si="188"/>
        <v>0</v>
      </c>
    </row>
    <row r="273" spans="1:25" outlineLevel="1">
      <c r="A273" s="18" t="s">
        <v>73</v>
      </c>
      <c r="E273" s="2">
        <f t="shared" ref="E273:N273" si="190">SUBTOTAL(9,E245:E272)</f>
        <v>736.43619999999999</v>
      </c>
      <c r="F273" s="2">
        <f t="shared" si="190"/>
        <v>13746.361724003349</v>
      </c>
      <c r="G273" s="2">
        <f t="shared" si="190"/>
        <v>3669.9093059725174</v>
      </c>
      <c r="H273" s="2">
        <f t="shared" si="190"/>
        <v>1714.8455919237149</v>
      </c>
      <c r="I273" s="2">
        <f t="shared" si="190"/>
        <v>419.1497858446657</v>
      </c>
      <c r="J273" s="2">
        <f t="shared" si="190"/>
        <v>0</v>
      </c>
      <c r="K273" s="2">
        <f t="shared" si="190"/>
        <v>0</v>
      </c>
      <c r="L273" s="2">
        <f t="shared" si="190"/>
        <v>0</v>
      </c>
      <c r="M273" s="2">
        <f t="shared" si="190"/>
        <v>0</v>
      </c>
      <c r="N273" s="2">
        <f t="shared" si="190"/>
        <v>72.681443573748496</v>
      </c>
    </row>
    <row r="274" spans="1:25" outlineLevel="2">
      <c r="A274" s="1" t="s">
        <v>20</v>
      </c>
      <c r="B274">
        <v>213</v>
      </c>
      <c r="C274" s="5">
        <v>57.221578841400003</v>
      </c>
      <c r="D274" s="5">
        <v>2.3815010138199999</v>
      </c>
      <c r="E274" s="2">
        <v>1108.6870303947217</v>
      </c>
      <c r="F274" s="2">
        <v>4.3488399919464005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P274" s="19">
        <f>IF(E$293&gt;0, E274/E$293, 0)</f>
        <v>0.14069502582659382</v>
      </c>
      <c r="Q274" s="19">
        <f t="shared" ref="Q274:Q292" si="191">IF(F$293&gt;0, F274/F$293, 0)</f>
        <v>0.3135611512682735</v>
      </c>
      <c r="R274" s="19">
        <f t="shared" ref="R274:R292" si="192">IF(G$293&gt;0, G274/G$293, 0)</f>
        <v>0</v>
      </c>
      <c r="S274" s="19">
        <f t="shared" ref="S274:S292" si="193">IF(H$293&gt;0, H274/H$293, 0)</f>
        <v>0</v>
      </c>
      <c r="T274" s="19">
        <f t="shared" ref="T274:T292" si="194">IF(I$293&gt;0, I274/I$293, 0)</f>
        <v>0</v>
      </c>
      <c r="U274" s="19">
        <f t="shared" ref="U274:U292" si="195">IF(J$293&gt;0, J274/J$293, 0)</f>
        <v>0</v>
      </c>
      <c r="V274" s="19">
        <f t="shared" ref="V274:V292" si="196">IF(K$293&gt;0, K274/K$293, 0)</f>
        <v>0</v>
      </c>
      <c r="W274" s="19">
        <f t="shared" ref="W274:W292" si="197">IF(L$293&gt;0, L274/L$293, 0)</f>
        <v>0</v>
      </c>
      <c r="X274" s="19">
        <f t="shared" ref="X274:X292" si="198">IF(M$293&gt;0, M274/M$293, 0)</f>
        <v>0</v>
      </c>
      <c r="Y274" s="19">
        <f t="shared" ref="Y274:Y292" si="199">IF(N$293&gt;0, N274/N$293, 0)</f>
        <v>0</v>
      </c>
    </row>
    <row r="275" spans="1:25" outlineLevel="2">
      <c r="A275" s="1" t="s">
        <v>20</v>
      </c>
      <c r="B275">
        <v>219</v>
      </c>
      <c r="C275" s="5">
        <v>99.995780378999996</v>
      </c>
      <c r="D275" s="5">
        <v>2.2567477792499999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P275" s="19">
        <f t="shared" ref="P275:P292" si="200">IF(E$293&gt;0, E275/E$293, 0)</f>
        <v>0</v>
      </c>
      <c r="Q275" s="19">
        <f t="shared" si="191"/>
        <v>0</v>
      </c>
      <c r="R275" s="19">
        <f t="shared" si="192"/>
        <v>0</v>
      </c>
      <c r="S275" s="19">
        <f t="shared" si="193"/>
        <v>0</v>
      </c>
      <c r="T275" s="19">
        <f t="shared" si="194"/>
        <v>0</v>
      </c>
      <c r="U275" s="19">
        <f t="shared" si="195"/>
        <v>0</v>
      </c>
      <c r="V275" s="19">
        <f t="shared" si="196"/>
        <v>0</v>
      </c>
      <c r="W275" s="19">
        <f t="shared" si="197"/>
        <v>0</v>
      </c>
      <c r="X275" s="19">
        <f t="shared" si="198"/>
        <v>0</v>
      </c>
      <c r="Y275" s="19">
        <f t="shared" si="199"/>
        <v>0</v>
      </c>
    </row>
    <row r="276" spans="1:25" outlineLevel="2">
      <c r="A276" s="1" t="s">
        <v>20</v>
      </c>
      <c r="B276">
        <v>220</v>
      </c>
      <c r="C276" s="5">
        <v>100</v>
      </c>
      <c r="D276" s="5">
        <v>1.3740767967900001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P276" s="19">
        <f t="shared" si="200"/>
        <v>0</v>
      </c>
      <c r="Q276" s="19">
        <f t="shared" si="191"/>
        <v>0</v>
      </c>
      <c r="R276" s="19">
        <f t="shared" si="192"/>
        <v>0</v>
      </c>
      <c r="S276" s="19">
        <f t="shared" si="193"/>
        <v>0</v>
      </c>
      <c r="T276" s="19">
        <f t="shared" si="194"/>
        <v>0</v>
      </c>
      <c r="U276" s="19">
        <f t="shared" si="195"/>
        <v>0</v>
      </c>
      <c r="V276" s="19">
        <f t="shared" si="196"/>
        <v>0</v>
      </c>
      <c r="W276" s="19">
        <f t="shared" si="197"/>
        <v>0</v>
      </c>
      <c r="X276" s="19">
        <f t="shared" si="198"/>
        <v>0</v>
      </c>
      <c r="Y276" s="19">
        <f t="shared" si="199"/>
        <v>0</v>
      </c>
    </row>
    <row r="277" spans="1:25" outlineLevel="2">
      <c r="A277" s="1" t="s">
        <v>20</v>
      </c>
      <c r="B277">
        <v>221</v>
      </c>
      <c r="C277" s="5">
        <v>99.995824338399999</v>
      </c>
      <c r="D277" s="5">
        <v>9.9559076030899991</v>
      </c>
      <c r="E277" s="2">
        <v>5509.0367716609562</v>
      </c>
      <c r="F277" s="2">
        <v>0.99995824338399997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P277" s="19">
        <f t="shared" si="200"/>
        <v>0.69910989271024437</v>
      </c>
      <c r="Q277" s="19">
        <f t="shared" si="191"/>
        <v>7.2099239934406839E-2</v>
      </c>
      <c r="R277" s="19">
        <f t="shared" si="192"/>
        <v>0</v>
      </c>
      <c r="S277" s="19">
        <f t="shared" si="193"/>
        <v>0</v>
      </c>
      <c r="T277" s="19">
        <f t="shared" si="194"/>
        <v>0</v>
      </c>
      <c r="U277" s="19">
        <f t="shared" si="195"/>
        <v>0</v>
      </c>
      <c r="V277" s="19">
        <f t="shared" si="196"/>
        <v>0</v>
      </c>
      <c r="W277" s="19">
        <f t="shared" si="197"/>
        <v>0</v>
      </c>
      <c r="X277" s="19">
        <f t="shared" si="198"/>
        <v>0</v>
      </c>
      <c r="Y277" s="19">
        <f t="shared" si="199"/>
        <v>0</v>
      </c>
    </row>
    <row r="278" spans="1:25" outlineLevel="2">
      <c r="A278" s="1" t="s">
        <v>20</v>
      </c>
      <c r="B278">
        <v>222</v>
      </c>
      <c r="C278" s="5">
        <v>100</v>
      </c>
      <c r="D278" s="5">
        <v>2.52486305036</v>
      </c>
      <c r="E278" s="2">
        <v>763.4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P278" s="19">
        <f t="shared" si="200"/>
        <v>9.6877278953810944E-2</v>
      </c>
      <c r="Q278" s="19">
        <f t="shared" si="191"/>
        <v>0</v>
      </c>
      <c r="R278" s="19">
        <f t="shared" si="192"/>
        <v>0</v>
      </c>
      <c r="S278" s="19">
        <f t="shared" si="193"/>
        <v>0</v>
      </c>
      <c r="T278" s="19">
        <f t="shared" si="194"/>
        <v>0</v>
      </c>
      <c r="U278" s="19">
        <f t="shared" si="195"/>
        <v>0</v>
      </c>
      <c r="V278" s="19">
        <f t="shared" si="196"/>
        <v>0</v>
      </c>
      <c r="W278" s="19">
        <f t="shared" si="197"/>
        <v>0</v>
      </c>
      <c r="X278" s="19">
        <f t="shared" si="198"/>
        <v>0</v>
      </c>
      <c r="Y278" s="19">
        <f t="shared" si="199"/>
        <v>0</v>
      </c>
    </row>
    <row r="279" spans="1:25" outlineLevel="2">
      <c r="A279" s="1" t="s">
        <v>20</v>
      </c>
      <c r="B279">
        <v>223</v>
      </c>
      <c r="C279" s="5">
        <v>100</v>
      </c>
      <c r="D279" s="5">
        <v>1.1920576465999999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P279" s="19">
        <f t="shared" si="200"/>
        <v>0</v>
      </c>
      <c r="Q279" s="19">
        <f t="shared" si="191"/>
        <v>0</v>
      </c>
      <c r="R279" s="19">
        <f t="shared" si="192"/>
        <v>0</v>
      </c>
      <c r="S279" s="19">
        <f t="shared" si="193"/>
        <v>0</v>
      </c>
      <c r="T279" s="19">
        <f t="shared" si="194"/>
        <v>0</v>
      </c>
      <c r="U279" s="19">
        <f t="shared" si="195"/>
        <v>0</v>
      </c>
      <c r="V279" s="19">
        <f t="shared" si="196"/>
        <v>0</v>
      </c>
      <c r="W279" s="19">
        <f t="shared" si="197"/>
        <v>0</v>
      </c>
      <c r="X279" s="19">
        <f t="shared" si="198"/>
        <v>0</v>
      </c>
      <c r="Y279" s="19">
        <f t="shared" si="199"/>
        <v>0</v>
      </c>
    </row>
    <row r="280" spans="1:25" outlineLevel="2">
      <c r="A280" s="1" t="s">
        <v>20</v>
      </c>
      <c r="B280">
        <v>224</v>
      </c>
      <c r="C280" s="5">
        <v>99.989766379100004</v>
      </c>
      <c r="D280" s="5">
        <v>23.673511772099999</v>
      </c>
      <c r="E280" s="2">
        <v>498.94888623662121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P280" s="19">
        <f t="shared" si="200"/>
        <v>6.3317802509350846E-2</v>
      </c>
      <c r="Q280" s="19">
        <f t="shared" si="191"/>
        <v>0</v>
      </c>
      <c r="R280" s="19">
        <f t="shared" si="192"/>
        <v>0</v>
      </c>
      <c r="S280" s="19">
        <f t="shared" si="193"/>
        <v>0</v>
      </c>
      <c r="T280" s="19">
        <f t="shared" si="194"/>
        <v>0</v>
      </c>
      <c r="U280" s="19">
        <f t="shared" si="195"/>
        <v>0</v>
      </c>
      <c r="V280" s="19">
        <f t="shared" si="196"/>
        <v>0</v>
      </c>
      <c r="W280" s="19">
        <f t="shared" si="197"/>
        <v>0</v>
      </c>
      <c r="X280" s="19">
        <f t="shared" si="198"/>
        <v>0</v>
      </c>
      <c r="Y280" s="19">
        <f t="shared" si="199"/>
        <v>0</v>
      </c>
    </row>
    <row r="281" spans="1:25" outlineLevel="2">
      <c r="A281" s="1" t="s">
        <v>20</v>
      </c>
      <c r="B281">
        <v>225</v>
      </c>
      <c r="C281" s="5">
        <v>99.997069709900003</v>
      </c>
      <c r="D281" s="5">
        <v>3.5251474305400001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P281" s="19">
        <f t="shared" si="200"/>
        <v>0</v>
      </c>
      <c r="Q281" s="19">
        <f t="shared" si="191"/>
        <v>0</v>
      </c>
      <c r="R281" s="19">
        <f t="shared" si="192"/>
        <v>0</v>
      </c>
      <c r="S281" s="19">
        <f t="shared" si="193"/>
        <v>0</v>
      </c>
      <c r="T281" s="19">
        <f t="shared" si="194"/>
        <v>0</v>
      </c>
      <c r="U281" s="19">
        <f t="shared" si="195"/>
        <v>0</v>
      </c>
      <c r="V281" s="19">
        <f t="shared" si="196"/>
        <v>0</v>
      </c>
      <c r="W281" s="19">
        <f t="shared" si="197"/>
        <v>0</v>
      </c>
      <c r="X281" s="19">
        <f t="shared" si="198"/>
        <v>0</v>
      </c>
      <c r="Y281" s="19">
        <f t="shared" si="199"/>
        <v>0</v>
      </c>
    </row>
    <row r="282" spans="1:25" outlineLevel="2">
      <c r="A282" s="1" t="s">
        <v>20</v>
      </c>
      <c r="B282">
        <v>226</v>
      </c>
      <c r="C282" s="5">
        <v>100</v>
      </c>
      <c r="D282" s="5">
        <v>9.0227607962699992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P282" s="19">
        <f t="shared" si="200"/>
        <v>0</v>
      </c>
      <c r="Q282" s="19">
        <f t="shared" si="191"/>
        <v>0</v>
      </c>
      <c r="R282" s="19">
        <f t="shared" si="192"/>
        <v>0</v>
      </c>
      <c r="S282" s="19">
        <f t="shared" si="193"/>
        <v>0</v>
      </c>
      <c r="T282" s="19">
        <f t="shared" si="194"/>
        <v>0</v>
      </c>
      <c r="U282" s="19">
        <f t="shared" si="195"/>
        <v>0</v>
      </c>
      <c r="V282" s="19">
        <f t="shared" si="196"/>
        <v>0</v>
      </c>
      <c r="W282" s="19">
        <f t="shared" si="197"/>
        <v>0</v>
      </c>
      <c r="X282" s="19">
        <f t="shared" si="198"/>
        <v>0</v>
      </c>
      <c r="Y282" s="19">
        <f t="shared" si="199"/>
        <v>0</v>
      </c>
    </row>
    <row r="283" spans="1:25" outlineLevel="2">
      <c r="A283" s="1" t="s">
        <v>20</v>
      </c>
      <c r="B283">
        <v>227</v>
      </c>
      <c r="C283" s="5">
        <v>99.999298510800003</v>
      </c>
      <c r="D283" s="5">
        <v>3.0365491764199999</v>
      </c>
      <c r="E283" s="2">
        <v>0</v>
      </c>
      <c r="F283" s="2">
        <v>7.1999494927776002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P283" s="19">
        <f t="shared" si="200"/>
        <v>0</v>
      </c>
      <c r="Q283" s="19">
        <f t="shared" si="191"/>
        <v>0.51913256321447832</v>
      </c>
      <c r="R283" s="19">
        <f t="shared" si="192"/>
        <v>0</v>
      </c>
      <c r="S283" s="19">
        <f t="shared" si="193"/>
        <v>0</v>
      </c>
      <c r="T283" s="19">
        <f t="shared" si="194"/>
        <v>0</v>
      </c>
      <c r="U283" s="19">
        <f t="shared" si="195"/>
        <v>0</v>
      </c>
      <c r="V283" s="19">
        <f t="shared" si="196"/>
        <v>0</v>
      </c>
      <c r="W283" s="19">
        <f t="shared" si="197"/>
        <v>0</v>
      </c>
      <c r="X283" s="19">
        <f t="shared" si="198"/>
        <v>0</v>
      </c>
      <c r="Y283" s="19">
        <f t="shared" si="199"/>
        <v>0</v>
      </c>
    </row>
    <row r="284" spans="1:25" outlineLevel="2">
      <c r="A284" s="1" t="s">
        <v>20</v>
      </c>
      <c r="B284">
        <v>228</v>
      </c>
      <c r="C284" s="5">
        <v>76.876375175500002</v>
      </c>
      <c r="D284" s="5">
        <v>11.3315641965</v>
      </c>
      <c r="E284" s="2">
        <v>0</v>
      </c>
      <c r="F284" s="2">
        <v>1.230022002808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P284" s="19">
        <f t="shared" si="200"/>
        <v>0</v>
      </c>
      <c r="Q284" s="19">
        <f t="shared" si="191"/>
        <v>8.8687354788871617E-2</v>
      </c>
      <c r="R284" s="19">
        <f t="shared" si="192"/>
        <v>0</v>
      </c>
      <c r="S284" s="19">
        <f t="shared" si="193"/>
        <v>0</v>
      </c>
      <c r="T284" s="19">
        <f t="shared" si="194"/>
        <v>0</v>
      </c>
      <c r="U284" s="19">
        <f t="shared" si="195"/>
        <v>0</v>
      </c>
      <c r="V284" s="19">
        <f t="shared" si="196"/>
        <v>0</v>
      </c>
      <c r="W284" s="19">
        <f t="shared" si="197"/>
        <v>0</v>
      </c>
      <c r="X284" s="19">
        <f t="shared" si="198"/>
        <v>0</v>
      </c>
      <c r="Y284" s="19">
        <f t="shared" si="199"/>
        <v>0</v>
      </c>
    </row>
    <row r="285" spans="1:25" outlineLevel="2">
      <c r="A285" s="1" t="s">
        <v>20</v>
      </c>
      <c r="B285">
        <v>230</v>
      </c>
      <c r="C285" s="5">
        <v>62.236562665199997</v>
      </c>
      <c r="D285" s="5">
        <v>3.1352206728600001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P285" s="19">
        <f t="shared" si="200"/>
        <v>0</v>
      </c>
      <c r="Q285" s="19">
        <f t="shared" si="191"/>
        <v>0</v>
      </c>
      <c r="R285" s="19">
        <f t="shared" si="192"/>
        <v>0</v>
      </c>
      <c r="S285" s="19">
        <f t="shared" si="193"/>
        <v>0</v>
      </c>
      <c r="T285" s="19">
        <f t="shared" si="194"/>
        <v>0</v>
      </c>
      <c r="U285" s="19">
        <f t="shared" si="195"/>
        <v>0</v>
      </c>
      <c r="V285" s="19">
        <f t="shared" si="196"/>
        <v>0</v>
      </c>
      <c r="W285" s="19">
        <f t="shared" si="197"/>
        <v>0</v>
      </c>
      <c r="X285" s="19">
        <f t="shared" si="198"/>
        <v>0</v>
      </c>
      <c r="Y285" s="19">
        <f t="shared" si="199"/>
        <v>0</v>
      </c>
    </row>
    <row r="286" spans="1:25" outlineLevel="2">
      <c r="A286" s="1" t="s">
        <v>20</v>
      </c>
      <c r="B286">
        <v>231</v>
      </c>
      <c r="C286" s="5">
        <v>77.955902355500001</v>
      </c>
      <c r="D286" s="5">
        <v>2.5868189237000001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P286" s="19">
        <f t="shared" si="200"/>
        <v>0</v>
      </c>
      <c r="Q286" s="19">
        <f t="shared" si="191"/>
        <v>0</v>
      </c>
      <c r="R286" s="19">
        <f t="shared" si="192"/>
        <v>0</v>
      </c>
      <c r="S286" s="19">
        <f t="shared" si="193"/>
        <v>0</v>
      </c>
      <c r="T286" s="19">
        <f t="shared" si="194"/>
        <v>0</v>
      </c>
      <c r="U286" s="19">
        <f t="shared" si="195"/>
        <v>0</v>
      </c>
      <c r="V286" s="19">
        <f t="shared" si="196"/>
        <v>0</v>
      </c>
      <c r="W286" s="19">
        <f t="shared" si="197"/>
        <v>0</v>
      </c>
      <c r="X286" s="19">
        <f t="shared" si="198"/>
        <v>0</v>
      </c>
      <c r="Y286" s="19">
        <f t="shared" si="199"/>
        <v>0</v>
      </c>
    </row>
    <row r="287" spans="1:25" outlineLevel="2">
      <c r="A287" s="1" t="s">
        <v>20</v>
      </c>
      <c r="B287">
        <v>233</v>
      </c>
      <c r="C287" s="5">
        <v>99.988548801099995</v>
      </c>
      <c r="D287" s="5">
        <v>1.37150763889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P287" s="19">
        <f t="shared" si="200"/>
        <v>0</v>
      </c>
      <c r="Q287" s="19">
        <f t="shared" si="191"/>
        <v>0</v>
      </c>
      <c r="R287" s="19">
        <f t="shared" si="192"/>
        <v>0</v>
      </c>
      <c r="S287" s="19">
        <f t="shared" si="193"/>
        <v>0</v>
      </c>
      <c r="T287" s="19">
        <f t="shared" si="194"/>
        <v>0</v>
      </c>
      <c r="U287" s="19">
        <f t="shared" si="195"/>
        <v>0</v>
      </c>
      <c r="V287" s="19">
        <f t="shared" si="196"/>
        <v>0</v>
      </c>
      <c r="W287" s="19">
        <f t="shared" si="197"/>
        <v>0</v>
      </c>
      <c r="X287" s="19">
        <f t="shared" si="198"/>
        <v>0</v>
      </c>
      <c r="Y287" s="19">
        <f t="shared" si="199"/>
        <v>0</v>
      </c>
    </row>
    <row r="288" spans="1:25" outlineLevel="2">
      <c r="A288" s="1" t="s">
        <v>20</v>
      </c>
      <c r="B288">
        <v>234</v>
      </c>
      <c r="C288" s="5">
        <v>99.998487976999996</v>
      </c>
      <c r="D288" s="5">
        <v>9.0009391282200006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P288" s="19">
        <f t="shared" si="200"/>
        <v>0</v>
      </c>
      <c r="Q288" s="19">
        <f t="shared" si="191"/>
        <v>0</v>
      </c>
      <c r="R288" s="19">
        <f t="shared" si="192"/>
        <v>0</v>
      </c>
      <c r="S288" s="19">
        <f t="shared" si="193"/>
        <v>0</v>
      </c>
      <c r="T288" s="19">
        <f t="shared" si="194"/>
        <v>0</v>
      </c>
      <c r="U288" s="19">
        <f t="shared" si="195"/>
        <v>0</v>
      </c>
      <c r="V288" s="19">
        <f t="shared" si="196"/>
        <v>0</v>
      </c>
      <c r="W288" s="19">
        <f t="shared" si="197"/>
        <v>0</v>
      </c>
      <c r="X288" s="19">
        <f t="shared" si="198"/>
        <v>0</v>
      </c>
      <c r="Y288" s="19">
        <f t="shared" si="199"/>
        <v>0</v>
      </c>
    </row>
    <row r="289" spans="1:25" outlineLevel="2">
      <c r="A289" s="1" t="s">
        <v>20</v>
      </c>
      <c r="B289">
        <v>235</v>
      </c>
      <c r="C289" s="5">
        <v>45.118155712499998</v>
      </c>
      <c r="D289" s="5">
        <v>4.9520274502800001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P289" s="19">
        <f t="shared" si="200"/>
        <v>0</v>
      </c>
      <c r="Q289" s="19">
        <f t="shared" si="191"/>
        <v>0</v>
      </c>
      <c r="R289" s="19">
        <f t="shared" si="192"/>
        <v>0</v>
      </c>
      <c r="S289" s="19">
        <f t="shared" si="193"/>
        <v>0</v>
      </c>
      <c r="T289" s="19">
        <f t="shared" si="194"/>
        <v>0</v>
      </c>
      <c r="U289" s="19">
        <f t="shared" si="195"/>
        <v>0</v>
      </c>
      <c r="V289" s="19">
        <f t="shared" si="196"/>
        <v>0</v>
      </c>
      <c r="W289" s="19">
        <f t="shared" si="197"/>
        <v>0</v>
      </c>
      <c r="X289" s="19">
        <f t="shared" si="198"/>
        <v>0</v>
      </c>
      <c r="Y289" s="19">
        <f t="shared" si="199"/>
        <v>0</v>
      </c>
    </row>
    <row r="290" spans="1:25" outlineLevel="2">
      <c r="A290" s="1" t="s">
        <v>20</v>
      </c>
      <c r="B290">
        <v>238</v>
      </c>
      <c r="C290" s="5">
        <v>3.7364360913499999</v>
      </c>
      <c r="D290" s="5">
        <v>0.380138715929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P290" s="19">
        <f t="shared" si="200"/>
        <v>0</v>
      </c>
      <c r="Q290" s="19">
        <f t="shared" si="191"/>
        <v>0</v>
      </c>
      <c r="R290" s="19">
        <f t="shared" si="192"/>
        <v>0</v>
      </c>
      <c r="S290" s="19">
        <f t="shared" si="193"/>
        <v>0</v>
      </c>
      <c r="T290" s="19">
        <f t="shared" si="194"/>
        <v>0</v>
      </c>
      <c r="U290" s="19">
        <f t="shared" si="195"/>
        <v>0</v>
      </c>
      <c r="V290" s="19">
        <f t="shared" si="196"/>
        <v>0</v>
      </c>
      <c r="W290" s="19">
        <f t="shared" si="197"/>
        <v>0</v>
      </c>
      <c r="X290" s="19">
        <f t="shared" si="198"/>
        <v>0</v>
      </c>
      <c r="Y290" s="19">
        <f t="shared" si="199"/>
        <v>0</v>
      </c>
    </row>
    <row r="291" spans="1:25" outlineLevel="2">
      <c r="A291" s="1" t="s">
        <v>20</v>
      </c>
      <c r="B291">
        <v>251</v>
      </c>
      <c r="C291" s="5">
        <v>37.353767130400001</v>
      </c>
      <c r="D291" s="5">
        <v>0.656860731029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P291" s="19">
        <f t="shared" si="200"/>
        <v>0</v>
      </c>
      <c r="Q291" s="19">
        <f t="shared" si="191"/>
        <v>0</v>
      </c>
      <c r="R291" s="19">
        <f t="shared" si="192"/>
        <v>0</v>
      </c>
      <c r="S291" s="19">
        <f t="shared" si="193"/>
        <v>0</v>
      </c>
      <c r="T291" s="19">
        <f t="shared" si="194"/>
        <v>0</v>
      </c>
      <c r="U291" s="19">
        <f t="shared" si="195"/>
        <v>0</v>
      </c>
      <c r="V291" s="19">
        <f t="shared" si="196"/>
        <v>0</v>
      </c>
      <c r="W291" s="19">
        <f t="shared" si="197"/>
        <v>0</v>
      </c>
      <c r="X291" s="19">
        <f t="shared" si="198"/>
        <v>0</v>
      </c>
      <c r="Y291" s="19">
        <f t="shared" si="199"/>
        <v>0</v>
      </c>
    </row>
    <row r="292" spans="1:25" outlineLevel="2">
      <c r="A292" s="1" t="s">
        <v>20</v>
      </c>
      <c r="B292">
        <v>321</v>
      </c>
      <c r="C292" s="5">
        <v>6.0281898114099999</v>
      </c>
      <c r="D292" s="5">
        <v>0.53687201141399998</v>
      </c>
      <c r="E292" s="2">
        <v>0</v>
      </c>
      <c r="F292" s="2">
        <v>9.0422847171149984E-2</v>
      </c>
      <c r="G292" s="2">
        <v>6.0281898114100006E-3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P292" s="19">
        <f t="shared" si="200"/>
        <v>0</v>
      </c>
      <c r="Q292" s="19">
        <f t="shared" si="191"/>
        <v>6.5196907939698663E-3</v>
      </c>
      <c r="R292" s="19">
        <f t="shared" si="192"/>
        <v>1</v>
      </c>
      <c r="S292" s="19">
        <f t="shared" si="193"/>
        <v>0</v>
      </c>
      <c r="T292" s="19">
        <f t="shared" si="194"/>
        <v>0</v>
      </c>
      <c r="U292" s="19">
        <f t="shared" si="195"/>
        <v>0</v>
      </c>
      <c r="V292" s="19">
        <f t="shared" si="196"/>
        <v>0</v>
      </c>
      <c r="W292" s="19">
        <f t="shared" si="197"/>
        <v>0</v>
      </c>
      <c r="X292" s="19">
        <f t="shared" si="198"/>
        <v>0</v>
      </c>
      <c r="Y292" s="19">
        <f t="shared" si="199"/>
        <v>0</v>
      </c>
    </row>
    <row r="293" spans="1:25" outlineLevel="1">
      <c r="A293" s="18" t="s">
        <v>74</v>
      </c>
      <c r="E293" s="2">
        <f t="shared" ref="E293:N293" si="201">SUBTOTAL(9,E274:E292)</f>
        <v>7880.0726882922991</v>
      </c>
      <c r="F293" s="2">
        <f t="shared" si="201"/>
        <v>13.86919257808715</v>
      </c>
      <c r="G293" s="2">
        <f t="shared" si="201"/>
        <v>6.0281898114100006E-3</v>
      </c>
      <c r="H293" s="2">
        <f t="shared" si="201"/>
        <v>0</v>
      </c>
      <c r="I293" s="2">
        <f t="shared" si="201"/>
        <v>0</v>
      </c>
      <c r="J293" s="2">
        <f t="shared" si="201"/>
        <v>0</v>
      </c>
      <c r="K293" s="2">
        <f t="shared" si="201"/>
        <v>0</v>
      </c>
      <c r="L293" s="2">
        <f t="shared" si="201"/>
        <v>0</v>
      </c>
      <c r="M293" s="2">
        <f t="shared" si="201"/>
        <v>0</v>
      </c>
      <c r="N293" s="2">
        <f t="shared" si="201"/>
        <v>0</v>
      </c>
    </row>
    <row r="294" spans="1:25" outlineLevel="2">
      <c r="A294" s="1" t="s">
        <v>21</v>
      </c>
      <c r="B294">
        <v>228</v>
      </c>
      <c r="C294" s="5">
        <v>23.123540783199999</v>
      </c>
      <c r="D294" s="5">
        <v>4.1791828198500003</v>
      </c>
      <c r="E294" s="2">
        <v>0</v>
      </c>
      <c r="F294" s="2">
        <v>0.36997665253119999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P294" s="19">
        <f>IF(E$315&gt;0, E294/E$315, 0)</f>
        <v>0</v>
      </c>
      <c r="Q294" s="19">
        <f t="shared" ref="Q294:Q314" si="202">IF(F$315&gt;0, F294/F$315, 0)</f>
        <v>4.2844458731397989E-4</v>
      </c>
      <c r="R294" s="19">
        <f t="shared" ref="R294:R314" si="203">IF(G$315&gt;0, G294/G$315, 0)</f>
        <v>0</v>
      </c>
      <c r="S294" s="19">
        <f t="shared" ref="S294:S314" si="204">IF(H$315&gt;0, H294/H$315, 0)</f>
        <v>0</v>
      </c>
      <c r="T294" s="19">
        <f t="shared" ref="T294:T314" si="205">IF(I$315&gt;0, I294/I$315, 0)</f>
        <v>0</v>
      </c>
      <c r="U294" s="19">
        <f t="shared" ref="U294:U314" si="206">IF(J$315&gt;0, J294/J$315, 0)</f>
        <v>0</v>
      </c>
      <c r="V294" s="19">
        <f t="shared" ref="V294:V314" si="207">IF(K$315&gt;0, K294/K$315, 0)</f>
        <v>0</v>
      </c>
      <c r="W294" s="19">
        <f t="shared" ref="W294:W314" si="208">IF(L$315&gt;0, L294/L$315, 0)</f>
        <v>0</v>
      </c>
      <c r="X294" s="19">
        <f t="shared" ref="X294:X314" si="209">IF(M$315&gt;0, M294/M$315, 0)</f>
        <v>0</v>
      </c>
      <c r="Y294" s="19">
        <f t="shared" ref="Y294:Y314" si="210">IF(N$315&gt;0, N294/N$315, 0)</f>
        <v>0</v>
      </c>
    </row>
    <row r="295" spans="1:25" outlineLevel="2">
      <c r="A295" s="1" t="s">
        <v>21</v>
      </c>
      <c r="B295">
        <v>229</v>
      </c>
      <c r="C295" s="5">
        <v>99.999388137400004</v>
      </c>
      <c r="D295" s="5">
        <v>5.6958539973400004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P295" s="19">
        <f t="shared" ref="P295:P314" si="211">IF(E$315&gt;0, E295/E$315, 0)</f>
        <v>0</v>
      </c>
      <c r="Q295" s="19">
        <f t="shared" si="202"/>
        <v>0</v>
      </c>
      <c r="R295" s="19">
        <f t="shared" si="203"/>
        <v>0</v>
      </c>
      <c r="S295" s="19">
        <f t="shared" si="204"/>
        <v>0</v>
      </c>
      <c r="T295" s="19">
        <f t="shared" si="205"/>
        <v>0</v>
      </c>
      <c r="U295" s="19">
        <f t="shared" si="206"/>
        <v>0</v>
      </c>
      <c r="V295" s="19">
        <f t="shared" si="207"/>
        <v>0</v>
      </c>
      <c r="W295" s="19">
        <f t="shared" si="208"/>
        <v>0</v>
      </c>
      <c r="X295" s="19">
        <f t="shared" si="209"/>
        <v>0</v>
      </c>
      <c r="Y295" s="19">
        <f t="shared" si="210"/>
        <v>0</v>
      </c>
    </row>
    <row r="296" spans="1:25" outlineLevel="2">
      <c r="A296" s="1" t="s">
        <v>21</v>
      </c>
      <c r="B296">
        <v>230</v>
      </c>
      <c r="C296" s="5">
        <v>37.763437334800003</v>
      </c>
      <c r="D296" s="5">
        <v>2.3325668633599999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P296" s="19">
        <f t="shared" si="211"/>
        <v>0</v>
      </c>
      <c r="Q296" s="19">
        <f t="shared" si="202"/>
        <v>0</v>
      </c>
      <c r="R296" s="19">
        <f t="shared" si="203"/>
        <v>0</v>
      </c>
      <c r="S296" s="19">
        <f t="shared" si="204"/>
        <v>0</v>
      </c>
      <c r="T296" s="19">
        <f t="shared" si="205"/>
        <v>0</v>
      </c>
      <c r="U296" s="19">
        <f t="shared" si="206"/>
        <v>0</v>
      </c>
      <c r="V296" s="19">
        <f t="shared" si="207"/>
        <v>0</v>
      </c>
      <c r="W296" s="19">
        <f t="shared" si="208"/>
        <v>0</v>
      </c>
      <c r="X296" s="19">
        <f t="shared" si="209"/>
        <v>0</v>
      </c>
      <c r="Y296" s="19">
        <f t="shared" si="210"/>
        <v>0</v>
      </c>
    </row>
    <row r="297" spans="1:25" outlineLevel="2">
      <c r="A297" s="1" t="s">
        <v>21</v>
      </c>
      <c r="B297">
        <v>231</v>
      </c>
      <c r="C297" s="5">
        <v>22.0413208746</v>
      </c>
      <c r="D297" s="5">
        <v>0.89679816584000005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P297" s="19">
        <f t="shared" si="211"/>
        <v>0</v>
      </c>
      <c r="Q297" s="19">
        <f t="shared" si="202"/>
        <v>0</v>
      </c>
      <c r="R297" s="19">
        <f t="shared" si="203"/>
        <v>0</v>
      </c>
      <c r="S297" s="19">
        <f t="shared" si="204"/>
        <v>0</v>
      </c>
      <c r="T297" s="19">
        <f t="shared" si="205"/>
        <v>0</v>
      </c>
      <c r="U297" s="19">
        <f t="shared" si="206"/>
        <v>0</v>
      </c>
      <c r="V297" s="19">
        <f t="shared" si="207"/>
        <v>0</v>
      </c>
      <c r="W297" s="19">
        <f t="shared" si="208"/>
        <v>0</v>
      </c>
      <c r="X297" s="19">
        <f t="shared" si="209"/>
        <v>0</v>
      </c>
      <c r="Y297" s="19">
        <f t="shared" si="210"/>
        <v>0</v>
      </c>
    </row>
    <row r="298" spans="1:25" outlineLevel="2">
      <c r="A298" s="1" t="s">
        <v>21</v>
      </c>
      <c r="B298">
        <v>232</v>
      </c>
      <c r="C298" s="5">
        <v>99.999705418900007</v>
      </c>
      <c r="D298" s="5">
        <v>10.930878061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P298" s="19">
        <f t="shared" si="211"/>
        <v>0</v>
      </c>
      <c r="Q298" s="19">
        <f t="shared" si="202"/>
        <v>0</v>
      </c>
      <c r="R298" s="19">
        <f t="shared" si="203"/>
        <v>0</v>
      </c>
      <c r="S298" s="19">
        <f t="shared" si="204"/>
        <v>0</v>
      </c>
      <c r="T298" s="19">
        <f t="shared" si="205"/>
        <v>0</v>
      </c>
      <c r="U298" s="19">
        <f t="shared" si="206"/>
        <v>0</v>
      </c>
      <c r="V298" s="19">
        <f t="shared" si="207"/>
        <v>0</v>
      </c>
      <c r="W298" s="19">
        <f t="shared" si="208"/>
        <v>0</v>
      </c>
      <c r="X298" s="19">
        <f t="shared" si="209"/>
        <v>0</v>
      </c>
      <c r="Y298" s="19">
        <f t="shared" si="210"/>
        <v>0</v>
      </c>
    </row>
    <row r="299" spans="1:25" outlineLevel="2">
      <c r="A299" s="1" t="s">
        <v>21</v>
      </c>
      <c r="B299">
        <v>235</v>
      </c>
      <c r="C299" s="5">
        <v>54.8818442862</v>
      </c>
      <c r="D299" s="5">
        <v>7.3858497724000003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P299" s="19">
        <f t="shared" si="211"/>
        <v>0</v>
      </c>
      <c r="Q299" s="19">
        <f t="shared" si="202"/>
        <v>0</v>
      </c>
      <c r="R299" s="19">
        <f t="shared" si="203"/>
        <v>0</v>
      </c>
      <c r="S299" s="19">
        <f t="shared" si="204"/>
        <v>0</v>
      </c>
      <c r="T299" s="19">
        <f t="shared" si="205"/>
        <v>0</v>
      </c>
      <c r="U299" s="19">
        <f t="shared" si="206"/>
        <v>0</v>
      </c>
      <c r="V299" s="19">
        <f t="shared" si="207"/>
        <v>0</v>
      </c>
      <c r="W299" s="19">
        <f t="shared" si="208"/>
        <v>0</v>
      </c>
      <c r="X299" s="19">
        <f t="shared" si="209"/>
        <v>0</v>
      </c>
      <c r="Y299" s="19">
        <f t="shared" si="210"/>
        <v>0</v>
      </c>
    </row>
    <row r="300" spans="1:25" outlineLevel="2">
      <c r="A300" s="1" t="s">
        <v>21</v>
      </c>
      <c r="B300">
        <v>238</v>
      </c>
      <c r="C300" s="5">
        <v>5.1544215703300003</v>
      </c>
      <c r="D300" s="5">
        <v>0.64299048862999997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P300" s="19">
        <f t="shared" si="211"/>
        <v>0</v>
      </c>
      <c r="Q300" s="19">
        <f t="shared" si="202"/>
        <v>0</v>
      </c>
      <c r="R300" s="19">
        <f t="shared" si="203"/>
        <v>0</v>
      </c>
      <c r="S300" s="19">
        <f t="shared" si="204"/>
        <v>0</v>
      </c>
      <c r="T300" s="19">
        <f t="shared" si="205"/>
        <v>0</v>
      </c>
      <c r="U300" s="19">
        <f t="shared" si="206"/>
        <v>0</v>
      </c>
      <c r="V300" s="19">
        <f t="shared" si="207"/>
        <v>0</v>
      </c>
      <c r="W300" s="19">
        <f t="shared" si="208"/>
        <v>0</v>
      </c>
      <c r="X300" s="19">
        <f t="shared" si="209"/>
        <v>0</v>
      </c>
      <c r="Y300" s="19">
        <f t="shared" si="210"/>
        <v>0</v>
      </c>
    </row>
    <row r="301" spans="1:25" outlineLevel="2">
      <c r="A301" s="1" t="s">
        <v>21</v>
      </c>
      <c r="B301">
        <v>242</v>
      </c>
      <c r="C301" s="5">
        <v>9.6725673101900007</v>
      </c>
      <c r="D301" s="5">
        <v>0.76212033547900004</v>
      </c>
      <c r="E301" s="2">
        <v>9.3472788715483119</v>
      </c>
      <c r="F301" s="2">
        <v>1.2083938340620368</v>
      </c>
      <c r="G301" s="2">
        <v>4.836283655095E-2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P301" s="19">
        <f t="shared" si="211"/>
        <v>1.0264831663188461E-2</v>
      </c>
      <c r="Q301" s="19">
        <f t="shared" si="202"/>
        <v>1.3993580243656248E-3</v>
      </c>
      <c r="R301" s="19">
        <f t="shared" si="203"/>
        <v>1.505802820937112E-4</v>
      </c>
      <c r="S301" s="19">
        <f t="shared" si="204"/>
        <v>0</v>
      </c>
      <c r="T301" s="19">
        <f t="shared" si="205"/>
        <v>0</v>
      </c>
      <c r="U301" s="19">
        <f t="shared" si="206"/>
        <v>0</v>
      </c>
      <c r="V301" s="19">
        <f t="shared" si="207"/>
        <v>0</v>
      </c>
      <c r="W301" s="19">
        <f t="shared" si="208"/>
        <v>0</v>
      </c>
      <c r="X301" s="19">
        <f t="shared" si="209"/>
        <v>0</v>
      </c>
      <c r="Y301" s="19">
        <f t="shared" si="210"/>
        <v>0</v>
      </c>
    </row>
    <row r="302" spans="1:25" outlineLevel="2">
      <c r="A302" s="1" t="s">
        <v>21</v>
      </c>
      <c r="B302">
        <v>243</v>
      </c>
      <c r="C302" s="5">
        <v>99.987049111000005</v>
      </c>
      <c r="D302" s="5">
        <v>9.0215086667200008</v>
      </c>
      <c r="E302" s="2">
        <v>0</v>
      </c>
      <c r="F302" s="2">
        <v>82.32933623799741</v>
      </c>
      <c r="G302" s="2">
        <v>22.597073099086</v>
      </c>
      <c r="H302" s="2">
        <v>12.198419991542</v>
      </c>
      <c r="I302" s="2">
        <v>0.99987049111000004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P302" s="19">
        <f t="shared" si="211"/>
        <v>0</v>
      </c>
      <c r="Q302" s="19">
        <f t="shared" si="202"/>
        <v>9.5339957932475447E-2</v>
      </c>
      <c r="R302" s="19">
        <f t="shared" si="203"/>
        <v>7.035719747678329E-2</v>
      </c>
      <c r="S302" s="19">
        <f t="shared" si="204"/>
        <v>5.1025655925400898E-2</v>
      </c>
      <c r="T302" s="19">
        <f t="shared" si="205"/>
        <v>1.524138766030716E-2</v>
      </c>
      <c r="U302" s="19">
        <f t="shared" si="206"/>
        <v>0</v>
      </c>
      <c r="V302" s="19">
        <f t="shared" si="207"/>
        <v>0</v>
      </c>
      <c r="W302" s="19">
        <f t="shared" si="208"/>
        <v>0</v>
      </c>
      <c r="X302" s="19">
        <f t="shared" si="209"/>
        <v>0</v>
      </c>
      <c r="Y302" s="19">
        <f t="shared" si="210"/>
        <v>0</v>
      </c>
    </row>
    <row r="303" spans="1:25" outlineLevel="2">
      <c r="A303" s="1" t="s">
        <v>21</v>
      </c>
      <c r="B303">
        <v>244</v>
      </c>
      <c r="C303" s="5">
        <v>63.495553569099997</v>
      </c>
      <c r="D303" s="5">
        <v>4.7221066707499997</v>
      </c>
      <c r="E303" s="2">
        <v>0</v>
      </c>
      <c r="F303" s="2">
        <v>17.778754999347999</v>
      </c>
      <c r="G303" s="2">
        <v>5.2701309462353008</v>
      </c>
      <c r="H303" s="2">
        <v>6.4765464640481989</v>
      </c>
      <c r="I303" s="2">
        <v>2.4128310356257998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P303" s="19">
        <f t="shared" si="211"/>
        <v>0</v>
      </c>
      <c r="Q303" s="19">
        <f t="shared" si="202"/>
        <v>2.0588356850462758E-2</v>
      </c>
      <c r="R303" s="19">
        <f t="shared" si="203"/>
        <v>1.640883498880134E-2</v>
      </c>
      <c r="S303" s="19">
        <f t="shared" si="204"/>
        <v>2.7091216049991124E-2</v>
      </c>
      <c r="T303" s="19">
        <f t="shared" si="205"/>
        <v>3.677965646527661E-2</v>
      </c>
      <c r="U303" s="19">
        <f t="shared" si="206"/>
        <v>0</v>
      </c>
      <c r="V303" s="19">
        <f t="shared" si="207"/>
        <v>0</v>
      </c>
      <c r="W303" s="19">
        <f t="shared" si="208"/>
        <v>0</v>
      </c>
      <c r="X303" s="19">
        <f t="shared" si="209"/>
        <v>0</v>
      </c>
      <c r="Y303" s="19">
        <f t="shared" si="210"/>
        <v>0</v>
      </c>
    </row>
    <row r="304" spans="1:25" outlineLevel="2">
      <c r="A304" s="1" t="s">
        <v>21</v>
      </c>
      <c r="B304">
        <v>246</v>
      </c>
      <c r="C304" s="5">
        <v>100</v>
      </c>
      <c r="D304" s="5">
        <v>3.6174241273700001</v>
      </c>
      <c r="E304" s="2">
        <v>0</v>
      </c>
      <c r="F304" s="2">
        <v>0.3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P304" s="19">
        <f t="shared" si="211"/>
        <v>0</v>
      </c>
      <c r="Q304" s="19">
        <f t="shared" si="202"/>
        <v>3.4740942520245866E-4</v>
      </c>
      <c r="R304" s="19">
        <f t="shared" si="203"/>
        <v>0</v>
      </c>
      <c r="S304" s="19">
        <f t="shared" si="204"/>
        <v>0</v>
      </c>
      <c r="T304" s="19">
        <f t="shared" si="205"/>
        <v>0</v>
      </c>
      <c r="U304" s="19">
        <f t="shared" si="206"/>
        <v>0</v>
      </c>
      <c r="V304" s="19">
        <f t="shared" si="207"/>
        <v>0</v>
      </c>
      <c r="W304" s="19">
        <f t="shared" si="208"/>
        <v>0</v>
      </c>
      <c r="X304" s="19">
        <f t="shared" si="209"/>
        <v>0</v>
      </c>
      <c r="Y304" s="19">
        <f t="shared" si="210"/>
        <v>0</v>
      </c>
    </row>
    <row r="305" spans="1:25" outlineLevel="2">
      <c r="A305" s="1" t="s">
        <v>21</v>
      </c>
      <c r="B305">
        <v>247</v>
      </c>
      <c r="C305" s="5">
        <v>99.999538531499994</v>
      </c>
      <c r="D305" s="5">
        <v>4.2323611185000001</v>
      </c>
      <c r="E305" s="2">
        <v>0</v>
      </c>
      <c r="F305" s="2">
        <v>1.2999940009094999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P305" s="19">
        <f t="shared" si="211"/>
        <v>0</v>
      </c>
      <c r="Q305" s="19">
        <f t="shared" si="202"/>
        <v>1.5054338954087131E-3</v>
      </c>
      <c r="R305" s="19">
        <f t="shared" si="203"/>
        <v>0</v>
      </c>
      <c r="S305" s="19">
        <f t="shared" si="204"/>
        <v>0</v>
      </c>
      <c r="T305" s="19">
        <f t="shared" si="205"/>
        <v>0</v>
      </c>
      <c r="U305" s="19">
        <f t="shared" si="206"/>
        <v>0</v>
      </c>
      <c r="V305" s="19">
        <f t="shared" si="207"/>
        <v>0</v>
      </c>
      <c r="W305" s="19">
        <f t="shared" si="208"/>
        <v>0</v>
      </c>
      <c r="X305" s="19">
        <f t="shared" si="209"/>
        <v>0</v>
      </c>
      <c r="Y305" s="19">
        <f t="shared" si="210"/>
        <v>0</v>
      </c>
    </row>
    <row r="306" spans="1:25" outlineLevel="2">
      <c r="A306" s="1" t="s">
        <v>21</v>
      </c>
      <c r="B306">
        <v>248</v>
      </c>
      <c r="C306" s="5">
        <v>100</v>
      </c>
      <c r="D306" s="5">
        <v>4.9614046920900003</v>
      </c>
      <c r="E306" s="2">
        <v>0</v>
      </c>
      <c r="F306" s="2">
        <v>37.200000000000003</v>
      </c>
      <c r="G306" s="2">
        <v>7.6</v>
      </c>
      <c r="H306" s="2">
        <v>3.9</v>
      </c>
      <c r="I306" s="2">
        <v>0.4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P306" s="19">
        <f t="shared" si="211"/>
        <v>0</v>
      </c>
      <c r="Q306" s="19">
        <f t="shared" si="202"/>
        <v>4.3078768725104882E-2</v>
      </c>
      <c r="R306" s="19">
        <f t="shared" si="203"/>
        <v>2.366300708409803E-2</v>
      </c>
      <c r="S306" s="19">
        <f t="shared" si="204"/>
        <v>1.6313592928186099E-2</v>
      </c>
      <c r="T306" s="19">
        <f t="shared" si="205"/>
        <v>6.0973447244700779E-3</v>
      </c>
      <c r="U306" s="19">
        <f t="shared" si="206"/>
        <v>0</v>
      </c>
      <c r="V306" s="19">
        <f t="shared" si="207"/>
        <v>0</v>
      </c>
      <c r="W306" s="19">
        <f t="shared" si="208"/>
        <v>0</v>
      </c>
      <c r="X306" s="19">
        <f t="shared" si="209"/>
        <v>0</v>
      </c>
      <c r="Y306" s="19">
        <f t="shared" si="210"/>
        <v>0</v>
      </c>
    </row>
    <row r="307" spans="1:25" outlineLevel="2">
      <c r="A307" s="1" t="s">
        <v>21</v>
      </c>
      <c r="B307">
        <v>249</v>
      </c>
      <c r="C307" s="5">
        <v>99.999557390899994</v>
      </c>
      <c r="D307" s="5">
        <v>19.252443199199998</v>
      </c>
      <c r="E307" s="2">
        <v>0</v>
      </c>
      <c r="F307" s="2">
        <v>112.59950162215338</v>
      </c>
      <c r="G307" s="2">
        <v>25.899885364243097</v>
      </c>
      <c r="H307" s="2">
        <v>21.699903953825295</v>
      </c>
      <c r="I307" s="2">
        <v>10.7999521982172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P307" s="19">
        <f t="shared" si="211"/>
        <v>0</v>
      </c>
      <c r="Q307" s="19">
        <f t="shared" si="202"/>
        <v>0.13039376045545206</v>
      </c>
      <c r="R307" s="19">
        <f t="shared" si="203"/>
        <v>8.0640680375185694E-2</v>
      </c>
      <c r="S307" s="19">
        <f t="shared" si="204"/>
        <v>9.0770102482933823E-2</v>
      </c>
      <c r="T307" s="19">
        <f t="shared" si="205"/>
        <v>0.16462757890082164</v>
      </c>
      <c r="U307" s="19">
        <f t="shared" si="206"/>
        <v>0</v>
      </c>
      <c r="V307" s="19">
        <f t="shared" si="207"/>
        <v>0</v>
      </c>
      <c r="W307" s="19">
        <f t="shared" si="208"/>
        <v>0</v>
      </c>
      <c r="X307" s="19">
        <f t="shared" si="209"/>
        <v>0</v>
      </c>
      <c r="Y307" s="19">
        <f t="shared" si="210"/>
        <v>0</v>
      </c>
    </row>
    <row r="308" spans="1:25" outlineLevel="2">
      <c r="A308" s="1" t="s">
        <v>21</v>
      </c>
      <c r="B308">
        <v>250</v>
      </c>
      <c r="C308" s="5">
        <v>99.998571083399995</v>
      </c>
      <c r="D308" s="5">
        <v>8.2747442078500004</v>
      </c>
      <c r="E308" s="2">
        <v>455.74768765258102</v>
      </c>
      <c r="F308" s="2">
        <v>367.79474444474516</v>
      </c>
      <c r="G308" s="2">
        <v>160.3977080177736</v>
      </c>
      <c r="H308" s="2">
        <v>137.19803952642479</v>
      </c>
      <c r="I308" s="2">
        <v>40.299424146610193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P308" s="19">
        <f t="shared" si="211"/>
        <v>0.50048504585444464</v>
      </c>
      <c r="Q308" s="19">
        <f t="shared" si="202"/>
        <v>0.42591786920011365</v>
      </c>
      <c r="R308" s="19">
        <f t="shared" si="203"/>
        <v>0.49940685540758739</v>
      </c>
      <c r="S308" s="19">
        <f t="shared" si="204"/>
        <v>0.5738956326613539</v>
      </c>
      <c r="T308" s="19">
        <f t="shared" si="205"/>
        <v>0.6142987030487892</v>
      </c>
      <c r="U308" s="19">
        <f t="shared" si="206"/>
        <v>0</v>
      </c>
      <c r="V308" s="19">
        <f t="shared" si="207"/>
        <v>0</v>
      </c>
      <c r="W308" s="19">
        <f t="shared" si="208"/>
        <v>0</v>
      </c>
      <c r="X308" s="19">
        <f t="shared" si="209"/>
        <v>0</v>
      </c>
      <c r="Y308" s="19">
        <f t="shared" si="210"/>
        <v>0</v>
      </c>
    </row>
    <row r="309" spans="1:25" outlineLevel="2">
      <c r="A309" s="1" t="s">
        <v>21</v>
      </c>
      <c r="B309">
        <v>251</v>
      </c>
      <c r="C309" s="5">
        <v>62.626209763299997</v>
      </c>
      <c r="D309" s="5">
        <v>1.3503149892099999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P309" s="19">
        <f t="shared" si="211"/>
        <v>0</v>
      </c>
      <c r="Q309" s="19">
        <f t="shared" si="202"/>
        <v>0</v>
      </c>
      <c r="R309" s="19">
        <f t="shared" si="203"/>
        <v>0</v>
      </c>
      <c r="S309" s="19">
        <f t="shared" si="204"/>
        <v>0</v>
      </c>
      <c r="T309" s="19">
        <f t="shared" si="205"/>
        <v>0</v>
      </c>
      <c r="U309" s="19">
        <f t="shared" si="206"/>
        <v>0</v>
      </c>
      <c r="V309" s="19">
        <f t="shared" si="207"/>
        <v>0</v>
      </c>
      <c r="W309" s="19">
        <f t="shared" si="208"/>
        <v>0</v>
      </c>
      <c r="X309" s="19">
        <f t="shared" si="209"/>
        <v>0</v>
      </c>
      <c r="Y309" s="19">
        <f t="shared" si="210"/>
        <v>0</v>
      </c>
    </row>
    <row r="310" spans="1:25" outlineLevel="2">
      <c r="A310" s="1" t="s">
        <v>21</v>
      </c>
      <c r="B310">
        <v>252</v>
      </c>
      <c r="C310" s="5">
        <v>64.059121232899997</v>
      </c>
      <c r="D310" s="5">
        <v>5.4991107380999997</v>
      </c>
      <c r="E310" s="2">
        <v>0</v>
      </c>
      <c r="F310" s="2">
        <v>51.439474350018699</v>
      </c>
      <c r="G310" s="2">
        <v>2.3701874856173002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P310" s="19">
        <f t="shared" si="211"/>
        <v>0</v>
      </c>
      <c r="Q310" s="19">
        <f t="shared" si="202"/>
        <v>5.9568527388855382E-2</v>
      </c>
      <c r="R310" s="19">
        <f t="shared" si="203"/>
        <v>7.3797056924740359E-3</v>
      </c>
      <c r="S310" s="19">
        <f t="shared" si="204"/>
        <v>0</v>
      </c>
      <c r="T310" s="19">
        <f t="shared" si="205"/>
        <v>0</v>
      </c>
      <c r="U310" s="19">
        <f t="shared" si="206"/>
        <v>0</v>
      </c>
      <c r="V310" s="19">
        <f t="shared" si="207"/>
        <v>0</v>
      </c>
      <c r="W310" s="19">
        <f t="shared" si="208"/>
        <v>0</v>
      </c>
      <c r="X310" s="19">
        <f t="shared" si="209"/>
        <v>0</v>
      </c>
      <c r="Y310" s="19">
        <f t="shared" si="210"/>
        <v>0</v>
      </c>
    </row>
    <row r="311" spans="1:25" outlineLevel="2">
      <c r="A311" s="1" t="s">
        <v>21</v>
      </c>
      <c r="B311">
        <v>253</v>
      </c>
      <c r="C311" s="5">
        <v>19.356245180799998</v>
      </c>
      <c r="D311" s="5">
        <v>0.77968142200000001</v>
      </c>
      <c r="E311" s="2">
        <v>112.44042825526718</v>
      </c>
      <c r="F311" s="2">
        <v>25.124406244678397</v>
      </c>
      <c r="G311" s="2">
        <v>8.0715542403936009</v>
      </c>
      <c r="H311" s="2">
        <v>1.6839933307295996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P311" s="19">
        <f t="shared" si="211"/>
        <v>0.12347786816228312</v>
      </c>
      <c r="Q311" s="19">
        <f t="shared" si="202"/>
        <v>2.9094851773389285E-2</v>
      </c>
      <c r="R311" s="19">
        <f t="shared" si="203"/>
        <v>2.5131216469752009E-2</v>
      </c>
      <c r="S311" s="19">
        <f t="shared" si="204"/>
        <v>7.0440978695648585E-3</v>
      </c>
      <c r="T311" s="19">
        <f t="shared" si="205"/>
        <v>0</v>
      </c>
      <c r="U311" s="19">
        <f t="shared" si="206"/>
        <v>0</v>
      </c>
      <c r="V311" s="19">
        <f t="shared" si="207"/>
        <v>0</v>
      </c>
      <c r="W311" s="19">
        <f t="shared" si="208"/>
        <v>0</v>
      </c>
      <c r="X311" s="19">
        <f t="shared" si="209"/>
        <v>0</v>
      </c>
      <c r="Y311" s="19">
        <f t="shared" si="210"/>
        <v>0</v>
      </c>
    </row>
    <row r="312" spans="1:25" outlineLevel="2">
      <c r="A312" s="1" t="s">
        <v>21</v>
      </c>
      <c r="B312">
        <v>300</v>
      </c>
      <c r="C312" s="5">
        <v>8.0913774683100002</v>
      </c>
      <c r="D312" s="5">
        <v>0.75456010394999995</v>
      </c>
      <c r="E312" s="2">
        <v>14.200367456884051</v>
      </c>
      <c r="F312" s="2">
        <v>8.4312152410652441</v>
      </c>
      <c r="G312" s="2">
        <v>5.8096090222465797</v>
      </c>
      <c r="H312" s="2">
        <v>6.8291225832536409</v>
      </c>
      <c r="I312" s="2">
        <v>3.3902871592218902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P312" s="19">
        <f t="shared" si="211"/>
        <v>1.5594311831651766E-2</v>
      </c>
      <c r="Q312" s="19">
        <f t="shared" si="202"/>
        <v>9.7636121355222857E-3</v>
      </c>
      <c r="R312" s="19">
        <f t="shared" si="203"/>
        <v>1.8088528874902716E-2</v>
      </c>
      <c r="S312" s="19">
        <f t="shared" si="204"/>
        <v>2.8566032276892969E-2</v>
      </c>
      <c r="T312" s="19">
        <f t="shared" si="205"/>
        <v>5.1679373811800593E-2</v>
      </c>
      <c r="U312" s="19">
        <f t="shared" si="206"/>
        <v>0</v>
      </c>
      <c r="V312" s="19">
        <f t="shared" si="207"/>
        <v>0</v>
      </c>
      <c r="W312" s="19">
        <f t="shared" si="208"/>
        <v>0</v>
      </c>
      <c r="X312" s="19">
        <f t="shared" si="209"/>
        <v>0</v>
      </c>
      <c r="Y312" s="19">
        <f t="shared" si="210"/>
        <v>0</v>
      </c>
    </row>
    <row r="313" spans="1:25" outlineLevel="2">
      <c r="A313" s="1" t="s">
        <v>21</v>
      </c>
      <c r="B313">
        <v>301</v>
      </c>
      <c r="C313" s="5">
        <v>32.085920768199998</v>
      </c>
      <c r="D313" s="5">
        <v>1.0937465388500001</v>
      </c>
      <c r="E313" s="2">
        <v>24.577815308441195</v>
      </c>
      <c r="F313" s="2">
        <v>8.759456369718599</v>
      </c>
      <c r="G313" s="2">
        <v>3.1123343145153997</v>
      </c>
      <c r="H313" s="2">
        <v>3.9786541752567994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P313" s="19">
        <f t="shared" si="211"/>
        <v>2.6990436495695956E-2</v>
      </c>
      <c r="Q313" s="19">
        <f t="shared" si="202"/>
        <v>1.0143725674966513E-2</v>
      </c>
      <c r="R313" s="19">
        <f t="shared" si="203"/>
        <v>9.6904195963762214E-3</v>
      </c>
      <c r="S313" s="19">
        <f t="shared" si="204"/>
        <v>1.6642601183889081E-2</v>
      </c>
      <c r="T313" s="19">
        <f t="shared" si="205"/>
        <v>0</v>
      </c>
      <c r="U313" s="19">
        <f t="shared" si="206"/>
        <v>0</v>
      </c>
      <c r="V313" s="19">
        <f t="shared" si="207"/>
        <v>0</v>
      </c>
      <c r="W313" s="19">
        <f t="shared" si="208"/>
        <v>0</v>
      </c>
      <c r="X313" s="19">
        <f t="shared" si="209"/>
        <v>0</v>
      </c>
      <c r="Y313" s="19">
        <f t="shared" si="210"/>
        <v>0</v>
      </c>
    </row>
    <row r="314" spans="1:25" outlineLevel="2">
      <c r="A314" s="1" t="s">
        <v>21</v>
      </c>
      <c r="B314">
        <v>308</v>
      </c>
      <c r="C314" s="5">
        <v>99.999473534100005</v>
      </c>
      <c r="D314" s="5">
        <v>3.6132087676400002</v>
      </c>
      <c r="E314" s="2">
        <v>294.29842061101431</v>
      </c>
      <c r="F314" s="2">
        <v>148.89917609248553</v>
      </c>
      <c r="G314" s="2">
        <v>79.999578827280004</v>
      </c>
      <c r="H314" s="2">
        <v>45.099762563879104</v>
      </c>
      <c r="I314" s="2">
        <v>7.2999615679892997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P314" s="19">
        <f t="shared" si="211"/>
        <v>0.32318750599273605</v>
      </c>
      <c r="Q314" s="19">
        <f t="shared" si="202"/>
        <v>0.17242992393136691</v>
      </c>
      <c r="R314" s="19">
        <f t="shared" si="203"/>
        <v>0.24908297375194546</v>
      </c>
      <c r="S314" s="19">
        <f t="shared" si="204"/>
        <v>0.18865106862178727</v>
      </c>
      <c r="T314" s="19">
        <f t="shared" si="205"/>
        <v>0.11127595538853467</v>
      </c>
      <c r="U314" s="19">
        <f t="shared" si="206"/>
        <v>0</v>
      </c>
      <c r="V314" s="19">
        <f t="shared" si="207"/>
        <v>0</v>
      </c>
      <c r="W314" s="19">
        <f t="shared" si="208"/>
        <v>0</v>
      </c>
      <c r="X314" s="19">
        <f t="shared" si="209"/>
        <v>0</v>
      </c>
      <c r="Y314" s="19">
        <f t="shared" si="210"/>
        <v>0</v>
      </c>
    </row>
    <row r="315" spans="1:25" outlineLevel="1">
      <c r="A315" s="18" t="s">
        <v>75</v>
      </c>
      <c r="E315" s="2">
        <f t="shared" ref="E315:N315" si="212">SUBTOTAL(9,E294:E314)</f>
        <v>910.61199815573605</v>
      </c>
      <c r="F315" s="2">
        <f t="shared" si="212"/>
        <v>863.53443008971317</v>
      </c>
      <c r="G315" s="2">
        <f t="shared" si="212"/>
        <v>321.17642415394187</v>
      </c>
      <c r="H315" s="2">
        <f t="shared" si="212"/>
        <v>239.06444258895942</v>
      </c>
      <c r="I315" s="2">
        <f t="shared" si="212"/>
        <v>65.602326598774383</v>
      </c>
      <c r="J315" s="2">
        <f t="shared" si="212"/>
        <v>0</v>
      </c>
      <c r="K315" s="2">
        <f t="shared" si="212"/>
        <v>0</v>
      </c>
      <c r="L315" s="2">
        <f t="shared" si="212"/>
        <v>0</v>
      </c>
      <c r="M315" s="2">
        <f t="shared" si="212"/>
        <v>0</v>
      </c>
      <c r="N315" s="2">
        <f t="shared" si="212"/>
        <v>0</v>
      </c>
    </row>
    <row r="316" spans="1:25" outlineLevel="2">
      <c r="A316" s="1" t="s">
        <v>22</v>
      </c>
      <c r="B316">
        <v>73</v>
      </c>
      <c r="C316" s="5">
        <v>23.828802686</v>
      </c>
      <c r="D316" s="5">
        <v>1.52825334298</v>
      </c>
      <c r="E316" s="2">
        <v>0</v>
      </c>
      <c r="F316" s="2">
        <v>0</v>
      </c>
      <c r="G316" s="2">
        <v>0</v>
      </c>
      <c r="H316" s="2">
        <v>0</v>
      </c>
      <c r="I316" s="2">
        <v>7.6490456622060004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P316" s="19">
        <f>IF(E$335&gt;0, E316/E$335, 0)</f>
        <v>0</v>
      </c>
      <c r="Q316" s="19">
        <f t="shared" ref="Q316:Q334" si="213">IF(F$335&gt;0, F316/F$335, 0)</f>
        <v>0</v>
      </c>
      <c r="R316" s="19">
        <f t="shared" ref="R316:R334" si="214">IF(G$335&gt;0, G316/G$335, 0)</f>
        <v>0</v>
      </c>
      <c r="S316" s="19">
        <f t="shared" ref="S316:S334" si="215">IF(H$335&gt;0, H316/H$335, 0)</f>
        <v>0</v>
      </c>
      <c r="T316" s="19">
        <f t="shared" ref="T316:T334" si="216">IF(I$335&gt;0, I316/I$335, 0)</f>
        <v>7.8232194022266708E-4</v>
      </c>
      <c r="U316" s="19">
        <f t="shared" ref="U316:U334" si="217">IF(J$335&gt;0, J316/J$335, 0)</f>
        <v>0</v>
      </c>
      <c r="V316" s="19">
        <f t="shared" ref="V316:V334" si="218">IF(K$335&gt;0, K316/K$335, 0)</f>
        <v>0</v>
      </c>
      <c r="W316" s="19">
        <f t="shared" ref="W316:W334" si="219">IF(L$335&gt;0, L316/L$335, 0)</f>
        <v>0</v>
      </c>
      <c r="X316" s="19">
        <f t="shared" ref="X316:X334" si="220">IF(M$335&gt;0, M316/M$335, 0)</f>
        <v>0</v>
      </c>
      <c r="Y316" s="19">
        <f t="shared" ref="Y316:Y334" si="221">IF(N$335&gt;0, N316/N$335, 0)</f>
        <v>0</v>
      </c>
    </row>
    <row r="317" spans="1:25" outlineLevel="2">
      <c r="A317" s="1" t="s">
        <v>22</v>
      </c>
      <c r="B317">
        <v>74</v>
      </c>
      <c r="C317" s="5">
        <v>82.9732620467</v>
      </c>
      <c r="D317" s="5">
        <v>16.680795055000001</v>
      </c>
      <c r="E317" s="2">
        <v>0</v>
      </c>
      <c r="F317" s="2">
        <v>0</v>
      </c>
      <c r="G317" s="2">
        <v>0</v>
      </c>
      <c r="H317" s="2">
        <v>116.71019039488822</v>
      </c>
      <c r="I317" s="2">
        <v>7590.2749495497437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P317" s="19">
        <f t="shared" ref="P317:P334" si="222">IF(E$335&gt;0, E317/E$335, 0)</f>
        <v>0</v>
      </c>
      <c r="Q317" s="19">
        <f t="shared" si="213"/>
        <v>0</v>
      </c>
      <c r="R317" s="19">
        <f t="shared" si="214"/>
        <v>0</v>
      </c>
      <c r="S317" s="19">
        <f t="shared" si="215"/>
        <v>0.12794216960396718</v>
      </c>
      <c r="T317" s="19">
        <f t="shared" si="216"/>
        <v>0.7763110442254465</v>
      </c>
      <c r="U317" s="19">
        <f t="shared" si="217"/>
        <v>0</v>
      </c>
      <c r="V317" s="19">
        <f t="shared" si="218"/>
        <v>0</v>
      </c>
      <c r="W317" s="19">
        <f t="shared" si="219"/>
        <v>0</v>
      </c>
      <c r="X317" s="19">
        <f t="shared" si="220"/>
        <v>0</v>
      </c>
      <c r="Y317" s="19">
        <f t="shared" si="221"/>
        <v>0</v>
      </c>
    </row>
    <row r="318" spans="1:25" outlineLevel="2">
      <c r="A318" s="1" t="s">
        <v>22</v>
      </c>
      <c r="B318">
        <v>75</v>
      </c>
      <c r="C318" s="5">
        <v>99.999705556099997</v>
      </c>
      <c r="D318" s="5">
        <v>4.5330655231800003</v>
      </c>
      <c r="E318" s="2">
        <v>0</v>
      </c>
      <c r="F318" s="2">
        <v>0</v>
      </c>
      <c r="G318" s="2">
        <v>12.337973671482173</v>
      </c>
      <c r="H318" s="2">
        <v>24.6999272723567</v>
      </c>
      <c r="I318" s="2">
        <v>12.1999640778442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P318" s="19">
        <f t="shared" si="222"/>
        <v>0</v>
      </c>
      <c r="Q318" s="19">
        <f t="shared" si="213"/>
        <v>0</v>
      </c>
      <c r="R318" s="19">
        <f t="shared" si="214"/>
        <v>5.9061145717324424E-2</v>
      </c>
      <c r="S318" s="19">
        <f t="shared" si="215"/>
        <v>2.7077003932502598E-2</v>
      </c>
      <c r="T318" s="19">
        <f t="shared" si="216"/>
        <v>1.247776518734145E-3</v>
      </c>
      <c r="U318" s="19">
        <f t="shared" si="217"/>
        <v>0</v>
      </c>
      <c r="V318" s="19">
        <f t="shared" si="218"/>
        <v>0</v>
      </c>
      <c r="W318" s="19">
        <f t="shared" si="219"/>
        <v>0</v>
      </c>
      <c r="X318" s="19">
        <f t="shared" si="220"/>
        <v>0</v>
      </c>
      <c r="Y318" s="19">
        <f t="shared" si="221"/>
        <v>0</v>
      </c>
    </row>
    <row r="319" spans="1:25" outlineLevel="2">
      <c r="A319" s="1" t="s">
        <v>22</v>
      </c>
      <c r="B319">
        <v>76</v>
      </c>
      <c r="C319" s="5">
        <v>99.999975851499997</v>
      </c>
      <c r="D319" s="5">
        <v>6.6810383163099996</v>
      </c>
      <c r="E319" s="2">
        <v>0</v>
      </c>
      <c r="F319" s="2">
        <v>0</v>
      </c>
      <c r="G319" s="2">
        <v>0</v>
      </c>
      <c r="H319" s="2">
        <v>1.199999710218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P319" s="19">
        <f t="shared" si="222"/>
        <v>0</v>
      </c>
      <c r="Q319" s="19">
        <f t="shared" si="213"/>
        <v>0</v>
      </c>
      <c r="R319" s="19">
        <f t="shared" si="214"/>
        <v>0</v>
      </c>
      <c r="S319" s="19">
        <f t="shared" si="215"/>
        <v>1.3154855281270049E-3</v>
      </c>
      <c r="T319" s="19">
        <f t="shared" si="216"/>
        <v>0</v>
      </c>
      <c r="U319" s="19">
        <f t="shared" si="217"/>
        <v>0</v>
      </c>
      <c r="V319" s="19">
        <f t="shared" si="218"/>
        <v>0</v>
      </c>
      <c r="W319" s="19">
        <f t="shared" si="219"/>
        <v>0</v>
      </c>
      <c r="X319" s="19">
        <f t="shared" si="220"/>
        <v>0</v>
      </c>
      <c r="Y319" s="19">
        <f t="shared" si="221"/>
        <v>0</v>
      </c>
    </row>
    <row r="320" spans="1:25" outlineLevel="2">
      <c r="A320" s="1" t="s">
        <v>22</v>
      </c>
      <c r="B320">
        <v>77</v>
      </c>
      <c r="C320" s="5">
        <v>99.999781068399997</v>
      </c>
      <c r="D320" s="5">
        <v>6.6340897635899996</v>
      </c>
      <c r="E320" s="2">
        <v>0</v>
      </c>
      <c r="F320" s="2">
        <v>0</v>
      </c>
      <c r="G320" s="2">
        <v>30.299933663725195</v>
      </c>
      <c r="H320" s="2">
        <v>28.299938042357198</v>
      </c>
      <c r="I320" s="2">
        <v>4.7999894912832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P320" s="19">
        <f t="shared" si="222"/>
        <v>0</v>
      </c>
      <c r="Q320" s="19">
        <f t="shared" si="213"/>
        <v>0</v>
      </c>
      <c r="R320" s="19">
        <f t="shared" si="214"/>
        <v>0.14504397926175483</v>
      </c>
      <c r="S320" s="19">
        <f t="shared" si="215"/>
        <v>3.1023473276379922E-2</v>
      </c>
      <c r="T320" s="19">
        <f t="shared" si="216"/>
        <v>4.9092883709967242E-4</v>
      </c>
      <c r="U320" s="19">
        <f t="shared" si="217"/>
        <v>0</v>
      </c>
      <c r="V320" s="19">
        <f t="shared" si="218"/>
        <v>0</v>
      </c>
      <c r="W320" s="19">
        <f t="shared" si="219"/>
        <v>0</v>
      </c>
      <c r="X320" s="19">
        <f t="shared" si="220"/>
        <v>0</v>
      </c>
      <c r="Y320" s="19">
        <f t="shared" si="221"/>
        <v>0</v>
      </c>
    </row>
    <row r="321" spans="1:25" outlineLevel="2">
      <c r="A321" s="1" t="s">
        <v>22</v>
      </c>
      <c r="B321">
        <v>78</v>
      </c>
      <c r="C321" s="5">
        <v>99.999832631900006</v>
      </c>
      <c r="D321" s="5">
        <v>9.5247708315999997</v>
      </c>
      <c r="E321" s="2">
        <v>0</v>
      </c>
      <c r="F321" s="2">
        <v>0</v>
      </c>
      <c r="G321" s="2">
        <v>0</v>
      </c>
      <c r="H321" s="2">
        <v>2.7121154607762867</v>
      </c>
      <c r="I321" s="2">
        <v>168.54958990128168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P321" s="19">
        <f t="shared" si="222"/>
        <v>0</v>
      </c>
      <c r="Q321" s="19">
        <f t="shared" si="213"/>
        <v>0</v>
      </c>
      <c r="R321" s="19">
        <f t="shared" si="214"/>
        <v>0</v>
      </c>
      <c r="S321" s="19">
        <f t="shared" si="215"/>
        <v>2.9731245840155809E-3</v>
      </c>
      <c r="T321" s="19">
        <f t="shared" si="216"/>
        <v>1.7238757358558746E-2</v>
      </c>
      <c r="U321" s="19">
        <f t="shared" si="217"/>
        <v>0</v>
      </c>
      <c r="V321" s="19">
        <f t="shared" si="218"/>
        <v>0</v>
      </c>
      <c r="W321" s="19">
        <f t="shared" si="219"/>
        <v>0</v>
      </c>
      <c r="X321" s="19">
        <f t="shared" si="220"/>
        <v>0</v>
      </c>
      <c r="Y321" s="19">
        <f t="shared" si="221"/>
        <v>0</v>
      </c>
    </row>
    <row r="322" spans="1:25" outlineLevel="2">
      <c r="A322" s="1" t="s">
        <v>22</v>
      </c>
      <c r="B322">
        <v>79</v>
      </c>
      <c r="C322" s="5">
        <v>100</v>
      </c>
      <c r="D322" s="5">
        <v>1.67714630057</v>
      </c>
      <c r="E322" s="2">
        <v>0</v>
      </c>
      <c r="F322" s="2">
        <v>0</v>
      </c>
      <c r="G322" s="2">
        <v>0</v>
      </c>
      <c r="H322" s="2">
        <v>175.59997999999999</v>
      </c>
      <c r="I322" s="2">
        <v>156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P322" s="19">
        <f t="shared" si="222"/>
        <v>0</v>
      </c>
      <c r="Q322" s="19">
        <f t="shared" si="213"/>
        <v>0</v>
      </c>
      <c r="R322" s="19">
        <f t="shared" si="214"/>
        <v>0</v>
      </c>
      <c r="S322" s="19">
        <f t="shared" si="215"/>
        <v>0.1924994068435455</v>
      </c>
      <c r="T322" s="19">
        <f t="shared" si="216"/>
        <v>1.5955222136762461E-2</v>
      </c>
      <c r="U322" s="19">
        <f t="shared" si="217"/>
        <v>0</v>
      </c>
      <c r="V322" s="19">
        <f t="shared" si="218"/>
        <v>0</v>
      </c>
      <c r="W322" s="19">
        <f t="shared" si="219"/>
        <v>0</v>
      </c>
      <c r="X322" s="19">
        <f t="shared" si="220"/>
        <v>0</v>
      </c>
      <c r="Y322" s="19">
        <f t="shared" si="221"/>
        <v>0</v>
      </c>
    </row>
    <row r="323" spans="1:25" outlineLevel="2">
      <c r="A323" s="1" t="s">
        <v>22</v>
      </c>
      <c r="B323">
        <v>80</v>
      </c>
      <c r="C323" s="5">
        <v>100</v>
      </c>
      <c r="D323" s="5">
        <v>2.7967602547400001</v>
      </c>
      <c r="E323" s="2">
        <v>0</v>
      </c>
      <c r="F323" s="2">
        <v>0</v>
      </c>
      <c r="G323" s="2">
        <v>0</v>
      </c>
      <c r="H323" s="2">
        <v>0</v>
      </c>
      <c r="I323" s="2">
        <v>95.199999999999989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P323" s="19">
        <f t="shared" si="222"/>
        <v>0</v>
      </c>
      <c r="Q323" s="19">
        <f t="shared" si="213"/>
        <v>0</v>
      </c>
      <c r="R323" s="19">
        <f t="shared" si="214"/>
        <v>0</v>
      </c>
      <c r="S323" s="19">
        <f t="shared" si="215"/>
        <v>0</v>
      </c>
      <c r="T323" s="19">
        <f t="shared" si="216"/>
        <v>9.7367765860242698E-3</v>
      </c>
      <c r="U323" s="19">
        <f t="shared" si="217"/>
        <v>0</v>
      </c>
      <c r="V323" s="19">
        <f t="shared" si="218"/>
        <v>0</v>
      </c>
      <c r="W323" s="19">
        <f t="shared" si="219"/>
        <v>0</v>
      </c>
      <c r="X323" s="19">
        <f t="shared" si="220"/>
        <v>0</v>
      </c>
      <c r="Y323" s="19">
        <f t="shared" si="221"/>
        <v>0</v>
      </c>
    </row>
    <row r="324" spans="1:25" outlineLevel="2">
      <c r="A324" s="1" t="s">
        <v>22</v>
      </c>
      <c r="B324">
        <v>81</v>
      </c>
      <c r="C324" s="5">
        <v>100</v>
      </c>
      <c r="D324" s="5">
        <v>3.7321012102400002</v>
      </c>
      <c r="E324" s="2">
        <v>0</v>
      </c>
      <c r="F324" s="2">
        <v>0</v>
      </c>
      <c r="G324" s="2">
        <v>40.5</v>
      </c>
      <c r="H324" s="2">
        <v>93.929500000000004</v>
      </c>
      <c r="I324" s="2">
        <v>109.6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P324" s="19">
        <f t="shared" si="222"/>
        <v>0</v>
      </c>
      <c r="Q324" s="19">
        <f t="shared" si="213"/>
        <v>0</v>
      </c>
      <c r="R324" s="19">
        <f t="shared" si="214"/>
        <v>0.19387108979494919</v>
      </c>
      <c r="S324" s="19">
        <f t="shared" si="215"/>
        <v>0.10296910646066593</v>
      </c>
      <c r="T324" s="19">
        <f t="shared" si="216"/>
        <v>1.1209566321725421E-2</v>
      </c>
      <c r="U324" s="19">
        <f t="shared" si="217"/>
        <v>0</v>
      </c>
      <c r="V324" s="19">
        <f t="shared" si="218"/>
        <v>0</v>
      </c>
      <c r="W324" s="19">
        <f t="shared" si="219"/>
        <v>0</v>
      </c>
      <c r="X324" s="19">
        <f t="shared" si="220"/>
        <v>0</v>
      </c>
      <c r="Y324" s="19">
        <f t="shared" si="221"/>
        <v>0</v>
      </c>
    </row>
    <row r="325" spans="1:25" outlineLevel="2">
      <c r="A325" s="1" t="s">
        <v>22</v>
      </c>
      <c r="B325">
        <v>82</v>
      </c>
      <c r="C325" s="5">
        <v>100</v>
      </c>
      <c r="D325" s="5">
        <v>2.40624879255</v>
      </c>
      <c r="E325" s="2">
        <v>0</v>
      </c>
      <c r="F325" s="2">
        <v>0</v>
      </c>
      <c r="G325" s="2">
        <v>0</v>
      </c>
      <c r="H325" s="2">
        <v>0</v>
      </c>
      <c r="I325" s="2">
        <v>26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P325" s="19">
        <f t="shared" si="222"/>
        <v>0</v>
      </c>
      <c r="Q325" s="19">
        <f t="shared" si="213"/>
        <v>0</v>
      </c>
      <c r="R325" s="19">
        <f t="shared" si="214"/>
        <v>0</v>
      </c>
      <c r="S325" s="19">
        <f t="shared" si="215"/>
        <v>0</v>
      </c>
      <c r="T325" s="19">
        <f t="shared" si="216"/>
        <v>2.6592036894604104E-3</v>
      </c>
      <c r="U325" s="19">
        <f t="shared" si="217"/>
        <v>0</v>
      </c>
      <c r="V325" s="19">
        <f t="shared" si="218"/>
        <v>0</v>
      </c>
      <c r="W325" s="19">
        <f t="shared" si="219"/>
        <v>0</v>
      </c>
      <c r="X325" s="19">
        <f t="shared" si="220"/>
        <v>0</v>
      </c>
      <c r="Y325" s="19">
        <f t="shared" si="221"/>
        <v>0</v>
      </c>
    </row>
    <row r="326" spans="1:25" outlineLevel="2">
      <c r="A326" s="1" t="s">
        <v>22</v>
      </c>
      <c r="B326">
        <v>83</v>
      </c>
      <c r="C326" s="5">
        <v>100</v>
      </c>
      <c r="D326" s="5">
        <v>1.3560274858100001</v>
      </c>
      <c r="E326" s="2">
        <v>0</v>
      </c>
      <c r="F326" s="2">
        <v>0</v>
      </c>
      <c r="G326" s="2">
        <v>0</v>
      </c>
      <c r="H326" s="2">
        <v>0</v>
      </c>
      <c r="I326" s="2">
        <v>9.4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P326" s="19">
        <f t="shared" si="222"/>
        <v>0</v>
      </c>
      <c r="Q326" s="19">
        <f t="shared" si="213"/>
        <v>0</v>
      </c>
      <c r="R326" s="19">
        <f t="shared" si="214"/>
        <v>0</v>
      </c>
      <c r="S326" s="19">
        <f t="shared" si="215"/>
        <v>0</v>
      </c>
      <c r="T326" s="19">
        <f t="shared" si="216"/>
        <v>9.6140441080491755E-4</v>
      </c>
      <c r="U326" s="19">
        <f t="shared" si="217"/>
        <v>0</v>
      </c>
      <c r="V326" s="19">
        <f t="shared" si="218"/>
        <v>0</v>
      </c>
      <c r="W326" s="19">
        <f t="shared" si="219"/>
        <v>0</v>
      </c>
      <c r="X326" s="19">
        <f t="shared" si="220"/>
        <v>0</v>
      </c>
      <c r="Y326" s="19">
        <f t="shared" si="221"/>
        <v>0</v>
      </c>
    </row>
    <row r="327" spans="1:25" outlineLevel="2">
      <c r="A327" s="1" t="s">
        <v>22</v>
      </c>
      <c r="B327">
        <v>84</v>
      </c>
      <c r="C327" s="5">
        <v>100</v>
      </c>
      <c r="D327" s="5">
        <v>2.9746600492700002</v>
      </c>
      <c r="E327" s="2">
        <v>0</v>
      </c>
      <c r="F327" s="2">
        <v>0</v>
      </c>
      <c r="G327" s="2">
        <v>88.1</v>
      </c>
      <c r="H327" s="2">
        <v>46.1</v>
      </c>
      <c r="I327" s="2">
        <v>17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P327" s="19">
        <f t="shared" si="222"/>
        <v>0</v>
      </c>
      <c r="Q327" s="19">
        <f t="shared" si="213"/>
        <v>0</v>
      </c>
      <c r="R327" s="19">
        <f t="shared" si="214"/>
        <v>0.42172945706012399</v>
      </c>
      <c r="S327" s="19">
        <f t="shared" si="215"/>
        <v>5.0536581242705429E-2</v>
      </c>
      <c r="T327" s="19">
        <f t="shared" si="216"/>
        <v>1.7387101046471914E-3</v>
      </c>
      <c r="U327" s="19">
        <f t="shared" si="217"/>
        <v>0</v>
      </c>
      <c r="V327" s="19">
        <f t="shared" si="218"/>
        <v>0</v>
      </c>
      <c r="W327" s="19">
        <f t="shared" si="219"/>
        <v>0</v>
      </c>
      <c r="X327" s="19">
        <f t="shared" si="220"/>
        <v>0</v>
      </c>
      <c r="Y327" s="19">
        <f t="shared" si="221"/>
        <v>0</v>
      </c>
    </row>
    <row r="328" spans="1:25" outlineLevel="2">
      <c r="A328" s="1" t="s">
        <v>22</v>
      </c>
      <c r="B328">
        <v>85</v>
      </c>
      <c r="C328" s="5">
        <v>99.999024367000004</v>
      </c>
      <c r="D328" s="5">
        <v>8.4629705824800006</v>
      </c>
      <c r="E328" s="2">
        <v>0</v>
      </c>
      <c r="F328" s="2">
        <v>61.149403400420496</v>
      </c>
      <c r="G328" s="2">
        <v>37.263791438606653</v>
      </c>
      <c r="H328" s="2">
        <v>17.899825361693001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P328" s="19">
        <f t="shared" si="222"/>
        <v>0</v>
      </c>
      <c r="Q328" s="19">
        <f t="shared" si="213"/>
        <v>5.6238273764549478E-2</v>
      </c>
      <c r="R328" s="19">
        <f t="shared" si="214"/>
        <v>0.17837955200233011</v>
      </c>
      <c r="S328" s="19">
        <f t="shared" si="215"/>
        <v>1.9622472421289314E-2</v>
      </c>
      <c r="T328" s="19">
        <f t="shared" si="216"/>
        <v>0</v>
      </c>
      <c r="U328" s="19">
        <f t="shared" si="217"/>
        <v>0</v>
      </c>
      <c r="V328" s="19">
        <f t="shared" si="218"/>
        <v>0</v>
      </c>
      <c r="W328" s="19">
        <f t="shared" si="219"/>
        <v>0</v>
      </c>
      <c r="X328" s="19">
        <f t="shared" si="220"/>
        <v>0</v>
      </c>
      <c r="Y328" s="19">
        <f t="shared" si="221"/>
        <v>0</v>
      </c>
    </row>
    <row r="329" spans="1:25" outlineLevel="2">
      <c r="A329" s="1" t="s">
        <v>22</v>
      </c>
      <c r="B329">
        <v>86</v>
      </c>
      <c r="C329" s="5">
        <v>99.9999983294</v>
      </c>
      <c r="D329" s="5">
        <v>6.98291537348</v>
      </c>
      <c r="E329" s="2">
        <v>0</v>
      </c>
      <c r="F329" s="2">
        <v>1015.72786303125</v>
      </c>
      <c r="G329" s="2">
        <v>0.3999999933176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P329" s="19">
        <f t="shared" si="222"/>
        <v>0</v>
      </c>
      <c r="Q329" s="19">
        <f t="shared" si="213"/>
        <v>0.93415108659979895</v>
      </c>
      <c r="R329" s="19">
        <f t="shared" si="214"/>
        <v>1.9147761635174199E-3</v>
      </c>
      <c r="S329" s="19">
        <f t="shared" si="215"/>
        <v>0</v>
      </c>
      <c r="T329" s="19">
        <f t="shared" si="216"/>
        <v>0</v>
      </c>
      <c r="U329" s="19">
        <f t="shared" si="217"/>
        <v>0</v>
      </c>
      <c r="V329" s="19">
        <f t="shared" si="218"/>
        <v>0</v>
      </c>
      <c r="W329" s="19">
        <f t="shared" si="219"/>
        <v>0</v>
      </c>
      <c r="X329" s="19">
        <f t="shared" si="220"/>
        <v>0</v>
      </c>
      <c r="Y329" s="19">
        <f t="shared" si="221"/>
        <v>0</v>
      </c>
    </row>
    <row r="330" spans="1:25" outlineLevel="2">
      <c r="A330" s="1" t="s">
        <v>22</v>
      </c>
      <c r="B330">
        <v>87</v>
      </c>
      <c r="C330" s="5">
        <v>99.999893665299993</v>
      </c>
      <c r="D330" s="5">
        <v>8.5206243833399995</v>
      </c>
      <c r="E330" s="2">
        <v>0</v>
      </c>
      <c r="F330" s="2">
        <v>0</v>
      </c>
      <c r="G330" s="2">
        <v>0</v>
      </c>
      <c r="H330" s="2">
        <v>123.04407916130842</v>
      </c>
      <c r="I330" s="2">
        <v>108.50669461960909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P330" s="19">
        <f t="shared" si="222"/>
        <v>0</v>
      </c>
      <c r="Q330" s="19">
        <f t="shared" si="213"/>
        <v>0</v>
      </c>
      <c r="R330" s="19">
        <f t="shared" si="214"/>
        <v>0</v>
      </c>
      <c r="S330" s="19">
        <f t="shared" si="215"/>
        <v>0.13488562045486638</v>
      </c>
      <c r="T330" s="19">
        <f t="shared" si="216"/>
        <v>1.109774625629302E-2</v>
      </c>
      <c r="U330" s="19">
        <f t="shared" si="217"/>
        <v>0</v>
      </c>
      <c r="V330" s="19">
        <f t="shared" si="218"/>
        <v>0</v>
      </c>
      <c r="W330" s="19">
        <f t="shared" si="219"/>
        <v>0</v>
      </c>
      <c r="X330" s="19">
        <f t="shared" si="220"/>
        <v>0</v>
      </c>
      <c r="Y330" s="19">
        <f t="shared" si="221"/>
        <v>0</v>
      </c>
    </row>
    <row r="331" spans="1:25" outlineLevel="2">
      <c r="A331" s="1" t="s">
        <v>22</v>
      </c>
      <c r="B331">
        <v>95</v>
      </c>
      <c r="C331" s="5">
        <v>99.998829118900005</v>
      </c>
      <c r="D331" s="5">
        <v>5.83216005332</v>
      </c>
      <c r="E331" s="2">
        <v>0</v>
      </c>
      <c r="F331" s="2">
        <v>0</v>
      </c>
      <c r="G331" s="2">
        <v>0</v>
      </c>
      <c r="H331" s="2">
        <v>115.30836786030548</v>
      </c>
      <c r="I331" s="2">
        <v>1471.9828576291195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P331" s="19">
        <f t="shared" si="222"/>
        <v>0</v>
      </c>
      <c r="Q331" s="19">
        <f t="shared" si="213"/>
        <v>0</v>
      </c>
      <c r="R331" s="19">
        <f t="shared" si="214"/>
        <v>0</v>
      </c>
      <c r="S331" s="19">
        <f t="shared" si="215"/>
        <v>0.12640543818516467</v>
      </c>
      <c r="T331" s="19">
        <f t="shared" si="216"/>
        <v>0.15055008637807046</v>
      </c>
      <c r="U331" s="19">
        <f t="shared" si="217"/>
        <v>0</v>
      </c>
      <c r="V331" s="19">
        <f t="shared" si="218"/>
        <v>0</v>
      </c>
      <c r="W331" s="19">
        <f t="shared" si="219"/>
        <v>0</v>
      </c>
      <c r="X331" s="19">
        <f t="shared" si="220"/>
        <v>0</v>
      </c>
      <c r="Y331" s="19">
        <f t="shared" si="221"/>
        <v>0</v>
      </c>
    </row>
    <row r="332" spans="1:25" outlineLevel="2">
      <c r="A332" s="1" t="s">
        <v>22</v>
      </c>
      <c r="B332">
        <v>105</v>
      </c>
      <c r="C332" s="5">
        <v>32.815273351400002</v>
      </c>
      <c r="D332" s="5">
        <v>2.21744059241</v>
      </c>
      <c r="E332" s="2">
        <v>0</v>
      </c>
      <c r="F332" s="2">
        <v>0</v>
      </c>
      <c r="G332" s="2">
        <v>0</v>
      </c>
      <c r="H332" s="2">
        <v>111.00705942094015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P332" s="19">
        <f t="shared" si="222"/>
        <v>0</v>
      </c>
      <c r="Q332" s="19">
        <f t="shared" si="213"/>
        <v>0</v>
      </c>
      <c r="R332" s="19">
        <f t="shared" si="214"/>
        <v>0</v>
      </c>
      <c r="S332" s="19">
        <f t="shared" si="215"/>
        <v>0.12169017954317073</v>
      </c>
      <c r="T332" s="19">
        <f t="shared" si="216"/>
        <v>0</v>
      </c>
      <c r="U332" s="19">
        <f t="shared" si="217"/>
        <v>0</v>
      </c>
      <c r="V332" s="19">
        <f t="shared" si="218"/>
        <v>0</v>
      </c>
      <c r="W332" s="19">
        <f t="shared" si="219"/>
        <v>0</v>
      </c>
      <c r="X332" s="19">
        <f t="shared" si="220"/>
        <v>0</v>
      </c>
      <c r="Y332" s="19">
        <f t="shared" si="221"/>
        <v>0</v>
      </c>
    </row>
    <row r="333" spans="1:25" outlineLevel="2">
      <c r="A333" s="1" t="s">
        <v>22</v>
      </c>
      <c r="B333">
        <v>107</v>
      </c>
      <c r="C333" s="5">
        <v>40.643641780400003</v>
      </c>
      <c r="D333" s="5">
        <v>1.33501614027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P333" s="19">
        <f t="shared" si="222"/>
        <v>0</v>
      </c>
      <c r="Q333" s="19">
        <f t="shared" si="213"/>
        <v>0</v>
      </c>
      <c r="R333" s="19">
        <f t="shared" si="214"/>
        <v>0</v>
      </c>
      <c r="S333" s="19">
        <f t="shared" si="215"/>
        <v>0</v>
      </c>
      <c r="T333" s="19">
        <f t="shared" si="216"/>
        <v>0</v>
      </c>
      <c r="U333" s="19">
        <f t="shared" si="217"/>
        <v>0</v>
      </c>
      <c r="V333" s="19">
        <f t="shared" si="218"/>
        <v>0</v>
      </c>
      <c r="W333" s="19">
        <f t="shared" si="219"/>
        <v>0</v>
      </c>
      <c r="X333" s="19">
        <f t="shared" si="220"/>
        <v>0</v>
      </c>
      <c r="Y333" s="19">
        <f t="shared" si="221"/>
        <v>0</v>
      </c>
    </row>
    <row r="334" spans="1:25" outlineLevel="2">
      <c r="A334" s="1" t="s">
        <v>22</v>
      </c>
      <c r="B334">
        <v>114</v>
      </c>
      <c r="C334" s="5">
        <v>99.999135458599994</v>
      </c>
      <c r="D334" s="5">
        <v>6.1232745163900004</v>
      </c>
      <c r="E334" s="2">
        <v>0</v>
      </c>
      <c r="F334" s="2">
        <v>10.449909655423699</v>
      </c>
      <c r="G334" s="2">
        <v>0</v>
      </c>
      <c r="H334" s="2">
        <v>55.69951645045748</v>
      </c>
      <c r="I334" s="2">
        <v>0.19999827091720002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P334" s="19">
        <f t="shared" si="222"/>
        <v>0</v>
      </c>
      <c r="Q334" s="19">
        <f t="shared" si="213"/>
        <v>9.6106396356515494E-3</v>
      </c>
      <c r="R334" s="19">
        <f t="shared" si="214"/>
        <v>0</v>
      </c>
      <c r="S334" s="19">
        <f t="shared" si="215"/>
        <v>6.1059937923599823E-2</v>
      </c>
      <c r="T334" s="19">
        <f t="shared" si="216"/>
        <v>2.0455236150335421E-5</v>
      </c>
      <c r="U334" s="19">
        <f t="shared" si="217"/>
        <v>0</v>
      </c>
      <c r="V334" s="19">
        <f t="shared" si="218"/>
        <v>0</v>
      </c>
      <c r="W334" s="19">
        <f t="shared" si="219"/>
        <v>0</v>
      </c>
      <c r="X334" s="19">
        <f t="shared" si="220"/>
        <v>0</v>
      </c>
      <c r="Y334" s="19">
        <f t="shared" si="221"/>
        <v>0</v>
      </c>
    </row>
    <row r="335" spans="1:25" outlineLevel="1">
      <c r="A335" s="18" t="s">
        <v>76</v>
      </c>
      <c r="E335" s="2">
        <f t="shared" ref="E335:N335" si="223">SUBTOTAL(9,E316:E334)</f>
        <v>0</v>
      </c>
      <c r="F335" s="2">
        <f t="shared" si="223"/>
        <v>1087.3271760870941</v>
      </c>
      <c r="G335" s="2">
        <f t="shared" si="223"/>
        <v>208.90169876713162</v>
      </c>
      <c r="H335" s="2">
        <f t="shared" si="223"/>
        <v>912.21049913530089</v>
      </c>
      <c r="I335" s="2">
        <f t="shared" si="223"/>
        <v>9777.3630892020028</v>
      </c>
      <c r="J335" s="2">
        <f t="shared" si="223"/>
        <v>0</v>
      </c>
      <c r="K335" s="2">
        <f t="shared" si="223"/>
        <v>0</v>
      </c>
      <c r="L335" s="2">
        <f t="shared" si="223"/>
        <v>0</v>
      </c>
      <c r="M335" s="2">
        <f t="shared" si="223"/>
        <v>0</v>
      </c>
      <c r="N335" s="2">
        <f t="shared" si="223"/>
        <v>0</v>
      </c>
    </row>
    <row r="336" spans="1:25" outlineLevel="2">
      <c r="A336" s="1" t="s">
        <v>23</v>
      </c>
      <c r="B336">
        <v>40</v>
      </c>
      <c r="C336" s="5">
        <v>99.999403770800001</v>
      </c>
      <c r="D336" s="5">
        <v>99.999019357500003</v>
      </c>
      <c r="E336" s="2">
        <v>421.54928658507532</v>
      </c>
      <c r="F336" s="2">
        <v>234.498601842526</v>
      </c>
      <c r="G336" s="2">
        <v>48.699709636379602</v>
      </c>
      <c r="H336" s="2">
        <v>11.599930837412799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P336" s="19">
        <f>IF(E$337&gt;0, E336/E$337, 0)</f>
        <v>1</v>
      </c>
      <c r="Q336" s="19">
        <f t="shared" ref="Q336:Y336" si="224">IF(F$337&gt;0, F336/F$337, 0)</f>
        <v>1</v>
      </c>
      <c r="R336" s="19">
        <f t="shared" si="224"/>
        <v>1</v>
      </c>
      <c r="S336" s="19">
        <f t="shared" si="224"/>
        <v>1</v>
      </c>
      <c r="T336" s="19">
        <f t="shared" si="224"/>
        <v>0</v>
      </c>
      <c r="U336" s="19">
        <f t="shared" si="224"/>
        <v>0</v>
      </c>
      <c r="V336" s="19">
        <f t="shared" si="224"/>
        <v>0</v>
      </c>
      <c r="W336" s="19">
        <f t="shared" si="224"/>
        <v>0</v>
      </c>
      <c r="X336" s="19">
        <f t="shared" si="224"/>
        <v>0</v>
      </c>
      <c r="Y336" s="19">
        <f t="shared" si="224"/>
        <v>0</v>
      </c>
    </row>
    <row r="337" spans="1:25" outlineLevel="1">
      <c r="A337" s="18" t="s">
        <v>77</v>
      </c>
      <c r="E337" s="2">
        <f t="shared" ref="E337:N337" si="225">SUBTOTAL(9,E336:E336)</f>
        <v>421.54928658507532</v>
      </c>
      <c r="F337" s="2">
        <f t="shared" si="225"/>
        <v>234.498601842526</v>
      </c>
      <c r="G337" s="2">
        <f t="shared" si="225"/>
        <v>48.699709636379602</v>
      </c>
      <c r="H337" s="2">
        <f t="shared" si="225"/>
        <v>11.599930837412799</v>
      </c>
      <c r="I337" s="2">
        <f t="shared" si="225"/>
        <v>0</v>
      </c>
      <c r="J337" s="2">
        <f t="shared" si="225"/>
        <v>0</v>
      </c>
      <c r="K337" s="2">
        <f t="shared" si="225"/>
        <v>0</v>
      </c>
      <c r="L337" s="2">
        <f t="shared" si="225"/>
        <v>0</v>
      </c>
      <c r="M337" s="2">
        <f t="shared" si="225"/>
        <v>0</v>
      </c>
      <c r="N337" s="2">
        <f t="shared" si="225"/>
        <v>0</v>
      </c>
    </row>
    <row r="338" spans="1:25" outlineLevel="2">
      <c r="A338" s="1" t="s">
        <v>24</v>
      </c>
      <c r="B338">
        <v>262</v>
      </c>
      <c r="C338" s="5">
        <v>4.4255822073599997</v>
      </c>
      <c r="D338" s="5">
        <v>0.85692054492299996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P338" s="19">
        <f>IF(E$351&gt;0, E338/E$351, 0)</f>
        <v>0</v>
      </c>
      <c r="Q338" s="19">
        <f t="shared" ref="Q338:Q350" si="226">IF(F$351&gt;0, F338/F$351, 0)</f>
        <v>0</v>
      </c>
      <c r="R338" s="19">
        <f t="shared" ref="R338:R350" si="227">IF(G$351&gt;0, G338/G$351, 0)</f>
        <v>0</v>
      </c>
      <c r="S338" s="19">
        <f t="shared" ref="S338:S350" si="228">IF(H$351&gt;0, H338/H$351, 0)</f>
        <v>0</v>
      </c>
      <c r="T338" s="19">
        <f t="shared" ref="T338:T350" si="229">IF(I$351&gt;0, I338/I$351, 0)</f>
        <v>0</v>
      </c>
      <c r="U338" s="19">
        <f t="shared" ref="U338:U350" si="230">IF(J$351&gt;0, J338/J$351, 0)</f>
        <v>0</v>
      </c>
      <c r="V338" s="19">
        <f t="shared" ref="V338:V350" si="231">IF(K$351&gt;0, K338/K$351, 0)</f>
        <v>0</v>
      </c>
      <c r="W338" s="19">
        <f t="shared" ref="W338:W350" si="232">IF(L$351&gt;0, L338/L$351, 0)</f>
        <v>0</v>
      </c>
      <c r="X338" s="19">
        <f t="shared" ref="X338:X350" si="233">IF(M$351&gt;0, M338/M$351, 0)</f>
        <v>0</v>
      </c>
      <c r="Y338" s="19">
        <f t="shared" ref="Y338:Y350" si="234">IF(N$351&gt;0, N338/N$351, 0)</f>
        <v>0</v>
      </c>
    </row>
    <row r="339" spans="1:25" outlineLevel="2">
      <c r="A339" s="1" t="s">
        <v>24</v>
      </c>
      <c r="B339">
        <v>264</v>
      </c>
      <c r="C339" s="5">
        <v>87.736724415500007</v>
      </c>
      <c r="D339" s="5">
        <v>8.2630128944300001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P339" s="19">
        <f t="shared" ref="P339:P350" si="235">IF(E$351&gt;0, E339/E$351, 0)</f>
        <v>0</v>
      </c>
      <c r="Q339" s="19">
        <f t="shared" si="226"/>
        <v>0</v>
      </c>
      <c r="R339" s="19">
        <f t="shared" si="227"/>
        <v>0</v>
      </c>
      <c r="S339" s="19">
        <f t="shared" si="228"/>
        <v>0</v>
      </c>
      <c r="T339" s="19">
        <f t="shared" si="229"/>
        <v>0</v>
      </c>
      <c r="U339" s="19">
        <f t="shared" si="230"/>
        <v>0</v>
      </c>
      <c r="V339" s="19">
        <f t="shared" si="231"/>
        <v>0</v>
      </c>
      <c r="W339" s="19">
        <f t="shared" si="232"/>
        <v>0</v>
      </c>
      <c r="X339" s="19">
        <f t="shared" si="233"/>
        <v>0</v>
      </c>
      <c r="Y339" s="19">
        <f t="shared" si="234"/>
        <v>0</v>
      </c>
    </row>
    <row r="340" spans="1:25" outlineLevel="2">
      <c r="A340" s="1" t="s">
        <v>24</v>
      </c>
      <c r="B340">
        <v>265</v>
      </c>
      <c r="C340" s="5">
        <v>53.210647364899998</v>
      </c>
      <c r="D340" s="5">
        <v>8.7796539992000007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P340" s="19">
        <f t="shared" si="235"/>
        <v>0</v>
      </c>
      <c r="Q340" s="19">
        <f t="shared" si="226"/>
        <v>0</v>
      </c>
      <c r="R340" s="19">
        <f t="shared" si="227"/>
        <v>0</v>
      </c>
      <c r="S340" s="19">
        <f t="shared" si="228"/>
        <v>0</v>
      </c>
      <c r="T340" s="19">
        <f t="shared" si="229"/>
        <v>0</v>
      </c>
      <c r="U340" s="19">
        <f t="shared" si="230"/>
        <v>0</v>
      </c>
      <c r="V340" s="19">
        <f t="shared" si="231"/>
        <v>0</v>
      </c>
      <c r="W340" s="19">
        <f t="shared" si="232"/>
        <v>0</v>
      </c>
      <c r="X340" s="19">
        <f t="shared" si="233"/>
        <v>0</v>
      </c>
      <c r="Y340" s="19">
        <f t="shared" si="234"/>
        <v>0</v>
      </c>
    </row>
    <row r="341" spans="1:25" outlineLevel="2">
      <c r="A341" s="1" t="s">
        <v>24</v>
      </c>
      <c r="B341">
        <v>266</v>
      </c>
      <c r="C341" s="5">
        <v>99.999668829399994</v>
      </c>
      <c r="D341" s="5">
        <v>1.59042721137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P341" s="19">
        <f t="shared" si="235"/>
        <v>0</v>
      </c>
      <c r="Q341" s="19">
        <f t="shared" si="226"/>
        <v>0</v>
      </c>
      <c r="R341" s="19">
        <f t="shared" si="227"/>
        <v>0</v>
      </c>
      <c r="S341" s="19">
        <f t="shared" si="228"/>
        <v>0</v>
      </c>
      <c r="T341" s="19">
        <f t="shared" si="229"/>
        <v>0</v>
      </c>
      <c r="U341" s="19">
        <f t="shared" si="230"/>
        <v>0</v>
      </c>
      <c r="V341" s="19">
        <f t="shared" si="231"/>
        <v>0</v>
      </c>
      <c r="W341" s="19">
        <f t="shared" si="232"/>
        <v>0</v>
      </c>
      <c r="X341" s="19">
        <f t="shared" si="233"/>
        <v>0</v>
      </c>
      <c r="Y341" s="19">
        <f t="shared" si="234"/>
        <v>0</v>
      </c>
    </row>
    <row r="342" spans="1:25" outlineLevel="2">
      <c r="A342" s="1" t="s">
        <v>24</v>
      </c>
      <c r="B342">
        <v>267</v>
      </c>
      <c r="C342" s="5">
        <v>97.709604034700007</v>
      </c>
      <c r="D342" s="5">
        <v>22.837334486700001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P342" s="19">
        <f t="shared" si="235"/>
        <v>0</v>
      </c>
      <c r="Q342" s="19">
        <f t="shared" si="226"/>
        <v>0</v>
      </c>
      <c r="R342" s="19">
        <f t="shared" si="227"/>
        <v>0</v>
      </c>
      <c r="S342" s="19">
        <f t="shared" si="228"/>
        <v>0</v>
      </c>
      <c r="T342" s="19">
        <f t="shared" si="229"/>
        <v>0</v>
      </c>
      <c r="U342" s="19">
        <f t="shared" si="230"/>
        <v>0</v>
      </c>
      <c r="V342" s="19">
        <f t="shared" si="231"/>
        <v>0</v>
      </c>
      <c r="W342" s="19">
        <f t="shared" si="232"/>
        <v>0</v>
      </c>
      <c r="X342" s="19">
        <f t="shared" si="233"/>
        <v>0</v>
      </c>
      <c r="Y342" s="19">
        <f t="shared" si="234"/>
        <v>0</v>
      </c>
    </row>
    <row r="343" spans="1:25" outlineLevel="2">
      <c r="A343" s="1" t="s">
        <v>24</v>
      </c>
      <c r="B343">
        <v>268</v>
      </c>
      <c r="C343" s="5">
        <v>100</v>
      </c>
      <c r="D343" s="5">
        <v>1.0309466575599999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P343" s="19">
        <f t="shared" si="235"/>
        <v>0</v>
      </c>
      <c r="Q343" s="19">
        <f t="shared" si="226"/>
        <v>0</v>
      </c>
      <c r="R343" s="19">
        <f t="shared" si="227"/>
        <v>0</v>
      </c>
      <c r="S343" s="19">
        <f t="shared" si="228"/>
        <v>0</v>
      </c>
      <c r="T343" s="19">
        <f t="shared" si="229"/>
        <v>0</v>
      </c>
      <c r="U343" s="19">
        <f t="shared" si="230"/>
        <v>0</v>
      </c>
      <c r="V343" s="19">
        <f t="shared" si="231"/>
        <v>0</v>
      </c>
      <c r="W343" s="19">
        <f t="shared" si="232"/>
        <v>0</v>
      </c>
      <c r="X343" s="19">
        <f t="shared" si="233"/>
        <v>0</v>
      </c>
      <c r="Y343" s="19">
        <f t="shared" si="234"/>
        <v>0</v>
      </c>
    </row>
    <row r="344" spans="1:25" outlineLevel="2">
      <c r="A344" s="1" t="s">
        <v>24</v>
      </c>
      <c r="B344">
        <v>269</v>
      </c>
      <c r="C344" s="5">
        <v>100</v>
      </c>
      <c r="D344" s="5">
        <v>1.3932969374699999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P344" s="19">
        <f t="shared" si="235"/>
        <v>0</v>
      </c>
      <c r="Q344" s="19">
        <f t="shared" si="226"/>
        <v>0</v>
      </c>
      <c r="R344" s="19">
        <f t="shared" si="227"/>
        <v>0</v>
      </c>
      <c r="S344" s="19">
        <f t="shared" si="228"/>
        <v>0</v>
      </c>
      <c r="T344" s="19">
        <f t="shared" si="229"/>
        <v>0</v>
      </c>
      <c r="U344" s="19">
        <f t="shared" si="230"/>
        <v>0</v>
      </c>
      <c r="V344" s="19">
        <f t="shared" si="231"/>
        <v>0</v>
      </c>
      <c r="W344" s="19">
        <f t="shared" si="232"/>
        <v>0</v>
      </c>
      <c r="X344" s="19">
        <f t="shared" si="233"/>
        <v>0</v>
      </c>
      <c r="Y344" s="19">
        <f t="shared" si="234"/>
        <v>0</v>
      </c>
    </row>
    <row r="345" spans="1:25" outlineLevel="2">
      <c r="A345" s="1" t="s">
        <v>24</v>
      </c>
      <c r="B345">
        <v>270</v>
      </c>
      <c r="C345" s="5">
        <v>99.780862807099993</v>
      </c>
      <c r="D345" s="5">
        <v>4.2870331952200003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P345" s="19">
        <f t="shared" si="235"/>
        <v>0</v>
      </c>
      <c r="Q345" s="19">
        <f t="shared" si="226"/>
        <v>0</v>
      </c>
      <c r="R345" s="19">
        <f t="shared" si="227"/>
        <v>0</v>
      </c>
      <c r="S345" s="19">
        <f t="shared" si="228"/>
        <v>0</v>
      </c>
      <c r="T345" s="19">
        <f t="shared" si="229"/>
        <v>0</v>
      </c>
      <c r="U345" s="19">
        <f t="shared" si="230"/>
        <v>0</v>
      </c>
      <c r="V345" s="19">
        <f t="shared" si="231"/>
        <v>0</v>
      </c>
      <c r="W345" s="19">
        <f t="shared" si="232"/>
        <v>0</v>
      </c>
      <c r="X345" s="19">
        <f t="shared" si="233"/>
        <v>0</v>
      </c>
      <c r="Y345" s="19">
        <f t="shared" si="234"/>
        <v>0</v>
      </c>
    </row>
    <row r="346" spans="1:25" outlineLevel="2">
      <c r="A346" s="1" t="s">
        <v>24</v>
      </c>
      <c r="B346">
        <v>271</v>
      </c>
      <c r="C346" s="5">
        <v>100</v>
      </c>
      <c r="D346" s="5">
        <v>0.64197062157399998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P346" s="19">
        <f t="shared" si="235"/>
        <v>0</v>
      </c>
      <c r="Q346" s="19">
        <f t="shared" si="226"/>
        <v>0</v>
      </c>
      <c r="R346" s="19">
        <f t="shared" si="227"/>
        <v>0</v>
      </c>
      <c r="S346" s="19">
        <f t="shared" si="228"/>
        <v>0</v>
      </c>
      <c r="T346" s="19">
        <f t="shared" si="229"/>
        <v>0</v>
      </c>
      <c r="U346" s="19">
        <f t="shared" si="230"/>
        <v>0</v>
      </c>
      <c r="V346" s="19">
        <f t="shared" si="231"/>
        <v>0</v>
      </c>
      <c r="W346" s="19">
        <f t="shared" si="232"/>
        <v>0</v>
      </c>
      <c r="X346" s="19">
        <f t="shared" si="233"/>
        <v>0</v>
      </c>
      <c r="Y346" s="19">
        <f t="shared" si="234"/>
        <v>0</v>
      </c>
    </row>
    <row r="347" spans="1:25" outlineLevel="2">
      <c r="A347" s="1" t="s">
        <v>24</v>
      </c>
      <c r="B347">
        <v>272</v>
      </c>
      <c r="C347" s="5">
        <v>82.935116918399999</v>
      </c>
      <c r="D347" s="5">
        <v>3.5688459272999999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P347" s="19">
        <f t="shared" si="235"/>
        <v>0</v>
      </c>
      <c r="Q347" s="19">
        <f t="shared" si="226"/>
        <v>0</v>
      </c>
      <c r="R347" s="19">
        <f t="shared" si="227"/>
        <v>0</v>
      </c>
      <c r="S347" s="19">
        <f t="shared" si="228"/>
        <v>0</v>
      </c>
      <c r="T347" s="19">
        <f t="shared" si="229"/>
        <v>0</v>
      </c>
      <c r="U347" s="19">
        <f t="shared" si="230"/>
        <v>0</v>
      </c>
      <c r="V347" s="19">
        <f t="shared" si="231"/>
        <v>0</v>
      </c>
      <c r="W347" s="19">
        <f t="shared" si="232"/>
        <v>0</v>
      </c>
      <c r="X347" s="19">
        <f t="shared" si="233"/>
        <v>0</v>
      </c>
      <c r="Y347" s="19">
        <f t="shared" si="234"/>
        <v>0</v>
      </c>
    </row>
    <row r="348" spans="1:25" outlineLevel="2">
      <c r="A348" s="1" t="s">
        <v>24</v>
      </c>
      <c r="B348">
        <v>273</v>
      </c>
      <c r="C348" s="5">
        <v>100</v>
      </c>
      <c r="D348" s="5">
        <v>3.4415781587200001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P348" s="19">
        <f t="shared" si="235"/>
        <v>0</v>
      </c>
      <c r="Q348" s="19">
        <f t="shared" si="226"/>
        <v>0</v>
      </c>
      <c r="R348" s="19">
        <f t="shared" si="227"/>
        <v>0</v>
      </c>
      <c r="S348" s="19">
        <f t="shared" si="228"/>
        <v>0</v>
      </c>
      <c r="T348" s="19">
        <f t="shared" si="229"/>
        <v>0</v>
      </c>
      <c r="U348" s="19">
        <f t="shared" si="230"/>
        <v>0</v>
      </c>
      <c r="V348" s="19">
        <f t="shared" si="231"/>
        <v>0</v>
      </c>
      <c r="W348" s="19">
        <f t="shared" si="232"/>
        <v>0</v>
      </c>
      <c r="X348" s="19">
        <f t="shared" si="233"/>
        <v>0</v>
      </c>
      <c r="Y348" s="19">
        <f t="shared" si="234"/>
        <v>0</v>
      </c>
    </row>
    <row r="349" spans="1:25" outlineLevel="2">
      <c r="A349" s="1" t="s">
        <v>24</v>
      </c>
      <c r="B349">
        <v>274</v>
      </c>
      <c r="C349" s="5">
        <v>100</v>
      </c>
      <c r="D349" s="5">
        <v>3.3349785079699998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P349" s="19">
        <f t="shared" si="235"/>
        <v>0</v>
      </c>
      <c r="Q349" s="19">
        <f t="shared" si="226"/>
        <v>0</v>
      </c>
      <c r="R349" s="19">
        <f t="shared" si="227"/>
        <v>0</v>
      </c>
      <c r="S349" s="19">
        <f t="shared" si="228"/>
        <v>0</v>
      </c>
      <c r="T349" s="19">
        <f t="shared" si="229"/>
        <v>0</v>
      </c>
      <c r="U349" s="19">
        <f t="shared" si="230"/>
        <v>0</v>
      </c>
      <c r="V349" s="19">
        <f t="shared" si="231"/>
        <v>0</v>
      </c>
      <c r="W349" s="19">
        <f t="shared" si="232"/>
        <v>0</v>
      </c>
      <c r="X349" s="19">
        <f t="shared" si="233"/>
        <v>0</v>
      </c>
      <c r="Y349" s="19">
        <f t="shared" si="234"/>
        <v>0</v>
      </c>
    </row>
    <row r="350" spans="1:25" outlineLevel="2">
      <c r="A350" s="1" t="s">
        <v>24</v>
      </c>
      <c r="B350">
        <v>275</v>
      </c>
      <c r="C350" s="5">
        <v>99.994921036899996</v>
      </c>
      <c r="D350" s="5">
        <v>37.314304288099997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420.9052112938158</v>
      </c>
      <c r="M350" s="2">
        <v>0</v>
      </c>
      <c r="N350" s="2">
        <v>0</v>
      </c>
      <c r="P350" s="19">
        <f t="shared" si="235"/>
        <v>0</v>
      </c>
      <c r="Q350" s="19">
        <f t="shared" si="226"/>
        <v>0</v>
      </c>
      <c r="R350" s="19">
        <f t="shared" si="227"/>
        <v>0</v>
      </c>
      <c r="S350" s="19">
        <f t="shared" si="228"/>
        <v>0</v>
      </c>
      <c r="T350" s="19">
        <f t="shared" si="229"/>
        <v>0</v>
      </c>
      <c r="U350" s="19">
        <f t="shared" si="230"/>
        <v>0</v>
      </c>
      <c r="V350" s="19">
        <f t="shared" si="231"/>
        <v>0</v>
      </c>
      <c r="W350" s="19">
        <f t="shared" si="232"/>
        <v>1</v>
      </c>
      <c r="X350" s="19">
        <f t="shared" si="233"/>
        <v>0</v>
      </c>
      <c r="Y350" s="19">
        <f t="shared" si="234"/>
        <v>0</v>
      </c>
    </row>
    <row r="351" spans="1:25" outlineLevel="1">
      <c r="A351" s="18" t="s">
        <v>78</v>
      </c>
      <c r="E351" s="2">
        <f t="shared" ref="E351:N351" si="236">SUBTOTAL(9,E338:E350)</f>
        <v>0</v>
      </c>
      <c r="F351" s="2">
        <f t="shared" si="236"/>
        <v>0</v>
      </c>
      <c r="G351" s="2">
        <f t="shared" si="236"/>
        <v>0</v>
      </c>
      <c r="H351" s="2">
        <f t="shared" si="236"/>
        <v>0</v>
      </c>
      <c r="I351" s="2">
        <f t="shared" si="236"/>
        <v>0</v>
      </c>
      <c r="J351" s="2">
        <f t="shared" si="236"/>
        <v>0</v>
      </c>
      <c r="K351" s="2">
        <f t="shared" si="236"/>
        <v>0</v>
      </c>
      <c r="L351" s="2">
        <f t="shared" si="236"/>
        <v>420.9052112938158</v>
      </c>
      <c r="M351" s="2">
        <f t="shared" si="236"/>
        <v>0</v>
      </c>
      <c r="N351" s="2">
        <f t="shared" si="236"/>
        <v>0</v>
      </c>
    </row>
    <row r="352" spans="1:25" outlineLevel="2">
      <c r="A352" s="1" t="s">
        <v>25</v>
      </c>
      <c r="B352">
        <v>135</v>
      </c>
      <c r="C352" s="5">
        <v>99.9993419547</v>
      </c>
      <c r="D352" s="5">
        <v>19.935907111799999</v>
      </c>
      <c r="E352" s="2">
        <v>0</v>
      </c>
      <c r="F352" s="2">
        <v>5.2545544224240519</v>
      </c>
      <c r="G352" s="2">
        <v>313.95793400097608</v>
      </c>
      <c r="H352" s="2">
        <v>103.3993195811598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P352" s="19">
        <f>IF(E$366&gt;0, E352/E$366, 0)</f>
        <v>0</v>
      </c>
      <c r="Q352" s="19">
        <f t="shared" ref="Q352:Q365" si="237">IF(F$366&gt;0, F352/F$366, 0)</f>
        <v>7.8598866864761183E-4</v>
      </c>
      <c r="R352" s="19">
        <f t="shared" ref="R352:R365" si="238">IF(G$366&gt;0, G352/G$366, 0)</f>
        <v>0.82008274245981116</v>
      </c>
      <c r="S352" s="19">
        <f t="shared" ref="S352:S365" si="239">IF(H$366&gt;0, H352/H$366, 0)</f>
        <v>0.97685406545153963</v>
      </c>
      <c r="T352" s="19">
        <f t="shared" ref="T352:T365" si="240">IF(I$366&gt;0, I352/I$366, 0)</f>
        <v>0</v>
      </c>
      <c r="U352" s="19">
        <f t="shared" ref="U352:U365" si="241">IF(J$366&gt;0, J352/J$366, 0)</f>
        <v>0</v>
      </c>
      <c r="V352" s="19">
        <f t="shared" ref="V352:V365" si="242">IF(K$366&gt;0, K352/K$366, 0)</f>
        <v>0</v>
      </c>
      <c r="W352" s="19">
        <f t="shared" ref="W352:W365" si="243">IF(L$366&gt;0, L352/L$366, 0)</f>
        <v>0</v>
      </c>
      <c r="X352" s="19">
        <f t="shared" ref="X352:X365" si="244">IF(M$366&gt;0, M352/M$366, 0)</f>
        <v>0</v>
      </c>
      <c r="Y352" s="19">
        <f t="shared" ref="Y352:Y365" si="245">IF(N$366&gt;0, N352/N$366, 0)</f>
        <v>0</v>
      </c>
    </row>
    <row r="353" spans="1:25" outlineLevel="2">
      <c r="A353" s="1" t="s">
        <v>25</v>
      </c>
      <c r="B353">
        <v>136</v>
      </c>
      <c r="C353" s="5">
        <v>99.999760743600007</v>
      </c>
      <c r="D353" s="5">
        <v>13.8168592211</v>
      </c>
      <c r="E353" s="2">
        <v>0</v>
      </c>
      <c r="F353" s="2">
        <v>385.28767817236599</v>
      </c>
      <c r="G353" s="2">
        <v>16.1999612404632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P353" s="19">
        <f t="shared" ref="P353:P365" si="246">IF(E$366&gt;0, E353/E$366, 0)</f>
        <v>0</v>
      </c>
      <c r="Q353" s="19">
        <f t="shared" si="237"/>
        <v>5.7632241455275277E-2</v>
      </c>
      <c r="R353" s="19">
        <f t="shared" si="238"/>
        <v>4.2315569071684621E-2</v>
      </c>
      <c r="S353" s="19">
        <f t="shared" si="239"/>
        <v>0</v>
      </c>
      <c r="T353" s="19">
        <f t="shared" si="240"/>
        <v>0</v>
      </c>
      <c r="U353" s="19">
        <f t="shared" si="241"/>
        <v>0</v>
      </c>
      <c r="V353" s="19">
        <f t="shared" si="242"/>
        <v>0</v>
      </c>
      <c r="W353" s="19">
        <f t="shared" si="243"/>
        <v>0</v>
      </c>
      <c r="X353" s="19">
        <f t="shared" si="244"/>
        <v>0</v>
      </c>
      <c r="Y353" s="19">
        <f t="shared" si="245"/>
        <v>0</v>
      </c>
    </row>
    <row r="354" spans="1:25" outlineLevel="2">
      <c r="A354" s="1" t="s">
        <v>25</v>
      </c>
      <c r="B354">
        <v>137</v>
      </c>
      <c r="C354" s="5">
        <v>99.998955063699995</v>
      </c>
      <c r="D354" s="5">
        <v>10.462225292699999</v>
      </c>
      <c r="E354" s="2">
        <v>0</v>
      </c>
      <c r="F354" s="2">
        <v>28.244664858160036</v>
      </c>
      <c r="G354" s="2">
        <v>6.9999268544589999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P354" s="19">
        <f t="shared" si="246"/>
        <v>0</v>
      </c>
      <c r="Q354" s="19">
        <f t="shared" si="237"/>
        <v>4.2249037203846889E-3</v>
      </c>
      <c r="R354" s="19">
        <f t="shared" si="238"/>
        <v>1.8284357839496324E-2</v>
      </c>
      <c r="S354" s="19">
        <f t="shared" si="239"/>
        <v>0</v>
      </c>
      <c r="T354" s="19">
        <f t="shared" si="240"/>
        <v>0</v>
      </c>
      <c r="U354" s="19">
        <f t="shared" si="241"/>
        <v>0</v>
      </c>
      <c r="V354" s="19">
        <f t="shared" si="242"/>
        <v>0</v>
      </c>
      <c r="W354" s="19">
        <f t="shared" si="243"/>
        <v>0</v>
      </c>
      <c r="X354" s="19">
        <f t="shared" si="244"/>
        <v>0</v>
      </c>
      <c r="Y354" s="19">
        <f t="shared" si="245"/>
        <v>0</v>
      </c>
    </row>
    <row r="355" spans="1:25" outlineLevel="2">
      <c r="A355" s="1" t="s">
        <v>25</v>
      </c>
      <c r="B355">
        <v>138</v>
      </c>
      <c r="C355" s="5">
        <v>100</v>
      </c>
      <c r="D355" s="5">
        <v>6.4871425326500001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P355" s="19">
        <f t="shared" si="246"/>
        <v>0</v>
      </c>
      <c r="Q355" s="19">
        <f t="shared" si="237"/>
        <v>0</v>
      </c>
      <c r="R355" s="19">
        <f t="shared" si="238"/>
        <v>0</v>
      </c>
      <c r="S355" s="19">
        <f t="shared" si="239"/>
        <v>0</v>
      </c>
      <c r="T355" s="19">
        <f t="shared" si="240"/>
        <v>0</v>
      </c>
      <c r="U355" s="19">
        <f t="shared" si="241"/>
        <v>0</v>
      </c>
      <c r="V355" s="19">
        <f t="shared" si="242"/>
        <v>0</v>
      </c>
      <c r="W355" s="19">
        <f t="shared" si="243"/>
        <v>0</v>
      </c>
      <c r="X355" s="19">
        <f t="shared" si="244"/>
        <v>0</v>
      </c>
      <c r="Y355" s="19">
        <f t="shared" si="245"/>
        <v>0</v>
      </c>
    </row>
    <row r="356" spans="1:25" outlineLevel="2">
      <c r="A356" s="1" t="s">
        <v>25</v>
      </c>
      <c r="B356">
        <v>139</v>
      </c>
      <c r="C356" s="5">
        <v>99.999955615600001</v>
      </c>
      <c r="D356" s="5">
        <v>5.1476014185299999</v>
      </c>
      <c r="E356" s="2">
        <v>0</v>
      </c>
      <c r="F356" s="2">
        <v>1379.8393075663305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P356" s="19">
        <f t="shared" si="246"/>
        <v>0</v>
      </c>
      <c r="Q356" s="19">
        <f t="shared" si="237"/>
        <v>0.20639962461391337</v>
      </c>
      <c r="R356" s="19">
        <f t="shared" si="238"/>
        <v>0</v>
      </c>
      <c r="S356" s="19">
        <f t="shared" si="239"/>
        <v>0</v>
      </c>
      <c r="T356" s="19">
        <f t="shared" si="240"/>
        <v>0</v>
      </c>
      <c r="U356" s="19">
        <f t="shared" si="241"/>
        <v>0</v>
      </c>
      <c r="V356" s="19">
        <f t="shared" si="242"/>
        <v>0</v>
      </c>
      <c r="W356" s="19">
        <f t="shared" si="243"/>
        <v>0</v>
      </c>
      <c r="X356" s="19">
        <f t="shared" si="244"/>
        <v>0</v>
      </c>
      <c r="Y356" s="19">
        <f t="shared" si="245"/>
        <v>0</v>
      </c>
    </row>
    <row r="357" spans="1:25" outlineLevel="2">
      <c r="A357" s="1" t="s">
        <v>25</v>
      </c>
      <c r="B357">
        <v>140</v>
      </c>
      <c r="C357" s="5">
        <v>99.999644302899995</v>
      </c>
      <c r="D357" s="5">
        <v>7.3164353200800001</v>
      </c>
      <c r="E357" s="2">
        <v>0</v>
      </c>
      <c r="F357" s="2">
        <v>458.21542013524135</v>
      </c>
      <c r="G357" s="2">
        <v>25.799908230148194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P357" s="19">
        <f t="shared" si="246"/>
        <v>0</v>
      </c>
      <c r="Q357" s="19">
        <f t="shared" si="237"/>
        <v>6.8540945448949731E-2</v>
      </c>
      <c r="R357" s="19">
        <f t="shared" si="238"/>
        <v>6.7391383383627448E-2</v>
      </c>
      <c r="S357" s="19">
        <f t="shared" si="239"/>
        <v>0</v>
      </c>
      <c r="T357" s="19">
        <f t="shared" si="240"/>
        <v>0</v>
      </c>
      <c r="U357" s="19">
        <f t="shared" si="241"/>
        <v>0</v>
      </c>
      <c r="V357" s="19">
        <f t="shared" si="242"/>
        <v>0</v>
      </c>
      <c r="W357" s="19">
        <f t="shared" si="243"/>
        <v>0</v>
      </c>
      <c r="X357" s="19">
        <f t="shared" si="244"/>
        <v>0</v>
      </c>
      <c r="Y357" s="19">
        <f t="shared" si="245"/>
        <v>0</v>
      </c>
    </row>
    <row r="358" spans="1:25" outlineLevel="2">
      <c r="A358" s="1" t="s">
        <v>25</v>
      </c>
      <c r="B358">
        <v>141</v>
      </c>
      <c r="C358" s="5">
        <v>99.999223790000002</v>
      </c>
      <c r="D358" s="5">
        <v>6.1266252048899998</v>
      </c>
      <c r="E358" s="2">
        <v>0</v>
      </c>
      <c r="F358" s="2">
        <v>4412.6364284089141</v>
      </c>
      <c r="G358" s="2">
        <v>5.8799543588520002</v>
      </c>
      <c r="H358" s="2">
        <v>2.4499809828550001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P358" s="19">
        <f t="shared" si="246"/>
        <v>0</v>
      </c>
      <c r="Q358" s="19">
        <f t="shared" si="237"/>
        <v>0.66005258538954736</v>
      </c>
      <c r="R358" s="19">
        <f t="shared" si="238"/>
        <v>1.5358901858905968E-2</v>
      </c>
      <c r="S358" s="19">
        <f t="shared" si="239"/>
        <v>2.3145934548460409E-2</v>
      </c>
      <c r="T358" s="19">
        <f t="shared" si="240"/>
        <v>0</v>
      </c>
      <c r="U358" s="19">
        <f t="shared" si="241"/>
        <v>0</v>
      </c>
      <c r="V358" s="19">
        <f t="shared" si="242"/>
        <v>0</v>
      </c>
      <c r="W358" s="19">
        <f t="shared" si="243"/>
        <v>0</v>
      </c>
      <c r="X358" s="19">
        <f t="shared" si="244"/>
        <v>0</v>
      </c>
      <c r="Y358" s="19">
        <f t="shared" si="245"/>
        <v>0</v>
      </c>
    </row>
    <row r="359" spans="1:25" outlineLevel="2">
      <c r="A359" s="1" t="s">
        <v>25</v>
      </c>
      <c r="B359">
        <v>142</v>
      </c>
      <c r="C359" s="5">
        <v>99.994387566499995</v>
      </c>
      <c r="D359" s="5">
        <v>3.54338333921</v>
      </c>
      <c r="E359" s="2">
        <v>0</v>
      </c>
      <c r="F359" s="2">
        <v>0</v>
      </c>
      <c r="G359" s="2">
        <v>13.99921425931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P359" s="19">
        <f t="shared" si="246"/>
        <v>0</v>
      </c>
      <c r="Q359" s="19">
        <f t="shared" si="237"/>
        <v>0</v>
      </c>
      <c r="R359" s="19">
        <f t="shared" si="238"/>
        <v>3.6567045386474435E-2</v>
      </c>
      <c r="S359" s="19">
        <f t="shared" si="239"/>
        <v>0</v>
      </c>
      <c r="T359" s="19">
        <f t="shared" si="240"/>
        <v>0</v>
      </c>
      <c r="U359" s="19">
        <f t="shared" si="241"/>
        <v>0</v>
      </c>
      <c r="V359" s="19">
        <f t="shared" si="242"/>
        <v>0</v>
      </c>
      <c r="W359" s="19">
        <f t="shared" si="243"/>
        <v>0</v>
      </c>
      <c r="X359" s="19">
        <f t="shared" si="244"/>
        <v>0</v>
      </c>
      <c r="Y359" s="19">
        <f t="shared" si="245"/>
        <v>0</v>
      </c>
    </row>
    <row r="360" spans="1:25" outlineLevel="2">
      <c r="A360" s="1" t="s">
        <v>25</v>
      </c>
      <c r="B360">
        <v>143</v>
      </c>
      <c r="C360" s="5">
        <v>99.999673747000003</v>
      </c>
      <c r="D360" s="5">
        <v>6.9196287956899996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P360" s="19">
        <f t="shared" si="246"/>
        <v>0</v>
      </c>
      <c r="Q360" s="19">
        <f t="shared" si="237"/>
        <v>0</v>
      </c>
      <c r="R360" s="19">
        <f t="shared" si="238"/>
        <v>0</v>
      </c>
      <c r="S360" s="19">
        <f t="shared" si="239"/>
        <v>0</v>
      </c>
      <c r="T360" s="19">
        <f t="shared" si="240"/>
        <v>0</v>
      </c>
      <c r="U360" s="19">
        <f t="shared" si="241"/>
        <v>0</v>
      </c>
      <c r="V360" s="19">
        <f t="shared" si="242"/>
        <v>0</v>
      </c>
      <c r="W360" s="19">
        <f t="shared" si="243"/>
        <v>0</v>
      </c>
      <c r="X360" s="19">
        <f t="shared" si="244"/>
        <v>0</v>
      </c>
      <c r="Y360" s="19">
        <f t="shared" si="245"/>
        <v>0</v>
      </c>
    </row>
    <row r="361" spans="1:25" outlineLevel="2">
      <c r="A361" s="1" t="s">
        <v>25</v>
      </c>
      <c r="B361">
        <v>144</v>
      </c>
      <c r="C361" s="5">
        <v>42.718653291000003</v>
      </c>
      <c r="D361" s="5">
        <v>5.9089458624300004</v>
      </c>
      <c r="E361" s="2">
        <v>43.060402517328001</v>
      </c>
      <c r="F361" s="2">
        <v>2.6485565040420003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P361" s="19">
        <f t="shared" si="246"/>
        <v>1</v>
      </c>
      <c r="Q361" s="19">
        <f t="shared" si="237"/>
        <v>3.9617734123488068E-4</v>
      </c>
      <c r="R361" s="19">
        <f t="shared" si="238"/>
        <v>0</v>
      </c>
      <c r="S361" s="19">
        <f t="shared" si="239"/>
        <v>0</v>
      </c>
      <c r="T361" s="19">
        <f t="shared" si="240"/>
        <v>0</v>
      </c>
      <c r="U361" s="19">
        <f t="shared" si="241"/>
        <v>0</v>
      </c>
      <c r="V361" s="19">
        <f t="shared" si="242"/>
        <v>0</v>
      </c>
      <c r="W361" s="19">
        <f t="shared" si="243"/>
        <v>0</v>
      </c>
      <c r="X361" s="19">
        <f t="shared" si="244"/>
        <v>0</v>
      </c>
      <c r="Y361" s="19">
        <f t="shared" si="245"/>
        <v>0</v>
      </c>
    </row>
    <row r="362" spans="1:25" outlineLevel="2">
      <c r="A362" s="1" t="s">
        <v>25</v>
      </c>
      <c r="B362">
        <v>145</v>
      </c>
      <c r="C362" s="5">
        <v>100</v>
      </c>
      <c r="D362" s="5">
        <v>2.0891593314299999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P362" s="19">
        <f t="shared" si="246"/>
        <v>0</v>
      </c>
      <c r="Q362" s="19">
        <f t="shared" si="237"/>
        <v>0</v>
      </c>
      <c r="R362" s="19">
        <f t="shared" si="238"/>
        <v>0</v>
      </c>
      <c r="S362" s="19">
        <f t="shared" si="239"/>
        <v>0</v>
      </c>
      <c r="T362" s="19">
        <f t="shared" si="240"/>
        <v>0</v>
      </c>
      <c r="U362" s="19">
        <f t="shared" si="241"/>
        <v>0</v>
      </c>
      <c r="V362" s="19">
        <f t="shared" si="242"/>
        <v>0</v>
      </c>
      <c r="W362" s="19">
        <f t="shared" si="243"/>
        <v>0</v>
      </c>
      <c r="X362" s="19">
        <f t="shared" si="244"/>
        <v>0</v>
      </c>
      <c r="Y362" s="19">
        <f t="shared" si="245"/>
        <v>0</v>
      </c>
    </row>
    <row r="363" spans="1:25" outlineLevel="2">
      <c r="A363" s="1" t="s">
        <v>25</v>
      </c>
      <c r="B363">
        <v>146</v>
      </c>
      <c r="C363" s="5">
        <v>99.999366577499998</v>
      </c>
      <c r="D363" s="5">
        <v>4.6389687445399996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P363" s="19">
        <f t="shared" si="246"/>
        <v>0</v>
      </c>
      <c r="Q363" s="19">
        <f t="shared" si="237"/>
        <v>0</v>
      </c>
      <c r="R363" s="19">
        <f t="shared" si="238"/>
        <v>0</v>
      </c>
      <c r="S363" s="19">
        <f t="shared" si="239"/>
        <v>0</v>
      </c>
      <c r="T363" s="19">
        <f t="shared" si="240"/>
        <v>0</v>
      </c>
      <c r="U363" s="19">
        <f t="shared" si="241"/>
        <v>0</v>
      </c>
      <c r="V363" s="19">
        <f t="shared" si="242"/>
        <v>0</v>
      </c>
      <c r="W363" s="19">
        <f t="shared" si="243"/>
        <v>0</v>
      </c>
      <c r="X363" s="19">
        <f t="shared" si="244"/>
        <v>0</v>
      </c>
      <c r="Y363" s="19">
        <f t="shared" si="245"/>
        <v>0</v>
      </c>
    </row>
    <row r="364" spans="1:25" outlineLevel="2">
      <c r="A364" s="1" t="s">
        <v>25</v>
      </c>
      <c r="B364">
        <v>147</v>
      </c>
      <c r="C364" s="5">
        <v>77.284358494299994</v>
      </c>
      <c r="D364" s="5">
        <v>7.1358728507200002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P364" s="19">
        <f t="shared" si="246"/>
        <v>0</v>
      </c>
      <c r="Q364" s="19">
        <f t="shared" si="237"/>
        <v>0</v>
      </c>
      <c r="R364" s="19">
        <f t="shared" si="238"/>
        <v>0</v>
      </c>
      <c r="S364" s="19">
        <f t="shared" si="239"/>
        <v>0</v>
      </c>
      <c r="T364" s="19">
        <f t="shared" si="240"/>
        <v>0</v>
      </c>
      <c r="U364" s="19">
        <f t="shared" si="241"/>
        <v>0</v>
      </c>
      <c r="V364" s="19">
        <f t="shared" si="242"/>
        <v>0</v>
      </c>
      <c r="W364" s="19">
        <f t="shared" si="243"/>
        <v>0</v>
      </c>
      <c r="X364" s="19">
        <f t="shared" si="244"/>
        <v>0</v>
      </c>
      <c r="Y364" s="19">
        <f t="shared" si="245"/>
        <v>0</v>
      </c>
    </row>
    <row r="365" spans="1:25" outlineLevel="2">
      <c r="A365" s="1" t="s">
        <v>25</v>
      </c>
      <c r="B365">
        <v>157</v>
      </c>
      <c r="C365" s="5">
        <v>4.1130430500799999</v>
      </c>
      <c r="D365" s="5">
        <v>0.46991745694300002</v>
      </c>
      <c r="E365" s="2">
        <v>0</v>
      </c>
      <c r="F365" s="2">
        <v>13.15351167415584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P365" s="19">
        <f t="shared" si="246"/>
        <v>0</v>
      </c>
      <c r="Q365" s="19">
        <f t="shared" si="237"/>
        <v>1.967533362046932E-3</v>
      </c>
      <c r="R365" s="19">
        <f t="shared" si="238"/>
        <v>0</v>
      </c>
      <c r="S365" s="19">
        <f t="shared" si="239"/>
        <v>0</v>
      </c>
      <c r="T365" s="19">
        <f t="shared" si="240"/>
        <v>0</v>
      </c>
      <c r="U365" s="19">
        <f t="shared" si="241"/>
        <v>0</v>
      </c>
      <c r="V365" s="19">
        <f t="shared" si="242"/>
        <v>0</v>
      </c>
      <c r="W365" s="19">
        <f t="shared" si="243"/>
        <v>0</v>
      </c>
      <c r="X365" s="19">
        <f t="shared" si="244"/>
        <v>0</v>
      </c>
      <c r="Y365" s="19">
        <f t="shared" si="245"/>
        <v>0</v>
      </c>
    </row>
    <row r="366" spans="1:25" outlineLevel="1">
      <c r="A366" s="18" t="s">
        <v>79</v>
      </c>
      <c r="E366" s="2">
        <f t="shared" ref="E366:N366" si="247">SUBTOTAL(9,E352:E365)</f>
        <v>43.060402517328001</v>
      </c>
      <c r="F366" s="2">
        <f t="shared" si="247"/>
        <v>6685.2801217416345</v>
      </c>
      <c r="G366" s="2">
        <f t="shared" si="247"/>
        <v>382.83689894420849</v>
      </c>
      <c r="H366" s="2">
        <f t="shared" si="247"/>
        <v>105.8493005640148</v>
      </c>
      <c r="I366" s="2">
        <f t="shared" si="247"/>
        <v>0</v>
      </c>
      <c r="J366" s="2">
        <f t="shared" si="247"/>
        <v>0</v>
      </c>
      <c r="K366" s="2">
        <f t="shared" si="247"/>
        <v>0</v>
      </c>
      <c r="L366" s="2">
        <f t="shared" si="247"/>
        <v>0</v>
      </c>
      <c r="M366" s="2">
        <f t="shared" si="247"/>
        <v>0</v>
      </c>
      <c r="N366" s="2">
        <f t="shared" si="247"/>
        <v>0</v>
      </c>
    </row>
    <row r="367" spans="1:25" outlineLevel="2">
      <c r="A367" s="1" t="s">
        <v>26</v>
      </c>
      <c r="B367">
        <v>93</v>
      </c>
      <c r="C367" s="5">
        <v>24.657244203499999</v>
      </c>
      <c r="D367" s="5">
        <v>3.1884159903999998</v>
      </c>
      <c r="E367" s="2">
        <v>0</v>
      </c>
      <c r="F367" s="2">
        <v>0</v>
      </c>
      <c r="G367" s="2">
        <v>118.74573744089069</v>
      </c>
      <c r="H367" s="2">
        <v>99.689223766976411</v>
      </c>
      <c r="I367" s="2">
        <v>45.443301067050498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P367" s="19">
        <f>IF(E$389&gt;0, E367/E$389, 0)</f>
        <v>0</v>
      </c>
      <c r="Q367" s="19">
        <f t="shared" ref="Q367:Q388" si="248">IF(F$389&gt;0, F367/F$389, 0)</f>
        <v>0</v>
      </c>
      <c r="R367" s="19">
        <f t="shared" ref="R367:R388" si="249">IF(G$389&gt;0, G367/G$389, 0)</f>
        <v>5.1700452358062502E-3</v>
      </c>
      <c r="S367" s="19">
        <f t="shared" ref="S367:S388" si="250">IF(H$389&gt;0, H367/H$389, 0)</f>
        <v>0.23231015643291031</v>
      </c>
      <c r="T367" s="19">
        <f t="shared" ref="T367:T388" si="251">IF(I$389&gt;0, I367/I$389, 0)</f>
        <v>0.61540441137009461</v>
      </c>
      <c r="U367" s="19">
        <f t="shared" ref="U367:U388" si="252">IF(J$389&gt;0, J367/J$389, 0)</f>
        <v>0</v>
      </c>
      <c r="V367" s="19">
        <f t="shared" ref="V367:V388" si="253">IF(K$389&gt;0, K367/K$389, 0)</f>
        <v>0</v>
      </c>
      <c r="W367" s="19">
        <f t="shared" ref="W367:W388" si="254">IF(L$389&gt;0, L367/L$389, 0)</f>
        <v>0</v>
      </c>
      <c r="X367" s="19">
        <f t="shared" ref="X367:X388" si="255">IF(M$389&gt;0, M367/M$389, 0)</f>
        <v>0</v>
      </c>
      <c r="Y367" s="19">
        <f t="shared" ref="Y367:Y388" si="256">IF(N$389&gt;0, N367/N$389, 0)</f>
        <v>0</v>
      </c>
    </row>
    <row r="368" spans="1:25" outlineLevel="2">
      <c r="A368" s="1" t="s">
        <v>26</v>
      </c>
      <c r="B368">
        <v>148</v>
      </c>
      <c r="C368" s="5">
        <v>99.998900529799997</v>
      </c>
      <c r="D368" s="5">
        <v>12.723854769000001</v>
      </c>
      <c r="E368" s="2">
        <v>0</v>
      </c>
      <c r="F368" s="2">
        <v>0</v>
      </c>
      <c r="G368" s="2">
        <v>1471.0337562443924</v>
      </c>
      <c r="H368" s="2">
        <v>326.79640693138634</v>
      </c>
      <c r="I368" s="2">
        <v>28.399687750463201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P368" s="19">
        <f t="shared" ref="P368:P388" si="257">IF(E$389&gt;0, E368/E$389, 0)</f>
        <v>0</v>
      </c>
      <c r="Q368" s="19">
        <f t="shared" si="248"/>
        <v>0</v>
      </c>
      <c r="R368" s="19">
        <f t="shared" si="249"/>
        <v>6.4047023725523358E-2</v>
      </c>
      <c r="S368" s="19">
        <f t="shared" si="250"/>
        <v>0.76154795420417765</v>
      </c>
      <c r="T368" s="19">
        <f t="shared" si="251"/>
        <v>0.38459558862990539</v>
      </c>
      <c r="U368" s="19">
        <f t="shared" si="252"/>
        <v>0</v>
      </c>
      <c r="V368" s="19">
        <f t="shared" si="253"/>
        <v>0</v>
      </c>
      <c r="W368" s="19">
        <f t="shared" si="254"/>
        <v>0</v>
      </c>
      <c r="X368" s="19">
        <f t="shared" si="255"/>
        <v>0</v>
      </c>
      <c r="Y368" s="19">
        <f t="shared" si="256"/>
        <v>0</v>
      </c>
    </row>
    <row r="369" spans="1:25" outlineLevel="2">
      <c r="A369" s="1" t="s">
        <v>26</v>
      </c>
      <c r="B369">
        <v>149</v>
      </c>
      <c r="C369" s="5">
        <v>73.222526163500007</v>
      </c>
      <c r="D369" s="5">
        <v>5.3502179663099998</v>
      </c>
      <c r="E369" s="2">
        <v>0</v>
      </c>
      <c r="F369" s="2">
        <v>61.946930781561711</v>
      </c>
      <c r="G369" s="2">
        <v>16.987626069932002</v>
      </c>
      <c r="H369" s="2">
        <v>1.3180054709430002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P369" s="19">
        <f t="shared" si="257"/>
        <v>0</v>
      </c>
      <c r="Q369" s="19">
        <f t="shared" si="248"/>
        <v>3.4752717946448033E-3</v>
      </c>
      <c r="R369" s="19">
        <f t="shared" si="249"/>
        <v>7.3962061395448802E-4</v>
      </c>
      <c r="S369" s="19">
        <f t="shared" si="250"/>
        <v>3.0714057704964177E-3</v>
      </c>
      <c r="T369" s="19">
        <f t="shared" si="251"/>
        <v>0</v>
      </c>
      <c r="U369" s="19">
        <f t="shared" si="252"/>
        <v>0</v>
      </c>
      <c r="V369" s="19">
        <f t="shared" si="253"/>
        <v>0</v>
      </c>
      <c r="W369" s="19">
        <f t="shared" si="254"/>
        <v>0</v>
      </c>
      <c r="X369" s="19">
        <f t="shared" si="255"/>
        <v>0</v>
      </c>
      <c r="Y369" s="19">
        <f t="shared" si="256"/>
        <v>0</v>
      </c>
    </row>
    <row r="370" spans="1:25" outlineLevel="2">
      <c r="A370" s="1" t="s">
        <v>26</v>
      </c>
      <c r="B370">
        <v>150</v>
      </c>
      <c r="C370" s="5">
        <v>91.760714395400001</v>
      </c>
      <c r="D370" s="5">
        <v>12.259744658300001</v>
      </c>
      <c r="E370" s="2">
        <v>0</v>
      </c>
      <c r="F370" s="2">
        <v>0</v>
      </c>
      <c r="G370" s="2">
        <v>489.35988987066821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P370" s="19">
        <f t="shared" si="257"/>
        <v>0</v>
      </c>
      <c r="Q370" s="19">
        <f t="shared" si="248"/>
        <v>0</v>
      </c>
      <c r="R370" s="19">
        <f t="shared" si="249"/>
        <v>2.1306135460061548E-2</v>
      </c>
      <c r="S370" s="19">
        <f t="shared" si="250"/>
        <v>0</v>
      </c>
      <c r="T370" s="19">
        <f t="shared" si="251"/>
        <v>0</v>
      </c>
      <c r="U370" s="19">
        <f t="shared" si="252"/>
        <v>0</v>
      </c>
      <c r="V370" s="19">
        <f t="shared" si="253"/>
        <v>0</v>
      </c>
      <c r="W370" s="19">
        <f t="shared" si="254"/>
        <v>0</v>
      </c>
      <c r="X370" s="19">
        <f t="shared" si="255"/>
        <v>0</v>
      </c>
      <c r="Y370" s="19">
        <f t="shared" si="256"/>
        <v>0</v>
      </c>
    </row>
    <row r="371" spans="1:25" outlineLevel="2">
      <c r="A371" s="1" t="s">
        <v>26</v>
      </c>
      <c r="B371">
        <v>151</v>
      </c>
      <c r="C371" s="5">
        <v>99.998744193799993</v>
      </c>
      <c r="D371" s="5">
        <v>3.44466681266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P371" s="19">
        <f t="shared" si="257"/>
        <v>0</v>
      </c>
      <c r="Q371" s="19">
        <f t="shared" si="248"/>
        <v>0</v>
      </c>
      <c r="R371" s="19">
        <f t="shared" si="249"/>
        <v>0</v>
      </c>
      <c r="S371" s="19">
        <f t="shared" si="250"/>
        <v>0</v>
      </c>
      <c r="T371" s="19">
        <f t="shared" si="251"/>
        <v>0</v>
      </c>
      <c r="U371" s="19">
        <f t="shared" si="252"/>
        <v>0</v>
      </c>
      <c r="V371" s="19">
        <f t="shared" si="253"/>
        <v>0</v>
      </c>
      <c r="W371" s="19">
        <f t="shared" si="254"/>
        <v>0</v>
      </c>
      <c r="X371" s="19">
        <f t="shared" si="255"/>
        <v>0</v>
      </c>
      <c r="Y371" s="19">
        <f t="shared" si="256"/>
        <v>0</v>
      </c>
    </row>
    <row r="372" spans="1:25" outlineLevel="2">
      <c r="A372" s="1" t="s">
        <v>26</v>
      </c>
      <c r="B372">
        <v>152</v>
      </c>
      <c r="C372" s="5">
        <v>99.9995105884</v>
      </c>
      <c r="D372" s="5">
        <v>3.3918161981399999</v>
      </c>
      <c r="E372" s="2">
        <v>0</v>
      </c>
      <c r="F372" s="2">
        <v>0</v>
      </c>
      <c r="G372" s="2">
        <v>2887.0153605427804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P372" s="19">
        <f t="shared" si="257"/>
        <v>0</v>
      </c>
      <c r="Q372" s="19">
        <f t="shared" si="248"/>
        <v>0</v>
      </c>
      <c r="R372" s="19">
        <f t="shared" si="249"/>
        <v>0.12569714359560516</v>
      </c>
      <c r="S372" s="19">
        <f t="shared" si="250"/>
        <v>0</v>
      </c>
      <c r="T372" s="19">
        <f t="shared" si="251"/>
        <v>0</v>
      </c>
      <c r="U372" s="19">
        <f t="shared" si="252"/>
        <v>0</v>
      </c>
      <c r="V372" s="19">
        <f t="shared" si="253"/>
        <v>0</v>
      </c>
      <c r="W372" s="19">
        <f t="shared" si="254"/>
        <v>0</v>
      </c>
      <c r="X372" s="19">
        <f t="shared" si="255"/>
        <v>0</v>
      </c>
      <c r="Y372" s="19">
        <f t="shared" si="256"/>
        <v>0</v>
      </c>
    </row>
    <row r="373" spans="1:25" outlineLevel="2">
      <c r="A373" s="1" t="s">
        <v>26</v>
      </c>
      <c r="B373">
        <v>153</v>
      </c>
      <c r="C373" s="5">
        <v>99.999904231499997</v>
      </c>
      <c r="D373" s="5">
        <v>6.3847382705799998</v>
      </c>
      <c r="E373" s="2">
        <v>0</v>
      </c>
      <c r="F373" s="2">
        <v>3651.5685059442662</v>
      </c>
      <c r="G373" s="2">
        <v>14843.684724412178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P373" s="19">
        <f t="shared" si="257"/>
        <v>0</v>
      </c>
      <c r="Q373" s="19">
        <f t="shared" si="248"/>
        <v>0.20485588026418519</v>
      </c>
      <c r="R373" s="19">
        <f t="shared" si="249"/>
        <v>0.64627601078698194</v>
      </c>
      <c r="S373" s="19">
        <f t="shared" si="250"/>
        <v>0</v>
      </c>
      <c r="T373" s="19">
        <f t="shared" si="251"/>
        <v>0</v>
      </c>
      <c r="U373" s="19">
        <f t="shared" si="252"/>
        <v>0</v>
      </c>
      <c r="V373" s="19">
        <f t="shared" si="253"/>
        <v>0</v>
      </c>
      <c r="W373" s="19">
        <f t="shared" si="254"/>
        <v>0</v>
      </c>
      <c r="X373" s="19">
        <f t="shared" si="255"/>
        <v>0</v>
      </c>
      <c r="Y373" s="19">
        <f t="shared" si="256"/>
        <v>0</v>
      </c>
    </row>
    <row r="374" spans="1:25" outlineLevel="2">
      <c r="A374" s="1" t="s">
        <v>26</v>
      </c>
      <c r="B374">
        <v>154</v>
      </c>
      <c r="C374" s="5">
        <v>99.985154001200002</v>
      </c>
      <c r="D374" s="5">
        <v>7.7806976704900004</v>
      </c>
      <c r="E374" s="2">
        <v>0</v>
      </c>
      <c r="F374" s="2">
        <v>10636.935696177401</v>
      </c>
      <c r="G374" s="2">
        <v>2942.7631125544117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P374" s="19">
        <f t="shared" si="257"/>
        <v>0</v>
      </c>
      <c r="Q374" s="19">
        <f t="shared" si="248"/>
        <v>0.59674050255575672</v>
      </c>
      <c r="R374" s="19">
        <f t="shared" si="249"/>
        <v>0.12812433303335752</v>
      </c>
      <c r="S374" s="19">
        <f t="shared" si="250"/>
        <v>0</v>
      </c>
      <c r="T374" s="19">
        <f t="shared" si="251"/>
        <v>0</v>
      </c>
      <c r="U374" s="19">
        <f t="shared" si="252"/>
        <v>0</v>
      </c>
      <c r="V374" s="19">
        <f t="shared" si="253"/>
        <v>0</v>
      </c>
      <c r="W374" s="19">
        <f t="shared" si="254"/>
        <v>0</v>
      </c>
      <c r="X374" s="19">
        <f t="shared" si="255"/>
        <v>0</v>
      </c>
      <c r="Y374" s="19">
        <f t="shared" si="256"/>
        <v>0</v>
      </c>
    </row>
    <row r="375" spans="1:25" outlineLevel="2">
      <c r="A375" s="1" t="s">
        <v>26</v>
      </c>
      <c r="B375">
        <v>155</v>
      </c>
      <c r="C375" s="5">
        <v>99.999917850900005</v>
      </c>
      <c r="D375" s="5">
        <v>2.9969813890400001</v>
      </c>
      <c r="E375" s="2">
        <v>0</v>
      </c>
      <c r="F375" s="2">
        <v>792.99933855764527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P375" s="19">
        <f t="shared" si="257"/>
        <v>0</v>
      </c>
      <c r="Q375" s="19">
        <f t="shared" si="248"/>
        <v>4.4487889871077366E-2</v>
      </c>
      <c r="R375" s="19">
        <f t="shared" si="249"/>
        <v>0</v>
      </c>
      <c r="S375" s="19">
        <f t="shared" si="250"/>
        <v>0</v>
      </c>
      <c r="T375" s="19">
        <f t="shared" si="251"/>
        <v>0</v>
      </c>
      <c r="U375" s="19">
        <f t="shared" si="252"/>
        <v>0</v>
      </c>
      <c r="V375" s="19">
        <f t="shared" si="253"/>
        <v>0</v>
      </c>
      <c r="W375" s="19">
        <f t="shared" si="254"/>
        <v>0</v>
      </c>
      <c r="X375" s="19">
        <f t="shared" si="255"/>
        <v>0</v>
      </c>
      <c r="Y375" s="19">
        <f t="shared" si="256"/>
        <v>0</v>
      </c>
    </row>
    <row r="376" spans="1:25" outlineLevel="2">
      <c r="A376" s="1" t="s">
        <v>26</v>
      </c>
      <c r="B376">
        <v>156</v>
      </c>
      <c r="C376" s="5">
        <v>100</v>
      </c>
      <c r="D376" s="5">
        <v>4.3269516228300002</v>
      </c>
      <c r="E376" s="2">
        <v>0</v>
      </c>
      <c r="F376" s="2">
        <v>2154.5734200000002</v>
      </c>
      <c r="G376" s="2">
        <v>168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P376" s="19">
        <f t="shared" si="257"/>
        <v>0</v>
      </c>
      <c r="Q376" s="19">
        <f t="shared" si="248"/>
        <v>0.12087327235663609</v>
      </c>
      <c r="R376" s="19">
        <f t="shared" si="249"/>
        <v>7.3145160267146939E-3</v>
      </c>
      <c r="S376" s="19">
        <f t="shared" si="250"/>
        <v>0</v>
      </c>
      <c r="T376" s="19">
        <f t="shared" si="251"/>
        <v>0</v>
      </c>
      <c r="U376" s="19">
        <f t="shared" si="252"/>
        <v>0</v>
      </c>
      <c r="V376" s="19">
        <f t="shared" si="253"/>
        <v>0</v>
      </c>
      <c r="W376" s="19">
        <f t="shared" si="254"/>
        <v>0</v>
      </c>
      <c r="X376" s="19">
        <f t="shared" si="255"/>
        <v>0</v>
      </c>
      <c r="Y376" s="19">
        <f t="shared" si="256"/>
        <v>0</v>
      </c>
    </row>
    <row r="377" spans="1:25" outlineLevel="2">
      <c r="A377" s="1" t="s">
        <v>26</v>
      </c>
      <c r="B377">
        <v>157</v>
      </c>
      <c r="C377" s="5">
        <v>95.886956951399995</v>
      </c>
      <c r="D377" s="5">
        <v>6.7160425698799999</v>
      </c>
      <c r="E377" s="2">
        <v>0</v>
      </c>
      <c r="F377" s="2">
        <v>306.6464883305772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P377" s="19">
        <f t="shared" si="257"/>
        <v>0</v>
      </c>
      <c r="Q377" s="19">
        <f t="shared" si="248"/>
        <v>1.7203110442710227E-2</v>
      </c>
      <c r="R377" s="19">
        <f t="shared" si="249"/>
        <v>0</v>
      </c>
      <c r="S377" s="19">
        <f t="shared" si="250"/>
        <v>0</v>
      </c>
      <c r="T377" s="19">
        <f t="shared" si="251"/>
        <v>0</v>
      </c>
      <c r="U377" s="19">
        <f t="shared" si="252"/>
        <v>0</v>
      </c>
      <c r="V377" s="19">
        <f t="shared" si="253"/>
        <v>0</v>
      </c>
      <c r="W377" s="19">
        <f t="shared" si="254"/>
        <v>0</v>
      </c>
      <c r="X377" s="19">
        <f t="shared" si="255"/>
        <v>0</v>
      </c>
      <c r="Y377" s="19">
        <f t="shared" si="256"/>
        <v>0</v>
      </c>
    </row>
    <row r="378" spans="1:25" outlineLevel="2">
      <c r="A378" s="1" t="s">
        <v>26</v>
      </c>
      <c r="B378">
        <v>158</v>
      </c>
      <c r="C378" s="5">
        <v>99.9999880803</v>
      </c>
      <c r="D378" s="5">
        <v>9.6521320500000005</v>
      </c>
      <c r="E378" s="2">
        <v>0</v>
      </c>
      <c r="F378" s="2">
        <v>84.899989880174701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P378" s="19">
        <f t="shared" si="257"/>
        <v>0</v>
      </c>
      <c r="Q378" s="19">
        <f t="shared" si="248"/>
        <v>4.7629565577124791E-3</v>
      </c>
      <c r="R378" s="19">
        <f t="shared" si="249"/>
        <v>0</v>
      </c>
      <c r="S378" s="19">
        <f t="shared" si="250"/>
        <v>0</v>
      </c>
      <c r="T378" s="19">
        <f t="shared" si="251"/>
        <v>0</v>
      </c>
      <c r="U378" s="19">
        <f t="shared" si="252"/>
        <v>0</v>
      </c>
      <c r="V378" s="19">
        <f t="shared" si="253"/>
        <v>0</v>
      </c>
      <c r="W378" s="19">
        <f t="shared" si="254"/>
        <v>0</v>
      </c>
      <c r="X378" s="19">
        <f t="shared" si="255"/>
        <v>0</v>
      </c>
      <c r="Y378" s="19">
        <f t="shared" si="256"/>
        <v>0</v>
      </c>
    </row>
    <row r="379" spans="1:25" outlineLevel="2">
      <c r="A379" s="1" t="s">
        <v>26</v>
      </c>
      <c r="B379">
        <v>159</v>
      </c>
      <c r="C379" s="5">
        <v>99.999695354799996</v>
      </c>
      <c r="D379" s="5">
        <v>1.0891695398500001</v>
      </c>
      <c r="E379" s="2">
        <v>0</v>
      </c>
      <c r="F379" s="2">
        <v>3.6999887281275998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P379" s="19">
        <f t="shared" si="257"/>
        <v>0</v>
      </c>
      <c r="Q379" s="19">
        <f t="shared" si="248"/>
        <v>2.0757229301169552E-4</v>
      </c>
      <c r="R379" s="19">
        <f t="shared" si="249"/>
        <v>0</v>
      </c>
      <c r="S379" s="19">
        <f t="shared" si="250"/>
        <v>0</v>
      </c>
      <c r="T379" s="19">
        <f t="shared" si="251"/>
        <v>0</v>
      </c>
      <c r="U379" s="19">
        <f t="shared" si="252"/>
        <v>0</v>
      </c>
      <c r="V379" s="19">
        <f t="shared" si="253"/>
        <v>0</v>
      </c>
      <c r="W379" s="19">
        <f t="shared" si="254"/>
        <v>0</v>
      </c>
      <c r="X379" s="19">
        <f t="shared" si="255"/>
        <v>0</v>
      </c>
      <c r="Y379" s="19">
        <f t="shared" si="256"/>
        <v>0</v>
      </c>
    </row>
    <row r="380" spans="1:25" outlineLevel="2">
      <c r="A380" s="1" t="s">
        <v>26</v>
      </c>
      <c r="B380">
        <v>160</v>
      </c>
      <c r="C380" s="5">
        <v>78.1265920174</v>
      </c>
      <c r="D380" s="5">
        <v>5.7959029485400002</v>
      </c>
      <c r="E380" s="2">
        <v>188.285086761934</v>
      </c>
      <c r="F380" s="2">
        <v>26.172408325829</v>
      </c>
      <c r="G380" s="2">
        <v>4.0625827849047997</v>
      </c>
      <c r="H380" s="2">
        <v>0.54688614412179992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P380" s="19">
        <f t="shared" si="257"/>
        <v>1</v>
      </c>
      <c r="Q380" s="19">
        <f t="shared" si="248"/>
        <v>1.4682928000648121E-3</v>
      </c>
      <c r="R380" s="19">
        <f t="shared" si="249"/>
        <v>1.7687992196453197E-4</v>
      </c>
      <c r="S380" s="19">
        <f t="shared" si="250"/>
        <v>1.2744326908282419E-3</v>
      </c>
      <c r="T380" s="19">
        <f t="shared" si="251"/>
        <v>0</v>
      </c>
      <c r="U380" s="19">
        <f t="shared" si="252"/>
        <v>0</v>
      </c>
      <c r="V380" s="19">
        <f t="shared" si="253"/>
        <v>0</v>
      </c>
      <c r="W380" s="19">
        <f t="shared" si="254"/>
        <v>0</v>
      </c>
      <c r="X380" s="19">
        <f t="shared" si="255"/>
        <v>0</v>
      </c>
      <c r="Y380" s="19">
        <f t="shared" si="256"/>
        <v>0</v>
      </c>
    </row>
    <row r="381" spans="1:25" outlineLevel="2">
      <c r="A381" s="1" t="s">
        <v>26</v>
      </c>
      <c r="B381">
        <v>161</v>
      </c>
      <c r="C381" s="5">
        <v>99.999487433499993</v>
      </c>
      <c r="D381" s="5">
        <v>1.0719748678200001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P381" s="19">
        <f t="shared" si="257"/>
        <v>0</v>
      </c>
      <c r="Q381" s="19">
        <f t="shared" si="248"/>
        <v>0</v>
      </c>
      <c r="R381" s="19">
        <f t="shared" si="249"/>
        <v>0</v>
      </c>
      <c r="S381" s="19">
        <f t="shared" si="250"/>
        <v>0</v>
      </c>
      <c r="T381" s="19">
        <f t="shared" si="251"/>
        <v>0</v>
      </c>
      <c r="U381" s="19">
        <f t="shared" si="252"/>
        <v>0</v>
      </c>
      <c r="V381" s="19">
        <f t="shared" si="253"/>
        <v>0</v>
      </c>
      <c r="W381" s="19">
        <f t="shared" si="254"/>
        <v>0</v>
      </c>
      <c r="X381" s="19">
        <f t="shared" si="255"/>
        <v>0</v>
      </c>
      <c r="Y381" s="19">
        <f t="shared" si="256"/>
        <v>0</v>
      </c>
    </row>
    <row r="382" spans="1:25" outlineLevel="2">
      <c r="A382" s="1" t="s">
        <v>26</v>
      </c>
      <c r="B382">
        <v>162</v>
      </c>
      <c r="C382" s="5">
        <v>62.348328325700002</v>
      </c>
      <c r="D382" s="5">
        <v>8.4071224895099999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P382" s="19">
        <f t="shared" si="257"/>
        <v>0</v>
      </c>
      <c r="Q382" s="19">
        <f t="shared" si="248"/>
        <v>0</v>
      </c>
      <c r="R382" s="19">
        <f t="shared" si="249"/>
        <v>0</v>
      </c>
      <c r="S382" s="19">
        <f t="shared" si="250"/>
        <v>0</v>
      </c>
      <c r="T382" s="19">
        <f t="shared" si="251"/>
        <v>0</v>
      </c>
      <c r="U382" s="19">
        <f t="shared" si="252"/>
        <v>0</v>
      </c>
      <c r="V382" s="19">
        <f t="shared" si="253"/>
        <v>0</v>
      </c>
      <c r="W382" s="19">
        <f t="shared" si="254"/>
        <v>0</v>
      </c>
      <c r="X382" s="19">
        <f t="shared" si="255"/>
        <v>0</v>
      </c>
      <c r="Y382" s="19">
        <f t="shared" si="256"/>
        <v>0</v>
      </c>
    </row>
    <row r="383" spans="1:25" outlineLevel="2">
      <c r="A383" s="1" t="s">
        <v>26</v>
      </c>
      <c r="B383">
        <v>165</v>
      </c>
      <c r="C383" s="5">
        <v>4.2347450583199997</v>
      </c>
      <c r="D383" s="5">
        <v>0.535838542955</v>
      </c>
      <c r="E383" s="2">
        <v>0</v>
      </c>
      <c r="F383" s="2">
        <v>105.61796004071186</v>
      </c>
      <c r="G383" s="2">
        <v>26.373992223216955</v>
      </c>
      <c r="H383" s="2">
        <v>0.77072360061423995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P383" s="19">
        <f t="shared" si="257"/>
        <v>0</v>
      </c>
      <c r="Q383" s="19">
        <f t="shared" si="248"/>
        <v>5.9252510642005748E-3</v>
      </c>
      <c r="R383" s="19">
        <f t="shared" si="249"/>
        <v>1.1482916000307686E-3</v>
      </c>
      <c r="S383" s="19">
        <f t="shared" si="250"/>
        <v>1.7960509015874392E-3</v>
      </c>
      <c r="T383" s="19">
        <f t="shared" si="251"/>
        <v>0</v>
      </c>
      <c r="U383" s="19">
        <f t="shared" si="252"/>
        <v>0</v>
      </c>
      <c r="V383" s="19">
        <f t="shared" si="253"/>
        <v>0</v>
      </c>
      <c r="W383" s="19">
        <f t="shared" si="254"/>
        <v>0</v>
      </c>
      <c r="X383" s="19">
        <f t="shared" si="255"/>
        <v>0</v>
      </c>
      <c r="Y383" s="19">
        <f t="shared" si="256"/>
        <v>0</v>
      </c>
    </row>
    <row r="384" spans="1:25" outlineLevel="2">
      <c r="A384" s="1" t="s">
        <v>26</v>
      </c>
      <c r="B384">
        <v>168</v>
      </c>
      <c r="C384" s="5">
        <v>7.9052239129200004</v>
      </c>
      <c r="D384" s="5">
        <v>0.58310797491099997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P384" s="19">
        <f t="shared" si="257"/>
        <v>0</v>
      </c>
      <c r="Q384" s="19">
        <f t="shared" si="248"/>
        <v>0</v>
      </c>
      <c r="R384" s="19">
        <f t="shared" si="249"/>
        <v>0</v>
      </c>
      <c r="S384" s="19">
        <f t="shared" si="250"/>
        <v>0</v>
      </c>
      <c r="T384" s="19">
        <f t="shared" si="251"/>
        <v>0</v>
      </c>
      <c r="U384" s="19">
        <f t="shared" si="252"/>
        <v>0</v>
      </c>
      <c r="V384" s="19">
        <f t="shared" si="253"/>
        <v>0</v>
      </c>
      <c r="W384" s="19">
        <f t="shared" si="254"/>
        <v>0</v>
      </c>
      <c r="X384" s="19">
        <f t="shared" si="255"/>
        <v>0</v>
      </c>
      <c r="Y384" s="19">
        <f t="shared" si="256"/>
        <v>0</v>
      </c>
    </row>
    <row r="385" spans="1:25" outlineLevel="2">
      <c r="A385" s="1" t="s">
        <v>26</v>
      </c>
      <c r="B385">
        <v>170</v>
      </c>
      <c r="C385" s="5">
        <v>16.7254572794</v>
      </c>
      <c r="D385" s="5">
        <v>1.2173839172600001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P385" s="19">
        <f t="shared" si="257"/>
        <v>0</v>
      </c>
      <c r="Q385" s="19">
        <f t="shared" si="248"/>
        <v>0</v>
      </c>
      <c r="R385" s="19">
        <f t="shared" si="249"/>
        <v>0</v>
      </c>
      <c r="S385" s="19">
        <f t="shared" si="250"/>
        <v>0</v>
      </c>
      <c r="T385" s="19">
        <f t="shared" si="251"/>
        <v>0</v>
      </c>
      <c r="U385" s="19">
        <f t="shared" si="252"/>
        <v>0</v>
      </c>
      <c r="V385" s="19">
        <f t="shared" si="253"/>
        <v>0</v>
      </c>
      <c r="W385" s="19">
        <f t="shared" si="254"/>
        <v>0</v>
      </c>
      <c r="X385" s="19">
        <f t="shared" si="255"/>
        <v>0</v>
      </c>
      <c r="Y385" s="19">
        <f t="shared" si="256"/>
        <v>0</v>
      </c>
    </row>
    <row r="386" spans="1:25" outlineLevel="2">
      <c r="A386" s="1" t="s">
        <v>26</v>
      </c>
      <c r="B386">
        <v>256</v>
      </c>
      <c r="C386" s="5">
        <v>6.2137030233699999</v>
      </c>
      <c r="D386" s="5">
        <v>0.495962348213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P386" s="19">
        <f t="shared" si="257"/>
        <v>0</v>
      </c>
      <c r="Q386" s="19">
        <f t="shared" si="248"/>
        <v>0</v>
      </c>
      <c r="R386" s="19">
        <f t="shared" si="249"/>
        <v>0</v>
      </c>
      <c r="S386" s="19">
        <f t="shared" si="250"/>
        <v>0</v>
      </c>
      <c r="T386" s="19">
        <f t="shared" si="251"/>
        <v>0</v>
      </c>
      <c r="U386" s="19">
        <f t="shared" si="252"/>
        <v>0</v>
      </c>
      <c r="V386" s="19">
        <f t="shared" si="253"/>
        <v>0</v>
      </c>
      <c r="W386" s="19">
        <f t="shared" si="254"/>
        <v>0</v>
      </c>
      <c r="X386" s="19">
        <f t="shared" si="255"/>
        <v>0</v>
      </c>
      <c r="Y386" s="19">
        <f t="shared" si="256"/>
        <v>0</v>
      </c>
    </row>
    <row r="387" spans="1:25" outlineLevel="2">
      <c r="A387" s="1" t="s">
        <v>26</v>
      </c>
      <c r="B387">
        <v>259</v>
      </c>
      <c r="C387" s="5">
        <v>9.6044020018600005</v>
      </c>
      <c r="D387" s="5">
        <v>1.8490814444100001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P387" s="19">
        <f t="shared" si="257"/>
        <v>0</v>
      </c>
      <c r="Q387" s="19">
        <f t="shared" si="248"/>
        <v>0</v>
      </c>
      <c r="R387" s="19">
        <f t="shared" si="249"/>
        <v>0</v>
      </c>
      <c r="S387" s="19">
        <f t="shared" si="250"/>
        <v>0</v>
      </c>
      <c r="T387" s="19">
        <f t="shared" si="251"/>
        <v>0</v>
      </c>
      <c r="U387" s="19">
        <f t="shared" si="252"/>
        <v>0</v>
      </c>
      <c r="V387" s="19">
        <f t="shared" si="253"/>
        <v>0</v>
      </c>
      <c r="W387" s="19">
        <f t="shared" si="254"/>
        <v>0</v>
      </c>
      <c r="X387" s="19">
        <f t="shared" si="255"/>
        <v>0</v>
      </c>
      <c r="Y387" s="19">
        <f t="shared" si="256"/>
        <v>0</v>
      </c>
    </row>
    <row r="388" spans="1:25" outlineLevel="2">
      <c r="A388" s="1" t="s">
        <v>26</v>
      </c>
      <c r="B388">
        <v>260</v>
      </c>
      <c r="C388" s="5">
        <v>18.026874202199998</v>
      </c>
      <c r="D388" s="5">
        <v>0.73677549835199996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P388" s="19">
        <f t="shared" si="257"/>
        <v>0</v>
      </c>
      <c r="Q388" s="19">
        <f t="shared" si="248"/>
        <v>0</v>
      </c>
      <c r="R388" s="19">
        <f t="shared" si="249"/>
        <v>0</v>
      </c>
      <c r="S388" s="19">
        <f t="shared" si="250"/>
        <v>0</v>
      </c>
      <c r="T388" s="19">
        <f t="shared" si="251"/>
        <v>0</v>
      </c>
      <c r="U388" s="19">
        <f t="shared" si="252"/>
        <v>0</v>
      </c>
      <c r="V388" s="19">
        <f t="shared" si="253"/>
        <v>0</v>
      </c>
      <c r="W388" s="19">
        <f t="shared" si="254"/>
        <v>0</v>
      </c>
      <c r="X388" s="19">
        <f t="shared" si="255"/>
        <v>0</v>
      </c>
      <c r="Y388" s="19">
        <f t="shared" si="256"/>
        <v>0</v>
      </c>
    </row>
    <row r="389" spans="1:25" outlineLevel="1">
      <c r="A389" s="18" t="s">
        <v>80</v>
      </c>
      <c r="E389" s="2">
        <f t="shared" ref="E389:N389" si="258">SUBTOTAL(9,E367:E388)</f>
        <v>188.285086761934</v>
      </c>
      <c r="F389" s="2">
        <f t="shared" si="258"/>
        <v>17825.060726766296</v>
      </c>
      <c r="G389" s="2">
        <f t="shared" si="258"/>
        <v>22968.02678214337</v>
      </c>
      <c r="H389" s="2">
        <f t="shared" si="258"/>
        <v>429.12124591404176</v>
      </c>
      <c r="I389" s="2">
        <f t="shared" si="258"/>
        <v>73.842988817513699</v>
      </c>
      <c r="J389" s="2">
        <f t="shared" si="258"/>
        <v>0</v>
      </c>
      <c r="K389" s="2">
        <f t="shared" si="258"/>
        <v>0</v>
      </c>
      <c r="L389" s="2">
        <f t="shared" si="258"/>
        <v>0</v>
      </c>
      <c r="M389" s="2">
        <f t="shared" si="258"/>
        <v>0</v>
      </c>
      <c r="N389" s="2">
        <f t="shared" si="258"/>
        <v>0</v>
      </c>
    </row>
    <row r="390" spans="1:25" outlineLevel="2">
      <c r="A390" s="1" t="s">
        <v>27</v>
      </c>
      <c r="B390">
        <v>236</v>
      </c>
      <c r="C390" s="5">
        <v>8.6481842314299993</v>
      </c>
      <c r="D390" s="5">
        <v>0.62535532301899999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P390" s="19">
        <f>IF(E$412&gt;0, E390/E$412, 0)</f>
        <v>0</v>
      </c>
      <c r="Q390" s="19">
        <f t="shared" ref="Q390:Q411" si="259">IF(F$412&gt;0, F390/F$412, 0)</f>
        <v>0</v>
      </c>
      <c r="R390" s="19">
        <f t="shared" ref="R390:R411" si="260">IF(G$412&gt;0, G390/G$412, 0)</f>
        <v>0</v>
      </c>
      <c r="S390" s="19">
        <f t="shared" ref="S390:S411" si="261">IF(H$412&gt;0, H390/H$412, 0)</f>
        <v>0</v>
      </c>
      <c r="T390" s="19">
        <f t="shared" ref="T390:T411" si="262">IF(I$412&gt;0, I390/I$412, 0)</f>
        <v>0</v>
      </c>
      <c r="U390" s="19">
        <f t="shared" ref="U390:U411" si="263">IF(J$412&gt;0, J390/J$412, 0)</f>
        <v>0</v>
      </c>
      <c r="V390" s="19">
        <f t="shared" ref="V390:V411" si="264">IF(K$412&gt;0, K390/K$412, 0)</f>
        <v>0</v>
      </c>
      <c r="W390" s="19">
        <f t="shared" ref="W390:W411" si="265">IF(L$412&gt;0, L390/L$412, 0)</f>
        <v>0</v>
      </c>
      <c r="X390" s="19">
        <f t="shared" ref="X390:X411" si="266">IF(M$412&gt;0, M390/M$412, 0)</f>
        <v>0</v>
      </c>
      <c r="Y390" s="19">
        <f t="shared" ref="Y390:Y411" si="267">IF(N$412&gt;0, N390/N$412, 0)</f>
        <v>0</v>
      </c>
    </row>
    <row r="391" spans="1:25" outlineLevel="2">
      <c r="A391" s="1" t="s">
        <v>27</v>
      </c>
      <c r="B391">
        <v>240</v>
      </c>
      <c r="C391" s="5">
        <v>5.1347956479499999</v>
      </c>
      <c r="D391" s="5">
        <v>0.57880635045600004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P391" s="19">
        <f t="shared" ref="P391:P411" si="268">IF(E$412&gt;0, E391/E$412, 0)</f>
        <v>0</v>
      </c>
      <c r="Q391" s="19">
        <f t="shared" si="259"/>
        <v>0</v>
      </c>
      <c r="R391" s="19">
        <f t="shared" si="260"/>
        <v>0</v>
      </c>
      <c r="S391" s="19">
        <f t="shared" si="261"/>
        <v>0</v>
      </c>
      <c r="T391" s="19">
        <f t="shared" si="262"/>
        <v>0</v>
      </c>
      <c r="U391" s="19">
        <f t="shared" si="263"/>
        <v>0</v>
      </c>
      <c r="V391" s="19">
        <f t="shared" si="264"/>
        <v>0</v>
      </c>
      <c r="W391" s="19">
        <f t="shared" si="265"/>
        <v>0</v>
      </c>
      <c r="X391" s="19">
        <f t="shared" si="266"/>
        <v>0</v>
      </c>
      <c r="Y391" s="19">
        <f t="shared" si="267"/>
        <v>0</v>
      </c>
    </row>
    <row r="392" spans="1:25" outlineLevel="2">
      <c r="A392" s="1" t="s">
        <v>27</v>
      </c>
      <c r="B392">
        <v>241</v>
      </c>
      <c r="C392" s="5">
        <v>50.106969702900003</v>
      </c>
      <c r="D392" s="5">
        <v>1.08638596641</v>
      </c>
      <c r="E392" s="2">
        <v>94.453642168754612</v>
      </c>
      <c r="F392" s="2">
        <v>13.504830474325608</v>
      </c>
      <c r="G392" s="2">
        <v>2.6556693942537</v>
      </c>
      <c r="H392" s="2">
        <v>0.80171151524640005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P392" s="19">
        <f t="shared" si="268"/>
        <v>0.11313752105081545</v>
      </c>
      <c r="Q392" s="19">
        <f t="shared" si="259"/>
        <v>2.9527535093964684E-2</v>
      </c>
      <c r="R392" s="19">
        <f t="shared" si="260"/>
        <v>1.9146211915358129E-2</v>
      </c>
      <c r="S392" s="19">
        <f t="shared" si="261"/>
        <v>2.1171568092921818E-2</v>
      </c>
      <c r="T392" s="19">
        <f t="shared" si="262"/>
        <v>0</v>
      </c>
      <c r="U392" s="19">
        <f t="shared" si="263"/>
        <v>0</v>
      </c>
      <c r="V392" s="19">
        <f t="shared" si="264"/>
        <v>0</v>
      </c>
      <c r="W392" s="19">
        <f t="shared" si="265"/>
        <v>0</v>
      </c>
      <c r="X392" s="19">
        <f t="shared" si="266"/>
        <v>0</v>
      </c>
      <c r="Y392" s="19">
        <f t="shared" si="267"/>
        <v>0</v>
      </c>
    </row>
    <row r="393" spans="1:25" outlineLevel="2">
      <c r="A393" s="1" t="s">
        <v>27</v>
      </c>
      <c r="B393">
        <v>262</v>
      </c>
      <c r="C393" s="5">
        <v>2.9960309271500001</v>
      </c>
      <c r="D393" s="5">
        <v>0.91986069837700002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P393" s="19">
        <f t="shared" si="268"/>
        <v>0</v>
      </c>
      <c r="Q393" s="19">
        <f t="shared" si="259"/>
        <v>0</v>
      </c>
      <c r="R393" s="19">
        <f t="shared" si="260"/>
        <v>0</v>
      </c>
      <c r="S393" s="19">
        <f t="shared" si="261"/>
        <v>0</v>
      </c>
      <c r="T393" s="19">
        <f t="shared" si="262"/>
        <v>0</v>
      </c>
      <c r="U393" s="19">
        <f t="shared" si="263"/>
        <v>0</v>
      </c>
      <c r="V393" s="19">
        <f t="shared" si="264"/>
        <v>0</v>
      </c>
      <c r="W393" s="19">
        <f t="shared" si="265"/>
        <v>0</v>
      </c>
      <c r="X393" s="19">
        <f t="shared" si="266"/>
        <v>0</v>
      </c>
      <c r="Y393" s="19">
        <f t="shared" si="267"/>
        <v>0</v>
      </c>
    </row>
    <row r="394" spans="1:25" outlineLevel="2">
      <c r="A394" s="1" t="s">
        <v>27</v>
      </c>
      <c r="B394">
        <v>263</v>
      </c>
      <c r="C394" s="5">
        <v>84.807377356200007</v>
      </c>
      <c r="D394" s="5">
        <v>14.025736994900001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P394" s="19">
        <f t="shared" si="268"/>
        <v>0</v>
      </c>
      <c r="Q394" s="19">
        <f t="shared" si="259"/>
        <v>0</v>
      </c>
      <c r="R394" s="19">
        <f t="shared" si="260"/>
        <v>0</v>
      </c>
      <c r="S394" s="19">
        <f t="shared" si="261"/>
        <v>0</v>
      </c>
      <c r="T394" s="19">
        <f t="shared" si="262"/>
        <v>0</v>
      </c>
      <c r="U394" s="19">
        <f t="shared" si="263"/>
        <v>0</v>
      </c>
      <c r="V394" s="19">
        <f t="shared" si="264"/>
        <v>0</v>
      </c>
      <c r="W394" s="19">
        <f t="shared" si="265"/>
        <v>0</v>
      </c>
      <c r="X394" s="19">
        <f t="shared" si="266"/>
        <v>0</v>
      </c>
      <c r="Y394" s="19">
        <f t="shared" si="267"/>
        <v>0</v>
      </c>
    </row>
    <row r="395" spans="1:25" outlineLevel="2">
      <c r="A395" s="1" t="s">
        <v>27</v>
      </c>
      <c r="B395">
        <v>264</v>
      </c>
      <c r="C395" s="5">
        <v>5.0625784382800001</v>
      </c>
      <c r="D395" s="5">
        <v>0.75602195555399998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P395" s="19">
        <f t="shared" si="268"/>
        <v>0</v>
      </c>
      <c r="Q395" s="19">
        <f t="shared" si="259"/>
        <v>0</v>
      </c>
      <c r="R395" s="19">
        <f t="shared" si="260"/>
        <v>0</v>
      </c>
      <c r="S395" s="19">
        <f t="shared" si="261"/>
        <v>0</v>
      </c>
      <c r="T395" s="19">
        <f t="shared" si="262"/>
        <v>0</v>
      </c>
      <c r="U395" s="19">
        <f t="shared" si="263"/>
        <v>0</v>
      </c>
      <c r="V395" s="19">
        <f t="shared" si="264"/>
        <v>0</v>
      </c>
      <c r="W395" s="19">
        <f t="shared" si="265"/>
        <v>0</v>
      </c>
      <c r="X395" s="19">
        <f t="shared" si="266"/>
        <v>0</v>
      </c>
      <c r="Y395" s="19">
        <f t="shared" si="267"/>
        <v>0</v>
      </c>
    </row>
    <row r="396" spans="1:25" outlineLevel="2">
      <c r="A396" s="1" t="s">
        <v>27</v>
      </c>
      <c r="B396">
        <v>265</v>
      </c>
      <c r="C396" s="5">
        <v>46.789352632300002</v>
      </c>
      <c r="D396" s="5">
        <v>12.241412241600001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P396" s="19">
        <f t="shared" si="268"/>
        <v>0</v>
      </c>
      <c r="Q396" s="19">
        <f t="shared" si="259"/>
        <v>0</v>
      </c>
      <c r="R396" s="19">
        <f t="shared" si="260"/>
        <v>0</v>
      </c>
      <c r="S396" s="19">
        <f t="shared" si="261"/>
        <v>0</v>
      </c>
      <c r="T396" s="19">
        <f t="shared" si="262"/>
        <v>0</v>
      </c>
      <c r="U396" s="19">
        <f t="shared" si="263"/>
        <v>0</v>
      </c>
      <c r="V396" s="19">
        <f t="shared" si="264"/>
        <v>0</v>
      </c>
      <c r="W396" s="19">
        <f t="shared" si="265"/>
        <v>0</v>
      </c>
      <c r="X396" s="19">
        <f t="shared" si="266"/>
        <v>0</v>
      </c>
      <c r="Y396" s="19">
        <f t="shared" si="267"/>
        <v>0</v>
      </c>
    </row>
    <row r="397" spans="1:25" outlineLevel="2">
      <c r="A397" s="1" t="s">
        <v>27</v>
      </c>
      <c r="B397">
        <v>267</v>
      </c>
      <c r="C397" s="5">
        <v>2.2903959650900001</v>
      </c>
      <c r="D397" s="5">
        <v>0.84883711013999996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P397" s="19">
        <f t="shared" si="268"/>
        <v>0</v>
      </c>
      <c r="Q397" s="19">
        <f t="shared" si="259"/>
        <v>0</v>
      </c>
      <c r="R397" s="19">
        <f t="shared" si="260"/>
        <v>0</v>
      </c>
      <c r="S397" s="19">
        <f t="shared" si="261"/>
        <v>0</v>
      </c>
      <c r="T397" s="19">
        <f t="shared" si="262"/>
        <v>0</v>
      </c>
      <c r="U397" s="19">
        <f t="shared" si="263"/>
        <v>0</v>
      </c>
      <c r="V397" s="19">
        <f t="shared" si="264"/>
        <v>0</v>
      </c>
      <c r="W397" s="19">
        <f t="shared" si="265"/>
        <v>0</v>
      </c>
      <c r="X397" s="19">
        <f t="shared" si="266"/>
        <v>0</v>
      </c>
      <c r="Y397" s="19">
        <f t="shared" si="267"/>
        <v>0</v>
      </c>
    </row>
    <row r="398" spans="1:25" outlineLevel="2">
      <c r="A398" s="1" t="s">
        <v>27</v>
      </c>
      <c r="B398">
        <v>272</v>
      </c>
      <c r="C398" s="5">
        <v>17.064823073399999</v>
      </c>
      <c r="D398" s="5">
        <v>1.1643854141700001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P398" s="19">
        <f t="shared" si="268"/>
        <v>0</v>
      </c>
      <c r="Q398" s="19">
        <f t="shared" si="259"/>
        <v>0</v>
      </c>
      <c r="R398" s="19">
        <f t="shared" si="260"/>
        <v>0</v>
      </c>
      <c r="S398" s="19">
        <f t="shared" si="261"/>
        <v>0</v>
      </c>
      <c r="T398" s="19">
        <f t="shared" si="262"/>
        <v>0</v>
      </c>
      <c r="U398" s="19">
        <f t="shared" si="263"/>
        <v>0</v>
      </c>
      <c r="V398" s="19">
        <f t="shared" si="264"/>
        <v>0</v>
      </c>
      <c r="W398" s="19">
        <f t="shared" si="265"/>
        <v>0</v>
      </c>
      <c r="X398" s="19">
        <f t="shared" si="266"/>
        <v>0</v>
      </c>
      <c r="Y398" s="19">
        <f t="shared" si="267"/>
        <v>0</v>
      </c>
    </row>
    <row r="399" spans="1:25" outlineLevel="2">
      <c r="A399" s="1" t="s">
        <v>27</v>
      </c>
      <c r="B399">
        <v>276</v>
      </c>
      <c r="C399" s="5">
        <v>99.910236821500007</v>
      </c>
      <c r="D399" s="5">
        <v>2.56031559438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P399" s="19">
        <f t="shared" si="268"/>
        <v>0</v>
      </c>
      <c r="Q399" s="19">
        <f t="shared" si="259"/>
        <v>0</v>
      </c>
      <c r="R399" s="19">
        <f t="shared" si="260"/>
        <v>0</v>
      </c>
      <c r="S399" s="19">
        <f t="shared" si="261"/>
        <v>0</v>
      </c>
      <c r="T399" s="19">
        <f t="shared" si="262"/>
        <v>0</v>
      </c>
      <c r="U399" s="19">
        <f t="shared" si="263"/>
        <v>0</v>
      </c>
      <c r="V399" s="19">
        <f t="shared" si="264"/>
        <v>0</v>
      </c>
      <c r="W399" s="19">
        <f t="shared" si="265"/>
        <v>0</v>
      </c>
      <c r="X399" s="19">
        <f t="shared" si="266"/>
        <v>0</v>
      </c>
      <c r="Y399" s="19">
        <f t="shared" si="267"/>
        <v>0</v>
      </c>
    </row>
    <row r="400" spans="1:25" outlineLevel="2">
      <c r="A400" s="1" t="s">
        <v>27</v>
      </c>
      <c r="B400">
        <v>277</v>
      </c>
      <c r="C400" s="5">
        <v>99.999962461899997</v>
      </c>
      <c r="D400" s="5">
        <v>18.389633295300001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P400" s="19">
        <f t="shared" si="268"/>
        <v>0</v>
      </c>
      <c r="Q400" s="19">
        <f t="shared" si="259"/>
        <v>0</v>
      </c>
      <c r="R400" s="19">
        <f t="shared" si="260"/>
        <v>0</v>
      </c>
      <c r="S400" s="19">
        <f t="shared" si="261"/>
        <v>0</v>
      </c>
      <c r="T400" s="19">
        <f t="shared" si="262"/>
        <v>0</v>
      </c>
      <c r="U400" s="19">
        <f t="shared" si="263"/>
        <v>0</v>
      </c>
      <c r="V400" s="19">
        <f t="shared" si="264"/>
        <v>0</v>
      </c>
      <c r="W400" s="19">
        <f t="shared" si="265"/>
        <v>0</v>
      </c>
      <c r="X400" s="19">
        <f t="shared" si="266"/>
        <v>0</v>
      </c>
      <c r="Y400" s="19">
        <f t="shared" si="267"/>
        <v>0</v>
      </c>
    </row>
    <row r="401" spans="1:25" outlineLevel="2">
      <c r="A401" s="1" t="s">
        <v>27</v>
      </c>
      <c r="B401">
        <v>278</v>
      </c>
      <c r="C401" s="5">
        <v>99.999920550799999</v>
      </c>
      <c r="D401" s="5">
        <v>6.1031856151800001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P401" s="19">
        <f t="shared" si="268"/>
        <v>0</v>
      </c>
      <c r="Q401" s="19">
        <f t="shared" si="259"/>
        <v>0</v>
      </c>
      <c r="R401" s="19">
        <f t="shared" si="260"/>
        <v>0</v>
      </c>
      <c r="S401" s="19">
        <f t="shared" si="261"/>
        <v>0</v>
      </c>
      <c r="T401" s="19">
        <f t="shared" si="262"/>
        <v>0</v>
      </c>
      <c r="U401" s="19">
        <f t="shared" si="263"/>
        <v>0</v>
      </c>
      <c r="V401" s="19">
        <f t="shared" si="264"/>
        <v>0</v>
      </c>
      <c r="W401" s="19">
        <f t="shared" si="265"/>
        <v>0</v>
      </c>
      <c r="X401" s="19">
        <f t="shared" si="266"/>
        <v>0</v>
      </c>
      <c r="Y401" s="19">
        <f t="shared" si="267"/>
        <v>0</v>
      </c>
    </row>
    <row r="402" spans="1:25" outlineLevel="2">
      <c r="A402" s="1" t="s">
        <v>27</v>
      </c>
      <c r="B402">
        <v>279</v>
      </c>
      <c r="C402" s="5">
        <v>100</v>
      </c>
      <c r="D402" s="5">
        <v>10.9762030002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P402" s="19">
        <f t="shared" si="268"/>
        <v>0</v>
      </c>
      <c r="Q402" s="19">
        <f t="shared" si="259"/>
        <v>0</v>
      </c>
      <c r="R402" s="19">
        <f t="shared" si="260"/>
        <v>0</v>
      </c>
      <c r="S402" s="19">
        <f t="shared" si="261"/>
        <v>0</v>
      </c>
      <c r="T402" s="19">
        <f t="shared" si="262"/>
        <v>0</v>
      </c>
      <c r="U402" s="19">
        <f t="shared" si="263"/>
        <v>0</v>
      </c>
      <c r="V402" s="19">
        <f t="shared" si="264"/>
        <v>0</v>
      </c>
      <c r="W402" s="19">
        <f t="shared" si="265"/>
        <v>0</v>
      </c>
      <c r="X402" s="19">
        <f t="shared" si="266"/>
        <v>0</v>
      </c>
      <c r="Y402" s="19">
        <f t="shared" si="267"/>
        <v>0</v>
      </c>
    </row>
    <row r="403" spans="1:25" outlineLevel="2">
      <c r="A403" s="1" t="s">
        <v>27</v>
      </c>
      <c r="B403">
        <v>280</v>
      </c>
      <c r="C403" s="5">
        <v>99.995367197799993</v>
      </c>
      <c r="D403" s="5">
        <v>2.2004502591300001</v>
      </c>
      <c r="E403" s="2">
        <v>3.3208461446389377</v>
      </c>
      <c r="F403" s="2">
        <v>0.36898290495988201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P403" s="19">
        <f t="shared" si="268"/>
        <v>3.977742858495014E-3</v>
      </c>
      <c r="Q403" s="19">
        <f t="shared" si="259"/>
        <v>8.0675989942924657E-4</v>
      </c>
      <c r="R403" s="19">
        <f t="shared" si="260"/>
        <v>0</v>
      </c>
      <c r="S403" s="19">
        <f t="shared" si="261"/>
        <v>0</v>
      </c>
      <c r="T403" s="19">
        <f t="shared" si="262"/>
        <v>0</v>
      </c>
      <c r="U403" s="19">
        <f t="shared" si="263"/>
        <v>0</v>
      </c>
      <c r="V403" s="19">
        <f t="shared" si="264"/>
        <v>0</v>
      </c>
      <c r="W403" s="19">
        <f t="shared" si="265"/>
        <v>0</v>
      </c>
      <c r="X403" s="19">
        <f t="shared" si="266"/>
        <v>0</v>
      </c>
      <c r="Y403" s="19">
        <f t="shared" si="267"/>
        <v>0</v>
      </c>
    </row>
    <row r="404" spans="1:25" outlineLevel="2">
      <c r="A404" s="1" t="s">
        <v>27</v>
      </c>
      <c r="B404">
        <v>281</v>
      </c>
      <c r="C404" s="5">
        <v>99.999797314700004</v>
      </c>
      <c r="D404" s="5">
        <v>4.5450488887300002</v>
      </c>
      <c r="E404" s="2">
        <v>370.68224868004938</v>
      </c>
      <c r="F404" s="2">
        <v>41.186916520005489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P404" s="19">
        <f t="shared" si="268"/>
        <v>0.44400691969373168</v>
      </c>
      <c r="Q404" s="19">
        <f t="shared" si="259"/>
        <v>9.0052824081628235E-2</v>
      </c>
      <c r="R404" s="19">
        <f t="shared" si="260"/>
        <v>0</v>
      </c>
      <c r="S404" s="19">
        <f t="shared" si="261"/>
        <v>0</v>
      </c>
      <c r="T404" s="19">
        <f t="shared" si="262"/>
        <v>0</v>
      </c>
      <c r="U404" s="19">
        <f t="shared" si="263"/>
        <v>0</v>
      </c>
      <c r="V404" s="19">
        <f t="shared" si="264"/>
        <v>0</v>
      </c>
      <c r="W404" s="19">
        <f t="shared" si="265"/>
        <v>0</v>
      </c>
      <c r="X404" s="19">
        <f t="shared" si="266"/>
        <v>0</v>
      </c>
      <c r="Y404" s="19">
        <f t="shared" si="267"/>
        <v>0</v>
      </c>
    </row>
    <row r="405" spans="1:25" outlineLevel="2">
      <c r="A405" s="1" t="s">
        <v>27</v>
      </c>
      <c r="B405">
        <v>282</v>
      </c>
      <c r="C405" s="5">
        <v>100</v>
      </c>
      <c r="D405" s="5">
        <v>2.2624129539000002</v>
      </c>
      <c r="E405" s="2">
        <v>8.1225000000000005</v>
      </c>
      <c r="F405" s="2">
        <v>26.413499999999999</v>
      </c>
      <c r="G405" s="2">
        <v>2.7414999999999998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P405" s="19">
        <f t="shared" si="268"/>
        <v>9.729212062499392E-3</v>
      </c>
      <c r="Q405" s="19">
        <f t="shared" si="259"/>
        <v>5.7751598562245807E-2</v>
      </c>
      <c r="R405" s="19">
        <f t="shared" si="260"/>
        <v>1.9765012949100519E-2</v>
      </c>
      <c r="S405" s="19">
        <f t="shared" si="261"/>
        <v>0</v>
      </c>
      <c r="T405" s="19">
        <f t="shared" si="262"/>
        <v>0</v>
      </c>
      <c r="U405" s="19">
        <f t="shared" si="263"/>
        <v>0</v>
      </c>
      <c r="V405" s="19">
        <f t="shared" si="264"/>
        <v>0</v>
      </c>
      <c r="W405" s="19">
        <f t="shared" si="265"/>
        <v>0</v>
      </c>
      <c r="X405" s="19">
        <f t="shared" si="266"/>
        <v>0</v>
      </c>
      <c r="Y405" s="19">
        <f t="shared" si="267"/>
        <v>0</v>
      </c>
    </row>
    <row r="406" spans="1:25" outlineLevel="2">
      <c r="A406" s="1" t="s">
        <v>27</v>
      </c>
      <c r="B406">
        <v>283</v>
      </c>
      <c r="C406" s="5">
        <v>99.999958633399999</v>
      </c>
      <c r="D406" s="5">
        <v>1.99244845073</v>
      </c>
      <c r="E406" s="2">
        <v>1.3679994341049122</v>
      </c>
      <c r="F406" s="2">
        <v>129.09944659592622</v>
      </c>
      <c r="G406" s="2">
        <v>14.327494073200384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P406" s="19">
        <f t="shared" si="268"/>
        <v>1.638603459007184E-3</v>
      </c>
      <c r="Q406" s="19">
        <f t="shared" si="259"/>
        <v>0.28226851475253273</v>
      </c>
      <c r="R406" s="19">
        <f t="shared" si="260"/>
        <v>0.10329495016777915</v>
      </c>
      <c r="S406" s="19">
        <f t="shared" si="261"/>
        <v>0</v>
      </c>
      <c r="T406" s="19">
        <f t="shared" si="262"/>
        <v>0</v>
      </c>
      <c r="U406" s="19">
        <f t="shared" si="263"/>
        <v>0</v>
      </c>
      <c r="V406" s="19">
        <f t="shared" si="264"/>
        <v>0</v>
      </c>
      <c r="W406" s="19">
        <f t="shared" si="265"/>
        <v>0</v>
      </c>
      <c r="X406" s="19">
        <f t="shared" si="266"/>
        <v>0</v>
      </c>
      <c r="Y406" s="19">
        <f t="shared" si="267"/>
        <v>0</v>
      </c>
    </row>
    <row r="407" spans="1:25" outlineLevel="2">
      <c r="A407" s="1" t="s">
        <v>27</v>
      </c>
      <c r="B407">
        <v>284</v>
      </c>
      <c r="C407" s="5">
        <v>99.999269573399999</v>
      </c>
      <c r="D407" s="5">
        <v>2.39150469448</v>
      </c>
      <c r="E407" s="2">
        <v>110.84869032576604</v>
      </c>
      <c r="F407" s="2">
        <v>99.169275635940778</v>
      </c>
      <c r="G407" s="2">
        <v>10.540423009384225</v>
      </c>
      <c r="H407" s="2">
        <v>4.3934679087073292</v>
      </c>
      <c r="I407" s="2">
        <v>0.42149692125188098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P407" s="19">
        <f t="shared" si="268"/>
        <v>0.13277567436499876</v>
      </c>
      <c r="Q407" s="19">
        <f t="shared" si="259"/>
        <v>0.21682791739964624</v>
      </c>
      <c r="R407" s="19">
        <f t="shared" si="260"/>
        <v>7.5991828294538127E-2</v>
      </c>
      <c r="S407" s="19">
        <f t="shared" si="261"/>
        <v>0.11602253831252016</v>
      </c>
      <c r="T407" s="19">
        <f t="shared" si="262"/>
        <v>3.1719589049630431E-2</v>
      </c>
      <c r="U407" s="19">
        <f t="shared" si="263"/>
        <v>0</v>
      </c>
      <c r="V407" s="19">
        <f t="shared" si="264"/>
        <v>0</v>
      </c>
      <c r="W407" s="19">
        <f t="shared" si="265"/>
        <v>0</v>
      </c>
      <c r="X407" s="19">
        <f t="shared" si="266"/>
        <v>0</v>
      </c>
      <c r="Y407" s="19">
        <f t="shared" si="267"/>
        <v>0</v>
      </c>
    </row>
    <row r="408" spans="1:25" outlineLevel="2">
      <c r="A408" s="1" t="s">
        <v>27</v>
      </c>
      <c r="B408">
        <v>285</v>
      </c>
      <c r="C408" s="5">
        <v>99.997064516999998</v>
      </c>
      <c r="D408" s="5">
        <v>3.5479449110500001</v>
      </c>
      <c r="E408" s="2">
        <v>87.988417039153461</v>
      </c>
      <c r="F408" s="2">
        <v>82.045591494908166</v>
      </c>
      <c r="G408" s="2">
        <v>80.829127205058853</v>
      </c>
      <c r="H408" s="2">
        <v>12.274139684139165</v>
      </c>
      <c r="I408" s="2">
        <v>3.699891387129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P408" s="19">
        <f t="shared" si="268"/>
        <v>0.10539340946969022</v>
      </c>
      <c r="Q408" s="19">
        <f t="shared" si="259"/>
        <v>0.17938796690389178</v>
      </c>
      <c r="R408" s="19">
        <f t="shared" si="260"/>
        <v>0.5827425664316912</v>
      </c>
      <c r="S408" s="19">
        <f t="shared" si="261"/>
        <v>0.3241350275789906</v>
      </c>
      <c r="T408" s="19">
        <f t="shared" si="262"/>
        <v>0.27843390641960769</v>
      </c>
      <c r="U408" s="19">
        <f t="shared" si="263"/>
        <v>0</v>
      </c>
      <c r="V408" s="19">
        <f t="shared" si="264"/>
        <v>0</v>
      </c>
      <c r="W408" s="19">
        <f t="shared" si="265"/>
        <v>0</v>
      </c>
      <c r="X408" s="19">
        <f t="shared" si="266"/>
        <v>0</v>
      </c>
      <c r="Y408" s="19">
        <f t="shared" si="267"/>
        <v>0</v>
      </c>
    </row>
    <row r="409" spans="1:25" outlineLevel="2">
      <c r="A409" s="1" t="s">
        <v>27</v>
      </c>
      <c r="B409">
        <v>286</v>
      </c>
      <c r="C409" s="5">
        <v>72.522670201699995</v>
      </c>
      <c r="D409" s="5">
        <v>6.4676965296000004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P409" s="19">
        <f t="shared" si="268"/>
        <v>0</v>
      </c>
      <c r="Q409" s="19">
        <f t="shared" si="259"/>
        <v>0</v>
      </c>
      <c r="R409" s="19">
        <f t="shared" si="260"/>
        <v>0</v>
      </c>
      <c r="S409" s="19">
        <f t="shared" si="261"/>
        <v>0</v>
      </c>
      <c r="T409" s="19">
        <f t="shared" si="262"/>
        <v>0</v>
      </c>
      <c r="U409" s="19">
        <f t="shared" si="263"/>
        <v>0</v>
      </c>
      <c r="V409" s="19">
        <f t="shared" si="264"/>
        <v>0</v>
      </c>
      <c r="W409" s="19">
        <f t="shared" si="265"/>
        <v>0</v>
      </c>
      <c r="X409" s="19">
        <f t="shared" si="266"/>
        <v>0</v>
      </c>
      <c r="Y409" s="19">
        <f t="shared" si="267"/>
        <v>0</v>
      </c>
    </row>
    <row r="410" spans="1:25" outlineLevel="2">
      <c r="A410" s="1" t="s">
        <v>27</v>
      </c>
      <c r="B410">
        <v>287</v>
      </c>
      <c r="C410" s="5">
        <v>77.536098495999994</v>
      </c>
      <c r="D410" s="5">
        <v>3.0484774439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P410" s="19">
        <f t="shared" si="268"/>
        <v>0</v>
      </c>
      <c r="Q410" s="19">
        <f t="shared" si="259"/>
        <v>0</v>
      </c>
      <c r="R410" s="19">
        <f t="shared" si="260"/>
        <v>0</v>
      </c>
      <c r="S410" s="19">
        <f t="shared" si="261"/>
        <v>0</v>
      </c>
      <c r="T410" s="19">
        <f t="shared" si="262"/>
        <v>0</v>
      </c>
      <c r="U410" s="19">
        <f t="shared" si="263"/>
        <v>0</v>
      </c>
      <c r="V410" s="19">
        <f t="shared" si="264"/>
        <v>0</v>
      </c>
      <c r="W410" s="19">
        <f t="shared" si="265"/>
        <v>0</v>
      </c>
      <c r="X410" s="19">
        <f t="shared" si="266"/>
        <v>0</v>
      </c>
      <c r="Y410" s="19">
        <f t="shared" si="267"/>
        <v>0</v>
      </c>
    </row>
    <row r="411" spans="1:25" outlineLevel="2">
      <c r="A411" s="1" t="s">
        <v>27</v>
      </c>
      <c r="B411">
        <v>288</v>
      </c>
      <c r="C411" s="5">
        <v>24.575959967199999</v>
      </c>
      <c r="D411" s="5">
        <v>3.26688928471</v>
      </c>
      <c r="E411" s="2">
        <v>158.0725745090304</v>
      </c>
      <c r="F411" s="2">
        <v>65.575419581480574</v>
      </c>
      <c r="G411" s="2">
        <v>27.610476624150021</v>
      </c>
      <c r="H411" s="2">
        <v>20.398046772775999</v>
      </c>
      <c r="I411" s="2">
        <v>9.1668330677655998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P411" s="19">
        <f t="shared" si="268"/>
        <v>0.18934091704076236</v>
      </c>
      <c r="Q411" s="19">
        <f t="shared" si="259"/>
        <v>0.14337688330666135</v>
      </c>
      <c r="R411" s="19">
        <f t="shared" si="260"/>
        <v>0.19905943024153289</v>
      </c>
      <c r="S411" s="19">
        <f t="shared" si="261"/>
        <v>0.53867086601556757</v>
      </c>
      <c r="T411" s="19">
        <f t="shared" si="262"/>
        <v>0.68984650453076179</v>
      </c>
      <c r="U411" s="19">
        <f t="shared" si="263"/>
        <v>0</v>
      </c>
      <c r="V411" s="19">
        <f t="shared" si="264"/>
        <v>0</v>
      </c>
      <c r="W411" s="19">
        <f t="shared" si="265"/>
        <v>0</v>
      </c>
      <c r="X411" s="19">
        <f t="shared" si="266"/>
        <v>0</v>
      </c>
      <c r="Y411" s="19">
        <f t="shared" si="267"/>
        <v>0</v>
      </c>
    </row>
    <row r="412" spans="1:25" outlineLevel="1">
      <c r="A412" s="18" t="s">
        <v>81</v>
      </c>
      <c r="E412" s="2">
        <f t="shared" ref="E412:N412" si="269">SUBTOTAL(9,E390:E411)</f>
        <v>834.85691830149767</v>
      </c>
      <c r="F412" s="2">
        <f t="shared" si="269"/>
        <v>457.3639632075467</v>
      </c>
      <c r="G412" s="2">
        <f t="shared" si="269"/>
        <v>138.70469030604718</v>
      </c>
      <c r="H412" s="2">
        <f t="shared" si="269"/>
        <v>37.867365880868888</v>
      </c>
      <c r="I412" s="2">
        <f t="shared" si="269"/>
        <v>13.288221376146481</v>
      </c>
      <c r="J412" s="2">
        <f t="shared" si="269"/>
        <v>0</v>
      </c>
      <c r="K412" s="2">
        <f t="shared" si="269"/>
        <v>0</v>
      </c>
      <c r="L412" s="2">
        <f t="shared" si="269"/>
        <v>0</v>
      </c>
      <c r="M412" s="2">
        <f t="shared" si="269"/>
        <v>0</v>
      </c>
      <c r="N412" s="2">
        <f t="shared" si="269"/>
        <v>0</v>
      </c>
    </row>
    <row r="413" spans="1:25" outlineLevel="2">
      <c r="A413" s="1" t="s">
        <v>28</v>
      </c>
      <c r="B413">
        <v>236</v>
      </c>
      <c r="C413" s="5">
        <v>91.345384457400002</v>
      </c>
      <c r="D413" s="5">
        <v>16.697710445599999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P413" s="19">
        <f>IF(E$421&gt;0, E413/E$421, 0)</f>
        <v>0</v>
      </c>
      <c r="Q413" s="19">
        <f t="shared" ref="Q413:Q421" si="270">IF(F$421&gt;0, F413/F$421, 0)</f>
        <v>0</v>
      </c>
      <c r="R413" s="19">
        <f t="shared" ref="R413:R421" si="271">IF(G$421&gt;0, G413/G$421, 0)</f>
        <v>0</v>
      </c>
      <c r="S413" s="19">
        <f t="shared" ref="S413:S421" si="272">IF(H$421&gt;0, H413/H$421, 0)</f>
        <v>0</v>
      </c>
      <c r="T413" s="19">
        <f t="shared" ref="T413:T421" si="273">IF(I$421&gt;0, I413/I$421, 0)</f>
        <v>0</v>
      </c>
      <c r="U413" s="19">
        <f t="shared" ref="U413:U421" si="274">IF(J$421&gt;0, J413/J$421, 0)</f>
        <v>0</v>
      </c>
      <c r="V413" s="19">
        <f t="shared" ref="V413:V421" si="275">IF(K$421&gt;0, K413/K$421, 0)</f>
        <v>0</v>
      </c>
      <c r="W413" s="19">
        <f t="shared" ref="W413:W421" si="276">IF(L$421&gt;0, L413/L$421, 0)</f>
        <v>0</v>
      </c>
      <c r="X413" s="19">
        <f t="shared" ref="X413:X421" si="277">IF(M$421&gt;0, M413/M$421, 0)</f>
        <v>0</v>
      </c>
      <c r="Y413" s="19">
        <f t="shared" ref="Y413:Y421" si="278">IF(N$421&gt;0, N413/N$421, 0)</f>
        <v>0</v>
      </c>
    </row>
    <row r="414" spans="1:25" outlineLevel="2">
      <c r="A414" s="1" t="s">
        <v>28</v>
      </c>
      <c r="B414">
        <v>237</v>
      </c>
      <c r="C414" s="5">
        <v>99.987946186599999</v>
      </c>
      <c r="D414" s="5">
        <v>6.6126215218600004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P414" s="19">
        <f t="shared" ref="P414:P421" si="279">IF(E$421&gt;0, E414/E$421, 0)</f>
        <v>0</v>
      </c>
      <c r="Q414" s="19">
        <f t="shared" si="270"/>
        <v>0</v>
      </c>
      <c r="R414" s="19">
        <f t="shared" si="271"/>
        <v>0</v>
      </c>
      <c r="S414" s="19">
        <f t="shared" si="272"/>
        <v>0</v>
      </c>
      <c r="T414" s="19">
        <f t="shared" si="273"/>
        <v>0</v>
      </c>
      <c r="U414" s="19">
        <f t="shared" si="274"/>
        <v>0</v>
      </c>
      <c r="V414" s="19">
        <f t="shared" si="275"/>
        <v>0</v>
      </c>
      <c r="W414" s="19">
        <f t="shared" si="276"/>
        <v>0</v>
      </c>
      <c r="X414" s="19">
        <f t="shared" si="277"/>
        <v>0</v>
      </c>
      <c r="Y414" s="19">
        <f t="shared" si="278"/>
        <v>0</v>
      </c>
    </row>
    <row r="415" spans="1:25" outlineLevel="2">
      <c r="A415" s="1" t="s">
        <v>28</v>
      </c>
      <c r="B415">
        <v>238</v>
      </c>
      <c r="C415" s="5">
        <v>91.1091423365</v>
      </c>
      <c r="D415" s="5">
        <v>20.660229856899999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P415" s="19">
        <f t="shared" si="279"/>
        <v>0</v>
      </c>
      <c r="Q415" s="19">
        <f t="shared" si="270"/>
        <v>0</v>
      </c>
      <c r="R415" s="19">
        <f t="shared" si="271"/>
        <v>0</v>
      </c>
      <c r="S415" s="19">
        <f t="shared" si="272"/>
        <v>0</v>
      </c>
      <c r="T415" s="19">
        <f t="shared" si="273"/>
        <v>0</v>
      </c>
      <c r="U415" s="19">
        <f t="shared" si="274"/>
        <v>0</v>
      </c>
      <c r="V415" s="19">
        <f t="shared" si="275"/>
        <v>0</v>
      </c>
      <c r="W415" s="19">
        <f t="shared" si="276"/>
        <v>0</v>
      </c>
      <c r="X415" s="19">
        <f t="shared" si="277"/>
        <v>0</v>
      </c>
      <c r="Y415" s="19">
        <f t="shared" si="278"/>
        <v>0</v>
      </c>
    </row>
    <row r="416" spans="1:25" outlineLevel="2">
      <c r="A416" s="1" t="s">
        <v>28</v>
      </c>
      <c r="B416">
        <v>239</v>
      </c>
      <c r="C416" s="5">
        <v>100</v>
      </c>
      <c r="D416" s="5">
        <v>4.89362466607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P416" s="19">
        <f t="shared" si="279"/>
        <v>0</v>
      </c>
      <c r="Q416" s="19">
        <f t="shared" si="270"/>
        <v>0</v>
      </c>
      <c r="R416" s="19">
        <f t="shared" si="271"/>
        <v>0</v>
      </c>
      <c r="S416" s="19">
        <f t="shared" si="272"/>
        <v>0</v>
      </c>
      <c r="T416" s="19">
        <f t="shared" si="273"/>
        <v>0</v>
      </c>
      <c r="U416" s="19">
        <f t="shared" si="274"/>
        <v>0</v>
      </c>
      <c r="V416" s="19">
        <f t="shared" si="275"/>
        <v>0</v>
      </c>
      <c r="W416" s="19">
        <f t="shared" si="276"/>
        <v>0</v>
      </c>
      <c r="X416" s="19">
        <f t="shared" si="277"/>
        <v>0</v>
      </c>
      <c r="Y416" s="19">
        <f t="shared" si="278"/>
        <v>0</v>
      </c>
    </row>
    <row r="417" spans="1:25" outlineLevel="2">
      <c r="A417" s="1" t="s">
        <v>28</v>
      </c>
      <c r="B417">
        <v>240</v>
      </c>
      <c r="C417" s="5">
        <v>94.865204347000002</v>
      </c>
      <c r="D417" s="5">
        <v>27.032453777800001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P417" s="19">
        <f t="shared" si="279"/>
        <v>0</v>
      </c>
      <c r="Q417" s="19">
        <f t="shared" si="270"/>
        <v>0</v>
      </c>
      <c r="R417" s="19">
        <f t="shared" si="271"/>
        <v>0</v>
      </c>
      <c r="S417" s="19">
        <f t="shared" si="272"/>
        <v>0</v>
      </c>
      <c r="T417" s="19">
        <f t="shared" si="273"/>
        <v>0</v>
      </c>
      <c r="U417" s="19">
        <f t="shared" si="274"/>
        <v>0</v>
      </c>
      <c r="V417" s="19">
        <f t="shared" si="275"/>
        <v>0</v>
      </c>
      <c r="W417" s="19">
        <f t="shared" si="276"/>
        <v>0</v>
      </c>
      <c r="X417" s="19">
        <f t="shared" si="277"/>
        <v>0</v>
      </c>
      <c r="Y417" s="19">
        <f t="shared" si="278"/>
        <v>0</v>
      </c>
    </row>
    <row r="418" spans="1:25" outlineLevel="2">
      <c r="A418" s="1" t="s">
        <v>28</v>
      </c>
      <c r="B418">
        <v>241</v>
      </c>
      <c r="C418" s="5">
        <v>49.8926142742</v>
      </c>
      <c r="D418" s="5">
        <v>2.7345802210099999</v>
      </c>
      <c r="E418" s="2">
        <v>94.04957361143795</v>
      </c>
      <c r="F418" s="2">
        <v>13.447057399182386</v>
      </c>
      <c r="G418" s="2">
        <v>2.6443085565325997</v>
      </c>
      <c r="H418" s="2">
        <v>0.79828182838720008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P418" s="19">
        <f t="shared" si="279"/>
        <v>0</v>
      </c>
      <c r="Q418" s="19">
        <f t="shared" si="270"/>
        <v>0</v>
      </c>
      <c r="R418" s="19">
        <f t="shared" si="271"/>
        <v>0</v>
      </c>
      <c r="S418" s="19">
        <f t="shared" si="272"/>
        <v>0</v>
      </c>
      <c r="T418" s="19">
        <f t="shared" si="273"/>
        <v>0</v>
      </c>
      <c r="U418" s="19">
        <f t="shared" si="274"/>
        <v>0</v>
      </c>
      <c r="V418" s="19">
        <f t="shared" si="275"/>
        <v>0</v>
      </c>
      <c r="W418" s="19">
        <f t="shared" si="276"/>
        <v>0</v>
      </c>
      <c r="X418" s="19">
        <f t="shared" si="277"/>
        <v>0</v>
      </c>
      <c r="Y418" s="19">
        <f t="shared" si="278"/>
        <v>0</v>
      </c>
    </row>
    <row r="419" spans="1:25" outlineLevel="2">
      <c r="A419" s="1" t="s">
        <v>28</v>
      </c>
      <c r="B419">
        <v>242</v>
      </c>
      <c r="C419" s="5">
        <v>90.3274326895</v>
      </c>
      <c r="D419" s="5">
        <v>12.937490199000001</v>
      </c>
      <c r="E419" s="2">
        <v>87.289721128152124</v>
      </c>
      <c r="F419" s="2">
        <v>11.284606165899236</v>
      </c>
      <c r="G419" s="2">
        <v>0.45163716344749999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P419" s="19">
        <f t="shared" si="279"/>
        <v>0</v>
      </c>
      <c r="Q419" s="19">
        <f t="shared" si="270"/>
        <v>0</v>
      </c>
      <c r="R419" s="19">
        <f t="shared" si="271"/>
        <v>0</v>
      </c>
      <c r="S419" s="19">
        <f t="shared" si="272"/>
        <v>0</v>
      </c>
      <c r="T419" s="19">
        <f t="shared" si="273"/>
        <v>0</v>
      </c>
      <c r="U419" s="19">
        <f t="shared" si="274"/>
        <v>0</v>
      </c>
      <c r="V419" s="19">
        <f t="shared" si="275"/>
        <v>0</v>
      </c>
      <c r="W419" s="19">
        <f t="shared" si="276"/>
        <v>0</v>
      </c>
      <c r="X419" s="19">
        <f t="shared" si="277"/>
        <v>0</v>
      </c>
      <c r="Y419" s="19">
        <f t="shared" si="278"/>
        <v>0</v>
      </c>
    </row>
    <row r="420" spans="1:25" outlineLevel="2">
      <c r="A420" s="1" t="s">
        <v>28</v>
      </c>
      <c r="B420">
        <v>286</v>
      </c>
      <c r="C420" s="5">
        <v>27.474790211999998</v>
      </c>
      <c r="D420" s="5">
        <v>6.1941059946400001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P420" s="19">
        <f t="shared" si="279"/>
        <v>0</v>
      </c>
      <c r="Q420" s="19">
        <f t="shared" si="270"/>
        <v>0</v>
      </c>
      <c r="R420" s="19">
        <f t="shared" si="271"/>
        <v>0</v>
      </c>
      <c r="S420" s="19">
        <f t="shared" si="272"/>
        <v>0</v>
      </c>
      <c r="T420" s="19">
        <f t="shared" si="273"/>
        <v>0</v>
      </c>
      <c r="U420" s="19">
        <f t="shared" si="274"/>
        <v>0</v>
      </c>
      <c r="V420" s="19">
        <f t="shared" si="275"/>
        <v>0</v>
      </c>
      <c r="W420" s="19">
        <f t="shared" si="276"/>
        <v>0</v>
      </c>
      <c r="X420" s="19">
        <f t="shared" si="277"/>
        <v>0</v>
      </c>
      <c r="Y420" s="19">
        <f t="shared" si="278"/>
        <v>0</v>
      </c>
    </row>
    <row r="421" spans="1:25" outlineLevel="2">
      <c r="A421" s="1" t="s">
        <v>28</v>
      </c>
      <c r="B421">
        <v>287</v>
      </c>
      <c r="C421" s="5">
        <v>22.463901518299998</v>
      </c>
      <c r="D421" s="5">
        <v>2.2327115955300001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P421" s="19">
        <f t="shared" si="279"/>
        <v>0</v>
      </c>
      <c r="Q421" s="19">
        <f t="shared" si="270"/>
        <v>0</v>
      </c>
      <c r="R421" s="19">
        <f t="shared" si="271"/>
        <v>0</v>
      </c>
      <c r="S421" s="19">
        <f t="shared" si="272"/>
        <v>0</v>
      </c>
      <c r="T421" s="19">
        <f t="shared" si="273"/>
        <v>0</v>
      </c>
      <c r="U421" s="19">
        <f t="shared" si="274"/>
        <v>0</v>
      </c>
      <c r="V421" s="19">
        <f t="shared" si="275"/>
        <v>0</v>
      </c>
      <c r="W421" s="19">
        <f t="shared" si="276"/>
        <v>0</v>
      </c>
      <c r="X421" s="19">
        <f t="shared" si="277"/>
        <v>0</v>
      </c>
      <c r="Y421" s="19">
        <f t="shared" si="278"/>
        <v>0</v>
      </c>
    </row>
    <row r="422" spans="1:25" outlineLevel="1">
      <c r="A422" s="18" t="s">
        <v>82</v>
      </c>
      <c r="E422" s="2">
        <f t="shared" ref="E422:N422" si="280">SUBTOTAL(9,E413:E421)</f>
        <v>181.33929473959006</v>
      </c>
      <c r="F422" s="2">
        <f t="shared" si="280"/>
        <v>24.731663565081622</v>
      </c>
      <c r="G422" s="2">
        <f t="shared" si="280"/>
        <v>3.0959457199800995</v>
      </c>
      <c r="H422" s="2">
        <f t="shared" si="280"/>
        <v>0.79828182838720008</v>
      </c>
      <c r="I422" s="2">
        <f t="shared" si="280"/>
        <v>0</v>
      </c>
      <c r="J422" s="2">
        <f t="shared" si="280"/>
        <v>0</v>
      </c>
      <c r="K422" s="2">
        <f t="shared" si="280"/>
        <v>0</v>
      </c>
      <c r="L422" s="2">
        <f t="shared" si="280"/>
        <v>0</v>
      </c>
      <c r="M422" s="2">
        <f t="shared" si="280"/>
        <v>0</v>
      </c>
      <c r="N422" s="2">
        <f t="shared" si="280"/>
        <v>0</v>
      </c>
    </row>
    <row r="423" spans="1:25" outlineLevel="2">
      <c r="A423" s="1" t="s">
        <v>29</v>
      </c>
      <c r="B423">
        <v>333</v>
      </c>
      <c r="C423" s="5">
        <v>99.999036387900006</v>
      </c>
      <c r="D423" s="5">
        <v>11.2387719468</v>
      </c>
      <c r="E423" s="2">
        <v>0</v>
      </c>
      <c r="F423" s="2">
        <v>301.72409252211901</v>
      </c>
      <c r="G423" s="2">
        <v>0.29999710916369998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P423" s="19">
        <f>IF(E$430&gt;0, E423/E$430, 0)</f>
        <v>0</v>
      </c>
      <c r="Q423" s="19">
        <f t="shared" ref="Q423:Q429" si="281">IF(F$430&gt;0, F423/F$430, 0)</f>
        <v>0.35015101107621044</v>
      </c>
      <c r="R423" s="19">
        <f t="shared" ref="R423:R429" si="282">IF(G$430&gt;0, G423/G$430, 0)</f>
        <v>1.6682546193742701E-3</v>
      </c>
      <c r="S423" s="19">
        <f t="shared" ref="S423:S429" si="283">IF(H$430&gt;0, H423/H$430, 0)</f>
        <v>0</v>
      </c>
      <c r="T423" s="19">
        <f t="shared" ref="T423:T429" si="284">IF(I$430&gt;0, I423/I$430, 0)</f>
        <v>0</v>
      </c>
      <c r="U423" s="19">
        <f t="shared" ref="U423:U429" si="285">IF(J$430&gt;0, J423/J$430, 0)</f>
        <v>0</v>
      </c>
      <c r="V423" s="19">
        <f t="shared" ref="V423:V429" si="286">IF(K$430&gt;0, K423/K$430, 0)</f>
        <v>0</v>
      </c>
      <c r="W423" s="19">
        <f t="shared" ref="W423:W429" si="287">IF(L$430&gt;0, L423/L$430, 0)</f>
        <v>0</v>
      </c>
      <c r="X423" s="19">
        <f t="shared" ref="X423:X429" si="288">IF(M$430&gt;0, M423/M$430, 0)</f>
        <v>0</v>
      </c>
      <c r="Y423" s="19">
        <f t="shared" ref="Y423:Y429" si="289">IF(N$430&gt;0, N423/N$430, 0)</f>
        <v>0</v>
      </c>
    </row>
    <row r="424" spans="1:25" outlineLevel="2">
      <c r="A424" s="1" t="s">
        <v>29</v>
      </c>
      <c r="B424">
        <v>334</v>
      </c>
      <c r="C424" s="5">
        <v>100</v>
      </c>
      <c r="D424" s="5">
        <v>12.8383513291</v>
      </c>
      <c r="E424" s="2">
        <v>33.9</v>
      </c>
      <c r="F424" s="2">
        <v>7.6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P424" s="19">
        <f t="shared" ref="P424:P429" si="290">IF(E$430&gt;0, E424/E$430, 0)</f>
        <v>0.10654324735537463</v>
      </c>
      <c r="Q424" s="19">
        <f t="shared" si="281"/>
        <v>8.8198050806437139E-3</v>
      </c>
      <c r="R424" s="19">
        <f t="shared" si="282"/>
        <v>0</v>
      </c>
      <c r="S424" s="19">
        <f t="shared" si="283"/>
        <v>0</v>
      </c>
      <c r="T424" s="19">
        <f t="shared" si="284"/>
        <v>0</v>
      </c>
      <c r="U424" s="19">
        <f t="shared" si="285"/>
        <v>0</v>
      </c>
      <c r="V424" s="19">
        <f t="shared" si="286"/>
        <v>0</v>
      </c>
      <c r="W424" s="19">
        <f t="shared" si="287"/>
        <v>0</v>
      </c>
      <c r="X424" s="19">
        <f t="shared" si="288"/>
        <v>0</v>
      </c>
      <c r="Y424" s="19">
        <f t="shared" si="289"/>
        <v>0</v>
      </c>
    </row>
    <row r="425" spans="1:25" outlineLevel="2">
      <c r="A425" s="1" t="s">
        <v>29</v>
      </c>
      <c r="B425">
        <v>335</v>
      </c>
      <c r="C425" s="5">
        <v>99.999335779299997</v>
      </c>
      <c r="D425" s="5">
        <v>23.912541654200002</v>
      </c>
      <c r="E425" s="2">
        <v>0</v>
      </c>
      <c r="F425" s="2">
        <v>56.999621394200993</v>
      </c>
      <c r="G425" s="2">
        <v>7.8999475265647003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P425" s="19">
        <f t="shared" si="290"/>
        <v>0</v>
      </c>
      <c r="Q425" s="19">
        <f t="shared" si="281"/>
        <v>6.6148098732545013E-2</v>
      </c>
      <c r="R425" s="19">
        <f t="shared" si="282"/>
        <v>4.3930836502875846E-2</v>
      </c>
      <c r="S425" s="19">
        <f t="shared" si="283"/>
        <v>0</v>
      </c>
      <c r="T425" s="19">
        <f t="shared" si="284"/>
        <v>0</v>
      </c>
      <c r="U425" s="19">
        <f t="shared" si="285"/>
        <v>0</v>
      </c>
      <c r="V425" s="19">
        <f t="shared" si="286"/>
        <v>0</v>
      </c>
      <c r="W425" s="19">
        <f t="shared" si="287"/>
        <v>0</v>
      </c>
      <c r="X425" s="19">
        <f t="shared" si="288"/>
        <v>0</v>
      </c>
      <c r="Y425" s="19">
        <f t="shared" si="289"/>
        <v>0</v>
      </c>
    </row>
    <row r="426" spans="1:25" outlineLevel="2">
      <c r="A426" s="1" t="s">
        <v>29</v>
      </c>
      <c r="B426">
        <v>336</v>
      </c>
      <c r="C426" s="5">
        <v>100</v>
      </c>
      <c r="D426" s="5">
        <v>6.2443980551799996</v>
      </c>
      <c r="E426" s="2">
        <v>95.030519999999996</v>
      </c>
      <c r="F426" s="2">
        <v>141.1</v>
      </c>
      <c r="G426" s="2">
        <v>23.3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P426" s="19">
        <f t="shared" si="290"/>
        <v>0.29866844243863938</v>
      </c>
      <c r="Q426" s="19">
        <f t="shared" si="281"/>
        <v>0.16374664432616157</v>
      </c>
      <c r="R426" s="19">
        <f t="shared" si="282"/>
        <v>0.12956902398086126</v>
      </c>
      <c r="S426" s="19">
        <f t="shared" si="283"/>
        <v>0</v>
      </c>
      <c r="T426" s="19">
        <f t="shared" si="284"/>
        <v>0</v>
      </c>
      <c r="U426" s="19">
        <f t="shared" si="285"/>
        <v>0</v>
      </c>
      <c r="V426" s="19">
        <f t="shared" si="286"/>
        <v>0</v>
      </c>
      <c r="W426" s="19">
        <f t="shared" si="287"/>
        <v>0</v>
      </c>
      <c r="X426" s="19">
        <f t="shared" si="288"/>
        <v>0</v>
      </c>
      <c r="Y426" s="19">
        <f t="shared" si="289"/>
        <v>0</v>
      </c>
    </row>
    <row r="427" spans="1:25" outlineLevel="2">
      <c r="A427" s="1" t="s">
        <v>29</v>
      </c>
      <c r="B427">
        <v>337</v>
      </c>
      <c r="C427" s="5">
        <v>99.989945397699998</v>
      </c>
      <c r="D427" s="5">
        <v>15.0654990082</v>
      </c>
      <c r="E427" s="2">
        <v>109.8676561333004</v>
      </c>
      <c r="F427" s="2">
        <v>31.996782527263999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P427" s="19">
        <f t="shared" si="290"/>
        <v>0.34529961250045627</v>
      </c>
      <c r="Q427" s="19">
        <f t="shared" si="281"/>
        <v>3.713228751292303E-2</v>
      </c>
      <c r="R427" s="19">
        <f t="shared" si="282"/>
        <v>0</v>
      </c>
      <c r="S427" s="19">
        <f t="shared" si="283"/>
        <v>0</v>
      </c>
      <c r="T427" s="19">
        <f t="shared" si="284"/>
        <v>0</v>
      </c>
      <c r="U427" s="19">
        <f t="shared" si="285"/>
        <v>0</v>
      </c>
      <c r="V427" s="19">
        <f t="shared" si="286"/>
        <v>0</v>
      </c>
      <c r="W427" s="19">
        <f t="shared" si="287"/>
        <v>0</v>
      </c>
      <c r="X427" s="19">
        <f t="shared" si="288"/>
        <v>0</v>
      </c>
      <c r="Y427" s="19">
        <f t="shared" si="289"/>
        <v>0</v>
      </c>
    </row>
    <row r="428" spans="1:25" outlineLevel="2">
      <c r="A428" s="1" t="s">
        <v>29</v>
      </c>
      <c r="B428">
        <v>338</v>
      </c>
      <c r="C428" s="5">
        <v>33.459099284300002</v>
      </c>
      <c r="D428" s="5">
        <v>7.6374947890199998</v>
      </c>
      <c r="E428" s="2">
        <v>7.1328676658958567</v>
      </c>
      <c r="F428" s="2">
        <v>117.07337835803591</v>
      </c>
      <c r="G428" s="2">
        <v>49.653303337901207</v>
      </c>
      <c r="H428" s="2">
        <v>15.725776663621001</v>
      </c>
      <c r="I428" s="2">
        <v>4.8850284955078003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P428" s="19">
        <f t="shared" si="290"/>
        <v>2.2417666197070679E-2</v>
      </c>
      <c r="Q428" s="19">
        <f t="shared" si="281"/>
        <v>0.13586373384872749</v>
      </c>
      <c r="R428" s="19">
        <f t="shared" si="282"/>
        <v>0.27611716956727467</v>
      </c>
      <c r="S428" s="19">
        <f t="shared" si="283"/>
        <v>0.27375425208593201</v>
      </c>
      <c r="T428" s="19">
        <f t="shared" si="284"/>
        <v>0.20567791539482702</v>
      </c>
      <c r="U428" s="19">
        <f t="shared" si="285"/>
        <v>0</v>
      </c>
      <c r="V428" s="19">
        <f t="shared" si="286"/>
        <v>0</v>
      </c>
      <c r="W428" s="19">
        <f t="shared" si="287"/>
        <v>0</v>
      </c>
      <c r="X428" s="19">
        <f t="shared" si="288"/>
        <v>0</v>
      </c>
      <c r="Y428" s="19">
        <f t="shared" si="289"/>
        <v>0</v>
      </c>
    </row>
    <row r="429" spans="1:25" outlineLevel="2">
      <c r="A429" s="1" t="s">
        <v>29</v>
      </c>
      <c r="B429">
        <v>339</v>
      </c>
      <c r="C429" s="5">
        <v>59.513681258699997</v>
      </c>
      <c r="D429" s="5">
        <v>11.8784641165</v>
      </c>
      <c r="E429" s="2">
        <v>72.249609048061799</v>
      </c>
      <c r="F429" s="2">
        <v>205.20317297999759</v>
      </c>
      <c r="G429" s="2">
        <v>98.673683526924592</v>
      </c>
      <c r="H429" s="2">
        <v>41.71909056234869</v>
      </c>
      <c r="I429" s="2">
        <v>18.8658369590079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P429" s="19">
        <f t="shared" si="290"/>
        <v>0.22707103150845903</v>
      </c>
      <c r="Q429" s="19">
        <f t="shared" si="281"/>
        <v>0.23813841942278863</v>
      </c>
      <c r="R429" s="19">
        <f t="shared" si="282"/>
        <v>0.54871471532961402</v>
      </c>
      <c r="S429" s="19">
        <f t="shared" si="283"/>
        <v>0.72624574791406804</v>
      </c>
      <c r="T429" s="19">
        <f t="shared" si="284"/>
        <v>0.79432208460517295</v>
      </c>
      <c r="U429" s="19">
        <f t="shared" si="285"/>
        <v>0</v>
      </c>
      <c r="V429" s="19">
        <f t="shared" si="286"/>
        <v>0</v>
      </c>
      <c r="W429" s="19">
        <f t="shared" si="287"/>
        <v>0</v>
      </c>
      <c r="X429" s="19">
        <f t="shared" si="288"/>
        <v>0</v>
      </c>
      <c r="Y429" s="19">
        <f t="shared" si="289"/>
        <v>0</v>
      </c>
    </row>
    <row r="430" spans="1:25" outlineLevel="1">
      <c r="A430" s="18" t="s">
        <v>83</v>
      </c>
      <c r="E430" s="2">
        <f t="shared" ref="E430:N430" si="291">SUBTOTAL(9,E423:E429)</f>
        <v>318.18065284725805</v>
      </c>
      <c r="F430" s="2">
        <f t="shared" si="291"/>
        <v>861.69704778161758</v>
      </c>
      <c r="G430" s="2">
        <f t="shared" si="291"/>
        <v>179.8269315005542</v>
      </c>
      <c r="H430" s="2">
        <f t="shared" si="291"/>
        <v>57.444867225969688</v>
      </c>
      <c r="I430" s="2">
        <f t="shared" si="291"/>
        <v>23.750865454515701</v>
      </c>
      <c r="J430" s="2">
        <f t="shared" si="291"/>
        <v>0</v>
      </c>
      <c r="K430" s="2">
        <f t="shared" si="291"/>
        <v>0</v>
      </c>
      <c r="L430" s="2">
        <f t="shared" si="291"/>
        <v>0</v>
      </c>
      <c r="M430" s="2">
        <f t="shared" si="291"/>
        <v>0</v>
      </c>
      <c r="N430" s="2">
        <f t="shared" si="291"/>
        <v>0</v>
      </c>
    </row>
    <row r="431" spans="1:25" outlineLevel="2">
      <c r="A431" s="1" t="s">
        <v>30</v>
      </c>
      <c r="B431">
        <v>288</v>
      </c>
      <c r="C431" s="5">
        <v>75.423979120599995</v>
      </c>
      <c r="D431" s="5">
        <v>10.2001745334</v>
      </c>
      <c r="E431" s="2">
        <v>485.12703370369923</v>
      </c>
      <c r="F431" s="2">
        <v>201.25191788801894</v>
      </c>
      <c r="G431" s="2">
        <v>84.736954942516078</v>
      </c>
      <c r="H431" s="2">
        <v>62.601902670097999</v>
      </c>
      <c r="I431" s="2">
        <v>28.133144211983794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P431" s="19">
        <f>IF(E$443&gt;0, E431/E$443, 0)</f>
        <v>0.41062026823365583</v>
      </c>
      <c r="Q431" s="19">
        <f t="shared" ref="Q431:Q442" si="292">IF(F$443&gt;0, F431/F$443, 0)</f>
        <v>0.91938387537266653</v>
      </c>
      <c r="R431" s="19">
        <f t="shared" ref="R431:R442" si="293">IF(G$443&gt;0, G431/G$443, 0)</f>
        <v>0.93387491219496943</v>
      </c>
      <c r="S431" s="19">
        <f t="shared" ref="S431:S442" si="294">IF(H$443&gt;0, H431/H$443, 0)</f>
        <v>0.98427722189552591</v>
      </c>
      <c r="T431" s="19">
        <f t="shared" ref="T431:T442" si="295">IF(I$443&gt;0, I431/I$443, 0)</f>
        <v>1</v>
      </c>
      <c r="U431" s="19">
        <f t="shared" ref="U431:U442" si="296">IF(J$443&gt;0, J431/J$443, 0)</f>
        <v>0</v>
      </c>
      <c r="V431" s="19">
        <f t="shared" ref="V431:V442" si="297">IF(K$443&gt;0, K431/K$443, 0)</f>
        <v>0</v>
      </c>
      <c r="W431" s="19">
        <f t="shared" ref="W431:W442" si="298">IF(L$443&gt;0, L431/L$443, 0)</f>
        <v>0</v>
      </c>
      <c r="X431" s="19">
        <f t="shared" ref="X431:X442" si="299">IF(M$443&gt;0, M431/M$443, 0)</f>
        <v>0</v>
      </c>
      <c r="Y431" s="19">
        <f t="shared" ref="Y431:Y442" si="300">IF(N$443&gt;0, N431/N$443, 0)</f>
        <v>0</v>
      </c>
    </row>
    <row r="432" spans="1:25" outlineLevel="2">
      <c r="A432" s="1" t="s">
        <v>30</v>
      </c>
      <c r="B432">
        <v>289</v>
      </c>
      <c r="C432" s="5">
        <v>99.999543991799996</v>
      </c>
      <c r="D432" s="5">
        <v>7.9333462038200002</v>
      </c>
      <c r="E432" s="2">
        <v>5.2999758315653995</v>
      </c>
      <c r="F432" s="2">
        <v>1.6999922478605998</v>
      </c>
      <c r="G432" s="2">
        <v>0.999995439918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P432" s="19">
        <f t="shared" ref="P432:P442" si="301">IF(E$443&gt;0, E432/E$443, 0)</f>
        <v>4.4859951031269085E-3</v>
      </c>
      <c r="Q432" s="19">
        <f t="shared" si="292"/>
        <v>7.7661146156690368E-3</v>
      </c>
      <c r="R432" s="19">
        <f t="shared" si="293"/>
        <v>1.1020819125283791E-2</v>
      </c>
      <c r="S432" s="19">
        <f t="shared" si="294"/>
        <v>0</v>
      </c>
      <c r="T432" s="19">
        <f t="shared" si="295"/>
        <v>0</v>
      </c>
      <c r="U432" s="19">
        <f t="shared" si="296"/>
        <v>0</v>
      </c>
      <c r="V432" s="19">
        <f t="shared" si="297"/>
        <v>0</v>
      </c>
      <c r="W432" s="19">
        <f t="shared" si="298"/>
        <v>0</v>
      </c>
      <c r="X432" s="19">
        <f t="shared" si="299"/>
        <v>0</v>
      </c>
      <c r="Y432" s="19">
        <f t="shared" si="300"/>
        <v>0</v>
      </c>
    </row>
    <row r="433" spans="1:25" outlineLevel="2">
      <c r="A433" s="1" t="s">
        <v>30</v>
      </c>
      <c r="B433">
        <v>290</v>
      </c>
      <c r="C433" s="5">
        <v>100</v>
      </c>
      <c r="D433" s="5">
        <v>4.7508218001699998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P433" s="19">
        <f t="shared" si="301"/>
        <v>0</v>
      </c>
      <c r="Q433" s="19">
        <f t="shared" si="292"/>
        <v>0</v>
      </c>
      <c r="R433" s="19">
        <f t="shared" si="293"/>
        <v>0</v>
      </c>
      <c r="S433" s="19">
        <f t="shared" si="294"/>
        <v>0</v>
      </c>
      <c r="T433" s="19">
        <f t="shared" si="295"/>
        <v>0</v>
      </c>
      <c r="U433" s="19">
        <f t="shared" si="296"/>
        <v>0</v>
      </c>
      <c r="V433" s="19">
        <f t="shared" si="297"/>
        <v>0</v>
      </c>
      <c r="W433" s="19">
        <f t="shared" si="298"/>
        <v>0</v>
      </c>
      <c r="X433" s="19">
        <f t="shared" si="299"/>
        <v>0</v>
      </c>
      <c r="Y433" s="19">
        <f t="shared" si="300"/>
        <v>0</v>
      </c>
    </row>
    <row r="434" spans="1:25" outlineLevel="2">
      <c r="A434" s="1" t="s">
        <v>30</v>
      </c>
      <c r="B434">
        <v>291</v>
      </c>
      <c r="C434" s="5">
        <v>99.999735104699994</v>
      </c>
      <c r="D434" s="5">
        <v>7.4704345099599996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P434" s="19">
        <f t="shared" si="301"/>
        <v>0</v>
      </c>
      <c r="Q434" s="19">
        <f t="shared" si="292"/>
        <v>0</v>
      </c>
      <c r="R434" s="19">
        <f t="shared" si="293"/>
        <v>0</v>
      </c>
      <c r="S434" s="19">
        <f t="shared" si="294"/>
        <v>0</v>
      </c>
      <c r="T434" s="19">
        <f t="shared" si="295"/>
        <v>0</v>
      </c>
      <c r="U434" s="19">
        <f t="shared" si="296"/>
        <v>0</v>
      </c>
      <c r="V434" s="19">
        <f t="shared" si="297"/>
        <v>0</v>
      </c>
      <c r="W434" s="19">
        <f t="shared" si="298"/>
        <v>0</v>
      </c>
      <c r="X434" s="19">
        <f t="shared" si="299"/>
        <v>0</v>
      </c>
      <c r="Y434" s="19">
        <f t="shared" si="300"/>
        <v>0</v>
      </c>
    </row>
    <row r="435" spans="1:25" outlineLevel="2">
      <c r="A435" s="1" t="s">
        <v>30</v>
      </c>
      <c r="B435">
        <v>292</v>
      </c>
      <c r="C435" s="5">
        <v>100</v>
      </c>
      <c r="D435" s="5">
        <v>10.0516748593</v>
      </c>
      <c r="E435" s="2">
        <v>14.4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2428.8000000000002</v>
      </c>
      <c r="N435" s="2">
        <v>0</v>
      </c>
      <c r="P435" s="19">
        <f t="shared" si="301"/>
        <v>1.2188419633971753E-2</v>
      </c>
      <c r="Q435" s="19">
        <f t="shared" si="292"/>
        <v>0</v>
      </c>
      <c r="R435" s="19">
        <f t="shared" si="293"/>
        <v>0</v>
      </c>
      <c r="S435" s="19">
        <f t="shared" si="294"/>
        <v>0</v>
      </c>
      <c r="T435" s="19">
        <f t="shared" si="295"/>
        <v>0</v>
      </c>
      <c r="U435" s="19">
        <f t="shared" si="296"/>
        <v>0</v>
      </c>
      <c r="V435" s="19">
        <f t="shared" si="297"/>
        <v>0</v>
      </c>
      <c r="W435" s="19">
        <f t="shared" si="298"/>
        <v>0</v>
      </c>
      <c r="X435" s="19">
        <f t="shared" si="299"/>
        <v>0.37019705593984797</v>
      </c>
      <c r="Y435" s="19">
        <f t="shared" si="300"/>
        <v>0</v>
      </c>
    </row>
    <row r="436" spans="1:25" outlineLevel="2">
      <c r="A436" s="1" t="s">
        <v>30</v>
      </c>
      <c r="B436">
        <v>293</v>
      </c>
      <c r="C436" s="5">
        <v>68.710071404399997</v>
      </c>
      <c r="D436" s="5">
        <v>10.6645697462</v>
      </c>
      <c r="E436" s="2">
        <v>8.9323092825719996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139.28493414671541</v>
      </c>
      <c r="M436" s="2">
        <v>455.9600338395984</v>
      </c>
      <c r="N436" s="2">
        <v>0</v>
      </c>
      <c r="P436" s="19">
        <f t="shared" si="301"/>
        <v>7.5604676275283821E-3</v>
      </c>
      <c r="Q436" s="19">
        <f t="shared" si="292"/>
        <v>0</v>
      </c>
      <c r="R436" s="19">
        <f t="shared" si="293"/>
        <v>0</v>
      </c>
      <c r="S436" s="19">
        <f t="shared" si="294"/>
        <v>0</v>
      </c>
      <c r="T436" s="19">
        <f t="shared" si="295"/>
        <v>0</v>
      </c>
      <c r="U436" s="19">
        <f t="shared" si="296"/>
        <v>0</v>
      </c>
      <c r="V436" s="19">
        <f t="shared" si="297"/>
        <v>0</v>
      </c>
      <c r="W436" s="19">
        <f t="shared" si="298"/>
        <v>4.3033057463028587E-2</v>
      </c>
      <c r="X436" s="19">
        <f t="shared" si="299"/>
        <v>6.9497308198967711E-2</v>
      </c>
      <c r="Y436" s="19">
        <f t="shared" si="300"/>
        <v>0</v>
      </c>
    </row>
    <row r="437" spans="1:25" outlineLevel="2">
      <c r="A437" s="1" t="s">
        <v>30</v>
      </c>
      <c r="B437">
        <v>294</v>
      </c>
      <c r="C437" s="5">
        <v>51.075303227200003</v>
      </c>
      <c r="D437" s="5">
        <v>3.1961504780999999</v>
      </c>
      <c r="E437" s="2">
        <v>353.39002302899678</v>
      </c>
      <c r="F437" s="2">
        <v>9.3467804905776006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3647.4700998139956</v>
      </c>
      <c r="N437" s="2">
        <v>0</v>
      </c>
      <c r="P437" s="19">
        <f t="shared" si="301"/>
        <v>0.29911568716224679</v>
      </c>
      <c r="Q437" s="19">
        <f t="shared" si="292"/>
        <v>4.2699117404020763E-2</v>
      </c>
      <c r="R437" s="19">
        <f t="shared" si="293"/>
        <v>0</v>
      </c>
      <c r="S437" s="19">
        <f t="shared" si="294"/>
        <v>0</v>
      </c>
      <c r="T437" s="19">
        <f t="shared" si="295"/>
        <v>0</v>
      </c>
      <c r="U437" s="19">
        <f t="shared" si="296"/>
        <v>0</v>
      </c>
      <c r="V437" s="19">
        <f t="shared" si="297"/>
        <v>0</v>
      </c>
      <c r="W437" s="19">
        <f t="shared" si="298"/>
        <v>0</v>
      </c>
      <c r="X437" s="19">
        <f t="shared" si="299"/>
        <v>0.55594643139812439</v>
      </c>
      <c r="Y437" s="19">
        <f t="shared" si="300"/>
        <v>0</v>
      </c>
    </row>
    <row r="438" spans="1:25" outlineLevel="2">
      <c r="A438" s="1" t="s">
        <v>30</v>
      </c>
      <c r="B438">
        <v>295</v>
      </c>
      <c r="C438" s="5">
        <v>99.999858038400006</v>
      </c>
      <c r="D438" s="5">
        <v>10.6234234887</v>
      </c>
      <c r="E438" s="2">
        <v>20.499970897872</v>
      </c>
      <c r="F438" s="2">
        <v>6.5999906305343998</v>
      </c>
      <c r="G438" s="2">
        <v>4.9999929019200007</v>
      </c>
      <c r="H438" s="2">
        <v>0.99999858038400002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P438" s="19">
        <f t="shared" si="301"/>
        <v>1.7351544985241153E-2</v>
      </c>
      <c r="Q438" s="19">
        <f t="shared" si="292"/>
        <v>3.0150892607643788E-2</v>
      </c>
      <c r="R438" s="19">
        <f t="shared" si="293"/>
        <v>5.5104268679746875E-2</v>
      </c>
      <c r="S438" s="19">
        <f t="shared" si="294"/>
        <v>1.5722778104474065E-2</v>
      </c>
      <c r="T438" s="19">
        <f t="shared" si="295"/>
        <v>0</v>
      </c>
      <c r="U438" s="19">
        <f t="shared" si="296"/>
        <v>0</v>
      </c>
      <c r="V438" s="19">
        <f t="shared" si="297"/>
        <v>0</v>
      </c>
      <c r="W438" s="19">
        <f t="shared" si="298"/>
        <v>0</v>
      </c>
      <c r="X438" s="19">
        <f t="shared" si="299"/>
        <v>0</v>
      </c>
      <c r="Y438" s="19">
        <f t="shared" si="300"/>
        <v>0</v>
      </c>
    </row>
    <row r="439" spans="1:25" outlineLevel="2">
      <c r="A439" s="1" t="s">
        <v>30</v>
      </c>
      <c r="B439">
        <v>296</v>
      </c>
      <c r="C439" s="5">
        <v>100</v>
      </c>
      <c r="D439" s="5">
        <v>5.3359275861700004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P439" s="19">
        <f t="shared" si="301"/>
        <v>0</v>
      </c>
      <c r="Q439" s="19">
        <f t="shared" si="292"/>
        <v>0</v>
      </c>
      <c r="R439" s="19">
        <f t="shared" si="293"/>
        <v>0</v>
      </c>
      <c r="S439" s="19">
        <f t="shared" si="294"/>
        <v>0</v>
      </c>
      <c r="T439" s="19">
        <f t="shared" si="295"/>
        <v>0</v>
      </c>
      <c r="U439" s="19">
        <f t="shared" si="296"/>
        <v>0</v>
      </c>
      <c r="V439" s="19">
        <f t="shared" si="297"/>
        <v>0</v>
      </c>
      <c r="W439" s="19">
        <f t="shared" si="298"/>
        <v>0</v>
      </c>
      <c r="X439" s="19">
        <f t="shared" si="299"/>
        <v>0</v>
      </c>
      <c r="Y439" s="19">
        <f t="shared" si="300"/>
        <v>0</v>
      </c>
    </row>
    <row r="440" spans="1:25" outlineLevel="2">
      <c r="A440" s="1" t="s">
        <v>30</v>
      </c>
      <c r="B440">
        <v>297</v>
      </c>
      <c r="C440" s="5">
        <v>99.994559669099999</v>
      </c>
      <c r="D440" s="5">
        <v>10.4217762855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691.47597937194155</v>
      </c>
      <c r="M440" s="2">
        <v>0</v>
      </c>
      <c r="N440" s="2">
        <v>0</v>
      </c>
      <c r="P440" s="19">
        <f t="shared" si="301"/>
        <v>0</v>
      </c>
      <c r="Q440" s="19">
        <f t="shared" si="292"/>
        <v>0</v>
      </c>
      <c r="R440" s="19">
        <f t="shared" si="293"/>
        <v>0</v>
      </c>
      <c r="S440" s="19">
        <f t="shared" si="294"/>
        <v>0</v>
      </c>
      <c r="T440" s="19">
        <f t="shared" si="295"/>
        <v>0</v>
      </c>
      <c r="U440" s="19">
        <f t="shared" si="296"/>
        <v>0</v>
      </c>
      <c r="V440" s="19">
        <f t="shared" si="297"/>
        <v>0</v>
      </c>
      <c r="W440" s="19">
        <f t="shared" si="298"/>
        <v>0.21363635440479864</v>
      </c>
      <c r="X440" s="19">
        <f t="shared" si="299"/>
        <v>0</v>
      </c>
      <c r="Y440" s="19">
        <f t="shared" si="300"/>
        <v>0</v>
      </c>
    </row>
    <row r="441" spans="1:25" outlineLevel="2">
      <c r="A441" s="1" t="s">
        <v>30</v>
      </c>
      <c r="B441">
        <v>298</v>
      </c>
      <c r="C441" s="5">
        <v>100</v>
      </c>
      <c r="D441" s="5">
        <v>10.987719438899999</v>
      </c>
      <c r="E441" s="2">
        <v>228.2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1581.8320000000001</v>
      </c>
      <c r="M441" s="2">
        <v>28.6</v>
      </c>
      <c r="N441" s="2">
        <v>0</v>
      </c>
      <c r="P441" s="19">
        <f t="shared" si="301"/>
        <v>0.19315259447724678</v>
      </c>
      <c r="Q441" s="19">
        <f t="shared" si="292"/>
        <v>0</v>
      </c>
      <c r="R441" s="19">
        <f t="shared" si="293"/>
        <v>0</v>
      </c>
      <c r="S441" s="19">
        <f t="shared" si="294"/>
        <v>0</v>
      </c>
      <c r="T441" s="19">
        <f t="shared" si="295"/>
        <v>0</v>
      </c>
      <c r="U441" s="19">
        <f t="shared" si="296"/>
        <v>0</v>
      </c>
      <c r="V441" s="19">
        <f t="shared" si="297"/>
        <v>0</v>
      </c>
      <c r="W441" s="19">
        <f t="shared" si="298"/>
        <v>0.48871809266287886</v>
      </c>
      <c r="X441" s="19">
        <f t="shared" si="299"/>
        <v>4.3592044630598042E-3</v>
      </c>
      <c r="Y441" s="19">
        <f t="shared" si="300"/>
        <v>0</v>
      </c>
    </row>
    <row r="442" spans="1:25" outlineLevel="2">
      <c r="A442" s="1" t="s">
        <v>30</v>
      </c>
      <c r="B442">
        <v>299</v>
      </c>
      <c r="C442" s="5">
        <v>100</v>
      </c>
      <c r="D442" s="5">
        <v>3.7039615120299998</v>
      </c>
      <c r="E442" s="2">
        <v>65.599999999999994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824.10329999999999</v>
      </c>
      <c r="M442" s="2">
        <v>0</v>
      </c>
      <c r="N442" s="2">
        <v>0</v>
      </c>
      <c r="P442" s="19">
        <f t="shared" si="301"/>
        <v>5.5525022776982423E-2</v>
      </c>
      <c r="Q442" s="19">
        <f t="shared" si="292"/>
        <v>0</v>
      </c>
      <c r="R442" s="19">
        <f t="shared" si="293"/>
        <v>0</v>
      </c>
      <c r="S442" s="19">
        <f t="shared" si="294"/>
        <v>0</v>
      </c>
      <c r="T442" s="19">
        <f t="shared" si="295"/>
        <v>0</v>
      </c>
      <c r="U442" s="19">
        <f t="shared" si="296"/>
        <v>0</v>
      </c>
      <c r="V442" s="19">
        <f t="shared" si="297"/>
        <v>0</v>
      </c>
      <c r="W442" s="19">
        <f t="shared" si="298"/>
        <v>0.25461249546929399</v>
      </c>
      <c r="X442" s="19">
        <f t="shared" si="299"/>
        <v>0</v>
      </c>
      <c r="Y442" s="19">
        <f t="shared" si="300"/>
        <v>0</v>
      </c>
    </row>
    <row r="443" spans="1:25" outlineLevel="1">
      <c r="A443" s="18" t="s">
        <v>84</v>
      </c>
      <c r="E443" s="2">
        <f t="shared" ref="E443:N443" si="302">SUBTOTAL(9,E431:E442)</f>
        <v>1181.4493127447054</v>
      </c>
      <c r="F443" s="2">
        <f t="shared" si="302"/>
        <v>218.89868125699152</v>
      </c>
      <c r="G443" s="2">
        <f t="shared" si="302"/>
        <v>90.736943284354069</v>
      </c>
      <c r="H443" s="2">
        <f t="shared" si="302"/>
        <v>63.601901250482001</v>
      </c>
      <c r="I443" s="2">
        <f t="shared" si="302"/>
        <v>28.133144211983794</v>
      </c>
      <c r="J443" s="2">
        <f t="shared" si="302"/>
        <v>0</v>
      </c>
      <c r="K443" s="2">
        <f t="shared" si="302"/>
        <v>0</v>
      </c>
      <c r="L443" s="2">
        <f t="shared" si="302"/>
        <v>3236.6962135186568</v>
      </c>
      <c r="M443" s="2">
        <f t="shared" si="302"/>
        <v>6560.8301336535951</v>
      </c>
      <c r="N443" s="2">
        <f t="shared" si="302"/>
        <v>0</v>
      </c>
    </row>
    <row r="444" spans="1:25" outlineLevel="2">
      <c r="A444" s="1" t="s">
        <v>31</v>
      </c>
      <c r="B444">
        <v>244</v>
      </c>
      <c r="C444" s="5">
        <v>36.504308000899997</v>
      </c>
      <c r="D444" s="5">
        <v>3.7392976999899998</v>
      </c>
      <c r="E444" s="2">
        <v>0</v>
      </c>
      <c r="F444" s="2">
        <v>10.221206240252</v>
      </c>
      <c r="G444" s="2">
        <v>3.0298575640746996</v>
      </c>
      <c r="H444" s="2">
        <v>3.7234394160917992</v>
      </c>
      <c r="I444" s="2">
        <v>1.3871637040341998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P444" s="19">
        <f>IF(E$456&gt;0, E444/E$456, 0)</f>
        <v>0</v>
      </c>
      <c r="Q444" s="19">
        <f t="shared" ref="Q444:Q455" si="303">IF(F$456&gt;0, F444/F$456, 0)</f>
        <v>5.3829286919800004E-2</v>
      </c>
      <c r="R444" s="19">
        <f t="shared" ref="R444:R455" si="304">IF(G$456&gt;0, G444/G$456, 0)</f>
        <v>2.8554683434815889E-2</v>
      </c>
      <c r="S444" s="19">
        <f t="shared" ref="S444:S455" si="305">IF(H$456&gt;0, H444/H$456, 0)</f>
        <v>3.3875572737975312E-2</v>
      </c>
      <c r="T444" s="19">
        <f t="shared" ref="T444:T455" si="306">IF(I$456&gt;0, I444/I$456, 0)</f>
        <v>3.4423605417354626E-2</v>
      </c>
      <c r="U444" s="19">
        <f t="shared" ref="U444:U455" si="307">IF(J$456&gt;0, J444/J$456, 0)</f>
        <v>0</v>
      </c>
      <c r="V444" s="19">
        <f t="shared" ref="V444:V455" si="308">IF(K$456&gt;0, K444/K$456, 0)</f>
        <v>0</v>
      </c>
      <c r="W444" s="19">
        <f t="shared" ref="W444:W455" si="309">IF(L$456&gt;0, L444/L$456, 0)</f>
        <v>0</v>
      </c>
      <c r="X444" s="19">
        <f t="shared" ref="X444:X455" si="310">IF(M$456&gt;0, M444/M$456, 0)</f>
        <v>0</v>
      </c>
      <c r="Y444" s="19">
        <f t="shared" ref="Y444:Y455" si="311">IF(N$456&gt;0, N444/N$456, 0)</f>
        <v>0</v>
      </c>
    </row>
    <row r="445" spans="1:25" outlineLevel="2">
      <c r="A445" s="1" t="s">
        <v>31</v>
      </c>
      <c r="B445">
        <v>245</v>
      </c>
      <c r="C445" s="5">
        <v>99.999465055200005</v>
      </c>
      <c r="D445" s="5">
        <v>7.4040705028399998</v>
      </c>
      <c r="E445" s="2">
        <v>47.899743761440803</v>
      </c>
      <c r="F445" s="2">
        <v>33.799819188657601</v>
      </c>
      <c r="G445" s="2">
        <v>22.599879102475203</v>
      </c>
      <c r="H445" s="2">
        <v>14.699921363114399</v>
      </c>
      <c r="I445" s="2">
        <v>0.39999786022080003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P445" s="19">
        <f t="shared" ref="P445:P455" si="312">IF(E$456&gt;0, E445/E$456, 0)</f>
        <v>7.179277550904041E-2</v>
      </c>
      <c r="Q445" s="19">
        <f t="shared" si="303"/>
        <v>0.17800444704643342</v>
      </c>
      <c r="R445" s="19">
        <f t="shared" si="304"/>
        <v>0.21299100033217935</v>
      </c>
      <c r="S445" s="19">
        <f t="shared" si="305"/>
        <v>0.13373878281102181</v>
      </c>
      <c r="T445" s="19">
        <f t="shared" si="306"/>
        <v>9.9262750805708174E-3</v>
      </c>
      <c r="U445" s="19">
        <f t="shared" si="307"/>
        <v>0</v>
      </c>
      <c r="V445" s="19">
        <f t="shared" si="308"/>
        <v>0</v>
      </c>
      <c r="W445" s="19">
        <f t="shared" si="309"/>
        <v>0</v>
      </c>
      <c r="X445" s="19">
        <f t="shared" si="310"/>
        <v>0</v>
      </c>
      <c r="Y445" s="19">
        <f t="shared" si="311"/>
        <v>0</v>
      </c>
    </row>
    <row r="446" spans="1:25" outlineLevel="2">
      <c r="A446" s="1" t="s">
        <v>31</v>
      </c>
      <c r="B446">
        <v>293</v>
      </c>
      <c r="C446" s="5">
        <v>31.289928595799999</v>
      </c>
      <c r="D446" s="5">
        <v>9.1437962226499998</v>
      </c>
      <c r="E446" s="2">
        <v>4.067690717454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63.429065853690005</v>
      </c>
      <c r="M446" s="2">
        <v>207.63996616172881</v>
      </c>
      <c r="N446" s="2">
        <v>0</v>
      </c>
      <c r="P446" s="19">
        <f t="shared" si="312"/>
        <v>6.0967091592975652E-3</v>
      </c>
      <c r="Q446" s="19">
        <f t="shared" si="303"/>
        <v>0</v>
      </c>
      <c r="R446" s="19">
        <f t="shared" si="304"/>
        <v>0</v>
      </c>
      <c r="S446" s="19">
        <f t="shared" si="305"/>
        <v>0</v>
      </c>
      <c r="T446" s="19">
        <f t="shared" si="306"/>
        <v>0</v>
      </c>
      <c r="U446" s="19">
        <f t="shared" si="307"/>
        <v>0</v>
      </c>
      <c r="V446" s="19">
        <f t="shared" si="308"/>
        <v>0</v>
      </c>
      <c r="W446" s="19">
        <f t="shared" si="309"/>
        <v>1</v>
      </c>
      <c r="X446" s="19">
        <f t="shared" si="310"/>
        <v>2.8785680390287557E-2</v>
      </c>
      <c r="Y446" s="19">
        <f t="shared" si="311"/>
        <v>0</v>
      </c>
    </row>
    <row r="447" spans="1:25" outlineLevel="2">
      <c r="A447" s="1" t="s">
        <v>31</v>
      </c>
      <c r="B447">
        <v>294</v>
      </c>
      <c r="C447" s="5">
        <v>48.924696772799997</v>
      </c>
      <c r="D447" s="5">
        <v>5.7642583180500004</v>
      </c>
      <c r="E447" s="2">
        <v>338.5099769710032</v>
      </c>
      <c r="F447" s="2">
        <v>8.9532195094224001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3493.887600186004</v>
      </c>
      <c r="N447" s="2">
        <v>0</v>
      </c>
      <c r="P447" s="19">
        <f t="shared" si="312"/>
        <v>0.50736327328358677</v>
      </c>
      <c r="Q447" s="19">
        <f t="shared" si="303"/>
        <v>4.7151521112127295E-2</v>
      </c>
      <c r="R447" s="19">
        <f t="shared" si="304"/>
        <v>0</v>
      </c>
      <c r="S447" s="19">
        <f t="shared" si="305"/>
        <v>0</v>
      </c>
      <c r="T447" s="19">
        <f t="shared" si="306"/>
        <v>0</v>
      </c>
      <c r="U447" s="19">
        <f t="shared" si="307"/>
        <v>0</v>
      </c>
      <c r="V447" s="19">
        <f t="shared" si="308"/>
        <v>0</v>
      </c>
      <c r="W447" s="19">
        <f t="shared" si="309"/>
        <v>0</v>
      </c>
      <c r="X447" s="19">
        <f t="shared" si="310"/>
        <v>0.48436692433385886</v>
      </c>
      <c r="Y447" s="19">
        <f t="shared" si="311"/>
        <v>0</v>
      </c>
    </row>
    <row r="448" spans="1:25" outlineLevel="2">
      <c r="A448" s="1" t="s">
        <v>31</v>
      </c>
      <c r="B448">
        <v>300</v>
      </c>
      <c r="C448" s="5">
        <v>91.908622529100001</v>
      </c>
      <c r="D448" s="5">
        <v>11.8054100653</v>
      </c>
      <c r="E448" s="2">
        <v>161.29963253857051</v>
      </c>
      <c r="F448" s="2">
        <v>95.768783756235976</v>
      </c>
      <c r="G448" s="2">
        <v>65.990390975893803</v>
      </c>
      <c r="H448" s="2">
        <v>77.570877414560414</v>
      </c>
      <c r="I448" s="2">
        <v>38.509712839692895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P448" s="19">
        <f t="shared" si="312"/>
        <v>0.24175804292828595</v>
      </c>
      <c r="Q448" s="19">
        <f t="shared" si="303"/>
        <v>0.50435978079311405</v>
      </c>
      <c r="R448" s="19">
        <f t="shared" si="304"/>
        <v>0.62192188385325742</v>
      </c>
      <c r="S448" s="19">
        <f t="shared" si="305"/>
        <v>0.70573402882533209</v>
      </c>
      <c r="T448" s="19">
        <f t="shared" si="306"/>
        <v>0.95565011950207457</v>
      </c>
      <c r="U448" s="19">
        <f t="shared" si="307"/>
        <v>0</v>
      </c>
      <c r="V448" s="19">
        <f t="shared" si="308"/>
        <v>0</v>
      </c>
      <c r="W448" s="19">
        <f t="shared" si="309"/>
        <v>0</v>
      </c>
      <c r="X448" s="19">
        <f t="shared" si="310"/>
        <v>0</v>
      </c>
      <c r="Y448" s="19">
        <f t="shared" si="311"/>
        <v>0</v>
      </c>
    </row>
    <row r="449" spans="1:25" outlineLevel="2">
      <c r="A449" s="1" t="s">
        <v>31</v>
      </c>
      <c r="B449">
        <v>301</v>
      </c>
      <c r="C449" s="5">
        <v>67.914079230499993</v>
      </c>
      <c r="D449" s="5">
        <v>3.1887130904599998</v>
      </c>
      <c r="E449" s="2">
        <v>52.022184690562987</v>
      </c>
      <c r="F449" s="2">
        <v>18.5405436299265</v>
      </c>
      <c r="G449" s="2">
        <v>6.5876656853584983</v>
      </c>
      <c r="H449" s="2">
        <v>8.4213458245819997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P449" s="19">
        <f t="shared" si="312"/>
        <v>7.7971545016613381E-2</v>
      </c>
      <c r="Q449" s="19">
        <f t="shared" si="303"/>
        <v>9.7642510995823328E-2</v>
      </c>
      <c r="R449" s="19">
        <f t="shared" si="304"/>
        <v>6.2085000446962808E-2</v>
      </c>
      <c r="S449" s="19">
        <f t="shared" si="305"/>
        <v>7.6616773137054534E-2</v>
      </c>
      <c r="T449" s="19">
        <f t="shared" si="306"/>
        <v>0</v>
      </c>
      <c r="U449" s="19">
        <f t="shared" si="307"/>
        <v>0</v>
      </c>
      <c r="V449" s="19">
        <f t="shared" si="308"/>
        <v>0</v>
      </c>
      <c r="W449" s="19">
        <f t="shared" si="309"/>
        <v>0</v>
      </c>
      <c r="X449" s="19">
        <f t="shared" si="310"/>
        <v>0</v>
      </c>
      <c r="Y449" s="19">
        <f t="shared" si="311"/>
        <v>0</v>
      </c>
    </row>
    <row r="450" spans="1:25" outlineLevel="2">
      <c r="A450" s="1" t="s">
        <v>31</v>
      </c>
      <c r="B450">
        <v>302</v>
      </c>
      <c r="C450" s="5">
        <v>99.992515197299994</v>
      </c>
      <c r="D450" s="5">
        <v>3.88506949825</v>
      </c>
      <c r="E450" s="2">
        <v>63.395254635088193</v>
      </c>
      <c r="F450" s="2">
        <v>22.5983084345898</v>
      </c>
      <c r="G450" s="2">
        <v>7.8994087005867009</v>
      </c>
      <c r="H450" s="2">
        <v>5.4995883358514996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P450" s="19">
        <f t="shared" si="312"/>
        <v>9.5017654103175905E-2</v>
      </c>
      <c r="Q450" s="19">
        <f t="shared" si="303"/>
        <v>0.11901245313270185</v>
      </c>
      <c r="R450" s="19">
        <f t="shared" si="304"/>
        <v>7.4447431932784539E-2</v>
      </c>
      <c r="S450" s="19">
        <f t="shared" si="305"/>
        <v>5.0034842488616151E-2</v>
      </c>
      <c r="T450" s="19">
        <f t="shared" si="306"/>
        <v>0</v>
      </c>
      <c r="U450" s="19">
        <f t="shared" si="307"/>
        <v>0</v>
      </c>
      <c r="V450" s="19">
        <f t="shared" si="308"/>
        <v>0</v>
      </c>
      <c r="W450" s="19">
        <f t="shared" si="309"/>
        <v>0</v>
      </c>
      <c r="X450" s="19">
        <f t="shared" si="310"/>
        <v>0</v>
      </c>
      <c r="Y450" s="19">
        <f t="shared" si="311"/>
        <v>0</v>
      </c>
    </row>
    <row r="451" spans="1:25" outlineLevel="2">
      <c r="A451" s="1" t="s">
        <v>31</v>
      </c>
      <c r="B451">
        <v>303</v>
      </c>
      <c r="C451" s="5">
        <v>98.507776137500002</v>
      </c>
      <c r="D451" s="5">
        <v>2.69919352894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P451" s="19">
        <f t="shared" si="312"/>
        <v>0</v>
      </c>
      <c r="Q451" s="19">
        <f t="shared" si="303"/>
        <v>0</v>
      </c>
      <c r="R451" s="19">
        <f t="shared" si="304"/>
        <v>0</v>
      </c>
      <c r="S451" s="19">
        <f t="shared" si="305"/>
        <v>0</v>
      </c>
      <c r="T451" s="19">
        <f t="shared" si="306"/>
        <v>0</v>
      </c>
      <c r="U451" s="19">
        <f t="shared" si="307"/>
        <v>0</v>
      </c>
      <c r="V451" s="19">
        <f t="shared" si="308"/>
        <v>0</v>
      </c>
      <c r="W451" s="19">
        <f t="shared" si="309"/>
        <v>0</v>
      </c>
      <c r="X451" s="19">
        <f t="shared" si="310"/>
        <v>0</v>
      </c>
      <c r="Y451" s="19">
        <f t="shared" si="311"/>
        <v>0</v>
      </c>
    </row>
    <row r="452" spans="1:25" outlineLevel="2">
      <c r="A452" s="1" t="s">
        <v>31</v>
      </c>
      <c r="B452">
        <v>304</v>
      </c>
      <c r="C452" s="5">
        <v>99.999855548200003</v>
      </c>
      <c r="D452" s="5">
        <v>26.9787841401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P452" s="19">
        <f t="shared" si="312"/>
        <v>0</v>
      </c>
      <c r="Q452" s="19">
        <f t="shared" si="303"/>
        <v>0</v>
      </c>
      <c r="R452" s="19">
        <f t="shared" si="304"/>
        <v>0</v>
      </c>
      <c r="S452" s="19">
        <f t="shared" si="305"/>
        <v>0</v>
      </c>
      <c r="T452" s="19">
        <f t="shared" si="306"/>
        <v>0</v>
      </c>
      <c r="U452" s="19">
        <f t="shared" si="307"/>
        <v>0</v>
      </c>
      <c r="V452" s="19">
        <f t="shared" si="308"/>
        <v>0</v>
      </c>
      <c r="W452" s="19">
        <f t="shared" si="309"/>
        <v>0</v>
      </c>
      <c r="X452" s="19">
        <f t="shared" si="310"/>
        <v>0</v>
      </c>
      <c r="Y452" s="19">
        <f t="shared" si="311"/>
        <v>0</v>
      </c>
    </row>
    <row r="453" spans="1:25" outlineLevel="2">
      <c r="A453" s="1" t="s">
        <v>31</v>
      </c>
      <c r="B453">
        <v>305</v>
      </c>
      <c r="C453" s="5">
        <v>99.9934713233</v>
      </c>
      <c r="D453" s="5">
        <v>7.47540351523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P453" s="19">
        <f t="shared" si="312"/>
        <v>0</v>
      </c>
      <c r="Q453" s="19">
        <f t="shared" si="303"/>
        <v>0</v>
      </c>
      <c r="R453" s="19">
        <f t="shared" si="304"/>
        <v>0</v>
      </c>
      <c r="S453" s="19">
        <f t="shared" si="305"/>
        <v>0</v>
      </c>
      <c r="T453" s="19">
        <f t="shared" si="306"/>
        <v>0</v>
      </c>
      <c r="U453" s="19">
        <f t="shared" si="307"/>
        <v>0</v>
      </c>
      <c r="V453" s="19">
        <f t="shared" si="308"/>
        <v>0</v>
      </c>
      <c r="W453" s="19">
        <f t="shared" si="309"/>
        <v>0</v>
      </c>
      <c r="X453" s="19">
        <f t="shared" si="310"/>
        <v>0</v>
      </c>
      <c r="Y453" s="19">
        <f t="shared" si="311"/>
        <v>0</v>
      </c>
    </row>
    <row r="454" spans="1:25" outlineLevel="2">
      <c r="A454" s="1" t="s">
        <v>31</v>
      </c>
      <c r="B454">
        <v>306</v>
      </c>
      <c r="C454" s="5">
        <v>100</v>
      </c>
      <c r="D454" s="5">
        <v>4.8487210637000002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P454" s="19">
        <f t="shared" si="312"/>
        <v>0</v>
      </c>
      <c r="Q454" s="19">
        <f t="shared" si="303"/>
        <v>0</v>
      </c>
      <c r="R454" s="19">
        <f t="shared" si="304"/>
        <v>0</v>
      </c>
      <c r="S454" s="19">
        <f t="shared" si="305"/>
        <v>0</v>
      </c>
      <c r="T454" s="19">
        <f t="shared" si="306"/>
        <v>0</v>
      </c>
      <c r="U454" s="19">
        <f t="shared" si="307"/>
        <v>0</v>
      </c>
      <c r="V454" s="19">
        <f t="shared" si="308"/>
        <v>0</v>
      </c>
      <c r="W454" s="19">
        <f t="shared" si="309"/>
        <v>0</v>
      </c>
      <c r="X454" s="19">
        <f t="shared" si="310"/>
        <v>0</v>
      </c>
      <c r="Y454" s="19">
        <f t="shared" si="311"/>
        <v>0</v>
      </c>
    </row>
    <row r="455" spans="1:25" outlineLevel="2">
      <c r="A455" s="1" t="s">
        <v>31</v>
      </c>
      <c r="B455">
        <v>307</v>
      </c>
      <c r="C455" s="5">
        <v>100</v>
      </c>
      <c r="D455" s="5">
        <v>4.87939588324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3511.78</v>
      </c>
      <c r="N455" s="2">
        <v>0</v>
      </c>
      <c r="P455" s="19">
        <f t="shared" si="312"/>
        <v>0</v>
      </c>
      <c r="Q455" s="19">
        <f t="shared" si="303"/>
        <v>0</v>
      </c>
      <c r="R455" s="19">
        <f t="shared" si="304"/>
        <v>0</v>
      </c>
      <c r="S455" s="19">
        <f t="shared" si="305"/>
        <v>0</v>
      </c>
      <c r="T455" s="19">
        <f t="shared" si="306"/>
        <v>0</v>
      </c>
      <c r="U455" s="19">
        <f t="shared" si="307"/>
        <v>0</v>
      </c>
      <c r="V455" s="19">
        <f t="shared" si="308"/>
        <v>0</v>
      </c>
      <c r="W455" s="19">
        <f t="shared" si="309"/>
        <v>0</v>
      </c>
      <c r="X455" s="19">
        <f t="shared" si="310"/>
        <v>0.48684739527585358</v>
      </c>
      <c r="Y455" s="19">
        <f t="shared" si="311"/>
        <v>0</v>
      </c>
    </row>
    <row r="456" spans="1:25" outlineLevel="1">
      <c r="A456" s="18" t="s">
        <v>85</v>
      </c>
      <c r="E456" s="2">
        <f t="shared" ref="E456:N456" si="313">SUBTOTAL(9,E444:E455)</f>
        <v>667.19448331411968</v>
      </c>
      <c r="F456" s="2">
        <f t="shared" si="313"/>
        <v>189.88188075908428</v>
      </c>
      <c r="G456" s="2">
        <f t="shared" si="313"/>
        <v>106.10720202838891</v>
      </c>
      <c r="H456" s="2">
        <f t="shared" si="313"/>
        <v>109.91517235420012</v>
      </c>
      <c r="I456" s="2">
        <f t="shared" si="313"/>
        <v>40.296874403947896</v>
      </c>
      <c r="J456" s="2">
        <f t="shared" si="313"/>
        <v>0</v>
      </c>
      <c r="K456" s="2">
        <f t="shared" si="313"/>
        <v>0</v>
      </c>
      <c r="L456" s="2">
        <f t="shared" si="313"/>
        <v>63.429065853690005</v>
      </c>
      <c r="M456" s="2">
        <f t="shared" si="313"/>
        <v>7213.307566347733</v>
      </c>
      <c r="N456" s="2">
        <f t="shared" si="313"/>
        <v>0</v>
      </c>
    </row>
    <row r="457" spans="1:25" outlineLevel="2">
      <c r="A457" s="1" t="s">
        <v>32</v>
      </c>
      <c r="B457">
        <v>177</v>
      </c>
      <c r="C457" s="5">
        <v>15.2435336744</v>
      </c>
      <c r="D457" s="5">
        <v>0.95651378755600003</v>
      </c>
      <c r="E457" s="2">
        <v>0</v>
      </c>
      <c r="F457" s="2">
        <v>0.12194826939520001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P457" s="19">
        <f>IF(E$467&gt;0, E457/E$467, 0)</f>
        <v>0</v>
      </c>
      <c r="Q457" s="19">
        <f t="shared" ref="Q457:Q467" si="314">IF(F$467&gt;0, F457/F$467, 0)</f>
        <v>4.8512532427274753E-4</v>
      </c>
      <c r="R457" s="19">
        <f t="shared" ref="R457:R467" si="315">IF(G$467&gt;0, G457/G$467, 0)</f>
        <v>0</v>
      </c>
      <c r="S457" s="19">
        <f t="shared" ref="S457:S467" si="316">IF(H$467&gt;0, H457/H$467, 0)</f>
        <v>0</v>
      </c>
      <c r="T457" s="19">
        <f t="shared" ref="T457:T467" si="317">IF(I$467&gt;0, I457/I$467, 0)</f>
        <v>0</v>
      </c>
      <c r="U457" s="19">
        <f t="shared" ref="U457:U467" si="318">IF(J$467&gt;0, J457/J$467, 0)</f>
        <v>0</v>
      </c>
      <c r="V457" s="19">
        <f t="shared" ref="V457:V467" si="319">IF(K$467&gt;0, K457/K$467, 0)</f>
        <v>0</v>
      </c>
      <c r="W457" s="19">
        <f t="shared" ref="W457:W467" si="320">IF(L$467&gt;0, L457/L$467, 0)</f>
        <v>0</v>
      </c>
      <c r="X457" s="19">
        <f t="shared" ref="X457:X467" si="321">IF(M$467&gt;0, M457/M$467, 0)</f>
        <v>0</v>
      </c>
      <c r="Y457" s="19">
        <f t="shared" ref="Y457:Y467" si="322">IF(N$467&gt;0, N457/N$467, 0)</f>
        <v>0</v>
      </c>
    </row>
    <row r="458" spans="1:25" outlineLevel="2">
      <c r="A458" s="1" t="s">
        <v>32</v>
      </c>
      <c r="B458">
        <v>183</v>
      </c>
      <c r="C458" s="5">
        <v>11.3370350594</v>
      </c>
      <c r="D458" s="5">
        <v>0.895298430315</v>
      </c>
      <c r="E458" s="2">
        <v>0</v>
      </c>
      <c r="F458" s="2">
        <v>0.45348140237599999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P458" s="19">
        <f t="shared" ref="P458:P467" si="323">IF(E$467&gt;0, E458/E$467, 0)</f>
        <v>0</v>
      </c>
      <c r="Q458" s="19">
        <f t="shared" si="314"/>
        <v>1.8040052021269315E-3</v>
      </c>
      <c r="R458" s="19">
        <f t="shared" si="315"/>
        <v>0</v>
      </c>
      <c r="S458" s="19">
        <f t="shared" si="316"/>
        <v>0</v>
      </c>
      <c r="T458" s="19">
        <f t="shared" si="317"/>
        <v>0</v>
      </c>
      <c r="U458" s="19">
        <f t="shared" si="318"/>
        <v>0</v>
      </c>
      <c r="V458" s="19">
        <f t="shared" si="319"/>
        <v>0</v>
      </c>
      <c r="W458" s="19">
        <f t="shared" si="320"/>
        <v>0</v>
      </c>
      <c r="X458" s="19">
        <f t="shared" si="321"/>
        <v>0</v>
      </c>
      <c r="Y458" s="19">
        <f t="shared" si="322"/>
        <v>0</v>
      </c>
    </row>
    <row r="459" spans="1:25" outlineLevel="2">
      <c r="A459" s="1" t="s">
        <v>32</v>
      </c>
      <c r="B459">
        <v>191</v>
      </c>
      <c r="C459" s="5">
        <v>99.999720756299993</v>
      </c>
      <c r="D459" s="5">
        <v>17.438906051</v>
      </c>
      <c r="E459" s="2">
        <v>1126.2143751085271</v>
      </c>
      <c r="F459" s="2">
        <v>250.7993456566719</v>
      </c>
      <c r="G459" s="2">
        <v>41.399884393108195</v>
      </c>
      <c r="H459" s="2">
        <v>0.19999944151259999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P459" s="19">
        <f t="shared" si="323"/>
        <v>0.42411231356492934</v>
      </c>
      <c r="Q459" s="19">
        <f t="shared" si="314"/>
        <v>0.99771086947360033</v>
      </c>
      <c r="R459" s="19">
        <f t="shared" si="315"/>
        <v>1</v>
      </c>
      <c r="S459" s="19">
        <f t="shared" si="316"/>
        <v>1</v>
      </c>
      <c r="T459" s="19">
        <f t="shared" si="317"/>
        <v>0</v>
      </c>
      <c r="U459" s="19">
        <f t="shared" si="318"/>
        <v>0</v>
      </c>
      <c r="V459" s="19">
        <f t="shared" si="319"/>
        <v>0</v>
      </c>
      <c r="W459" s="19">
        <f t="shared" si="320"/>
        <v>0</v>
      </c>
      <c r="X459" s="19">
        <f t="shared" si="321"/>
        <v>0</v>
      </c>
      <c r="Y459" s="19">
        <f t="shared" si="322"/>
        <v>0</v>
      </c>
    </row>
    <row r="460" spans="1:25" outlineLevel="2">
      <c r="A460" s="1" t="s">
        <v>32</v>
      </c>
      <c r="B460">
        <v>192</v>
      </c>
      <c r="C460" s="5">
        <v>99.999757826999996</v>
      </c>
      <c r="D460" s="5">
        <v>15.1566792682</v>
      </c>
      <c r="E460" s="2">
        <v>1177.874047500175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P460" s="19">
        <f t="shared" si="323"/>
        <v>0.44356642786170059</v>
      </c>
      <c r="Q460" s="19">
        <f t="shared" si="314"/>
        <v>0</v>
      </c>
      <c r="R460" s="19">
        <f t="shared" si="315"/>
        <v>0</v>
      </c>
      <c r="S460" s="19">
        <f t="shared" si="316"/>
        <v>0</v>
      </c>
      <c r="T460" s="19">
        <f t="shared" si="317"/>
        <v>0</v>
      </c>
      <c r="U460" s="19">
        <f t="shared" si="318"/>
        <v>0</v>
      </c>
      <c r="V460" s="19">
        <f t="shared" si="319"/>
        <v>0</v>
      </c>
      <c r="W460" s="19">
        <f t="shared" si="320"/>
        <v>0</v>
      </c>
      <c r="X460" s="19">
        <f t="shared" si="321"/>
        <v>0</v>
      </c>
      <c r="Y460" s="19">
        <f t="shared" si="322"/>
        <v>0</v>
      </c>
    </row>
    <row r="461" spans="1:25" outlineLevel="2">
      <c r="A461" s="1" t="s">
        <v>32</v>
      </c>
      <c r="B461">
        <v>193</v>
      </c>
      <c r="C461" s="5">
        <v>99.999269698800006</v>
      </c>
      <c r="D461" s="5">
        <v>12.0409325814</v>
      </c>
      <c r="E461" s="2">
        <v>313.24551234755762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P461" s="19">
        <f t="shared" si="323"/>
        <v>0.11796269155484022</v>
      </c>
      <c r="Q461" s="19">
        <f t="shared" si="314"/>
        <v>0</v>
      </c>
      <c r="R461" s="19">
        <f t="shared" si="315"/>
        <v>0</v>
      </c>
      <c r="S461" s="19">
        <f t="shared" si="316"/>
        <v>0</v>
      </c>
      <c r="T461" s="19">
        <f t="shared" si="317"/>
        <v>0</v>
      </c>
      <c r="U461" s="19">
        <f t="shared" si="318"/>
        <v>0</v>
      </c>
      <c r="V461" s="19">
        <f t="shared" si="319"/>
        <v>0</v>
      </c>
      <c r="W461" s="19">
        <f t="shared" si="320"/>
        <v>0</v>
      </c>
      <c r="X461" s="19">
        <f t="shared" si="321"/>
        <v>0</v>
      </c>
      <c r="Y461" s="19">
        <f t="shared" si="322"/>
        <v>0</v>
      </c>
    </row>
    <row r="462" spans="1:25" outlineLevel="2">
      <c r="A462" s="1" t="s">
        <v>32</v>
      </c>
      <c r="B462">
        <v>194</v>
      </c>
      <c r="C462" s="5">
        <v>54.895457696900003</v>
      </c>
      <c r="D462" s="5">
        <v>5.8569428565699999</v>
      </c>
      <c r="E462" s="2">
        <v>16.468637309070001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P462" s="19">
        <f t="shared" si="323"/>
        <v>6.201796056579661E-3</v>
      </c>
      <c r="Q462" s="19">
        <f t="shared" si="314"/>
        <v>0</v>
      </c>
      <c r="R462" s="19">
        <f t="shared" si="315"/>
        <v>0</v>
      </c>
      <c r="S462" s="19">
        <f t="shared" si="316"/>
        <v>0</v>
      </c>
      <c r="T462" s="19">
        <f t="shared" si="317"/>
        <v>0</v>
      </c>
      <c r="U462" s="19">
        <f t="shared" si="318"/>
        <v>0</v>
      </c>
      <c r="V462" s="19">
        <f t="shared" si="319"/>
        <v>0</v>
      </c>
      <c r="W462" s="19">
        <f t="shared" si="320"/>
        <v>0</v>
      </c>
      <c r="X462" s="19">
        <f t="shared" si="321"/>
        <v>0</v>
      </c>
      <c r="Y462" s="19">
        <f t="shared" si="322"/>
        <v>0</v>
      </c>
    </row>
    <row r="463" spans="1:25" outlineLevel="2">
      <c r="A463" s="1" t="s">
        <v>32</v>
      </c>
      <c r="B463">
        <v>195</v>
      </c>
      <c r="C463" s="5">
        <v>99.993582952500006</v>
      </c>
      <c r="D463" s="5">
        <v>3.7011211354300002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P463" s="19">
        <f t="shared" si="323"/>
        <v>0</v>
      </c>
      <c r="Q463" s="19">
        <f t="shared" si="314"/>
        <v>0</v>
      </c>
      <c r="R463" s="19">
        <f t="shared" si="315"/>
        <v>0</v>
      </c>
      <c r="S463" s="19">
        <f t="shared" si="316"/>
        <v>0</v>
      </c>
      <c r="T463" s="19">
        <f t="shared" si="317"/>
        <v>0</v>
      </c>
      <c r="U463" s="19">
        <f t="shared" si="318"/>
        <v>0</v>
      </c>
      <c r="V463" s="19">
        <f t="shared" si="319"/>
        <v>0</v>
      </c>
      <c r="W463" s="19">
        <f t="shared" si="320"/>
        <v>0</v>
      </c>
      <c r="X463" s="19">
        <f t="shared" si="321"/>
        <v>0</v>
      </c>
      <c r="Y463" s="19">
        <f t="shared" si="322"/>
        <v>0</v>
      </c>
    </row>
    <row r="464" spans="1:25" outlineLevel="2">
      <c r="A464" s="1" t="s">
        <v>32</v>
      </c>
      <c r="B464">
        <v>196</v>
      </c>
      <c r="C464" s="5">
        <v>100</v>
      </c>
      <c r="D464" s="5">
        <v>2.3524979881900001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P464" s="19">
        <f t="shared" si="323"/>
        <v>0</v>
      </c>
      <c r="Q464" s="19">
        <f t="shared" si="314"/>
        <v>0</v>
      </c>
      <c r="R464" s="19">
        <f t="shared" si="315"/>
        <v>0</v>
      </c>
      <c r="S464" s="19">
        <f t="shared" si="316"/>
        <v>0</v>
      </c>
      <c r="T464" s="19">
        <f t="shared" si="317"/>
        <v>0</v>
      </c>
      <c r="U464" s="19">
        <f t="shared" si="318"/>
        <v>0</v>
      </c>
      <c r="V464" s="19">
        <f t="shared" si="319"/>
        <v>0</v>
      </c>
      <c r="W464" s="19">
        <f t="shared" si="320"/>
        <v>0</v>
      </c>
      <c r="X464" s="19">
        <f t="shared" si="321"/>
        <v>0</v>
      </c>
      <c r="Y464" s="19">
        <f t="shared" si="322"/>
        <v>0</v>
      </c>
    </row>
    <row r="465" spans="1:25" outlineLevel="2">
      <c r="A465" s="1" t="s">
        <v>32</v>
      </c>
      <c r="B465">
        <v>197</v>
      </c>
      <c r="C465" s="5">
        <v>100</v>
      </c>
      <c r="D465" s="5">
        <v>2.8502367945499998</v>
      </c>
      <c r="E465" s="2">
        <v>21.66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P465" s="19">
        <f t="shared" si="323"/>
        <v>8.1567709619504176E-3</v>
      </c>
      <c r="Q465" s="19">
        <f t="shared" si="314"/>
        <v>0</v>
      </c>
      <c r="R465" s="19">
        <f t="shared" si="315"/>
        <v>0</v>
      </c>
      <c r="S465" s="19">
        <f t="shared" si="316"/>
        <v>0</v>
      </c>
      <c r="T465" s="19">
        <f t="shared" si="317"/>
        <v>0</v>
      </c>
      <c r="U465" s="19">
        <f t="shared" si="318"/>
        <v>0</v>
      </c>
      <c r="V465" s="19">
        <f t="shared" si="319"/>
        <v>0</v>
      </c>
      <c r="W465" s="19">
        <f t="shared" si="320"/>
        <v>0</v>
      </c>
      <c r="X465" s="19">
        <f t="shared" si="321"/>
        <v>0</v>
      </c>
      <c r="Y465" s="19">
        <f t="shared" si="322"/>
        <v>0</v>
      </c>
    </row>
    <row r="466" spans="1:25" outlineLevel="2">
      <c r="A466" s="1" t="s">
        <v>32</v>
      </c>
      <c r="B466">
        <v>198</v>
      </c>
      <c r="C466" s="5">
        <v>99.980338221099998</v>
      </c>
      <c r="D466" s="5">
        <v>5.5018329488499997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P466" s="19">
        <f t="shared" si="323"/>
        <v>0</v>
      </c>
      <c r="Q466" s="19">
        <f t="shared" si="314"/>
        <v>0</v>
      </c>
      <c r="R466" s="19">
        <f t="shared" si="315"/>
        <v>0</v>
      </c>
      <c r="S466" s="19">
        <f t="shared" si="316"/>
        <v>0</v>
      </c>
      <c r="T466" s="19">
        <f t="shared" si="317"/>
        <v>0</v>
      </c>
      <c r="U466" s="19">
        <f t="shared" si="318"/>
        <v>0</v>
      </c>
      <c r="V466" s="19">
        <f t="shared" si="319"/>
        <v>0</v>
      </c>
      <c r="W466" s="19">
        <f t="shared" si="320"/>
        <v>0</v>
      </c>
      <c r="X466" s="19">
        <f t="shared" si="321"/>
        <v>0</v>
      </c>
      <c r="Y466" s="19">
        <f t="shared" si="322"/>
        <v>0</v>
      </c>
    </row>
    <row r="467" spans="1:25" outlineLevel="1">
      <c r="A467" s="18" t="s">
        <v>86</v>
      </c>
      <c r="E467" s="2">
        <f t="shared" ref="E467:N467" si="324">SUBTOTAL(9,E457:E466)</f>
        <v>2655.4625722653291</v>
      </c>
      <c r="F467" s="2">
        <f t="shared" si="324"/>
        <v>251.37477532844309</v>
      </c>
      <c r="G467" s="2">
        <f t="shared" si="324"/>
        <v>41.399884393108195</v>
      </c>
      <c r="H467" s="2">
        <f t="shared" si="324"/>
        <v>0.19999944151259999</v>
      </c>
      <c r="I467" s="2">
        <f t="shared" si="324"/>
        <v>0</v>
      </c>
      <c r="J467" s="2">
        <f t="shared" si="324"/>
        <v>0</v>
      </c>
      <c r="K467" s="2">
        <f t="shared" si="324"/>
        <v>0</v>
      </c>
      <c r="L467" s="2">
        <f t="shared" si="324"/>
        <v>0</v>
      </c>
      <c r="M467" s="2">
        <f t="shared" si="324"/>
        <v>0</v>
      </c>
      <c r="N467" s="2">
        <f t="shared" si="324"/>
        <v>0</v>
      </c>
      <c r="P467" s="19">
        <f t="shared" si="323"/>
        <v>1</v>
      </c>
      <c r="Q467" s="19">
        <f t="shared" si="314"/>
        <v>1</v>
      </c>
      <c r="R467" s="19">
        <f t="shared" si="315"/>
        <v>1</v>
      </c>
      <c r="S467" s="19">
        <f t="shared" si="316"/>
        <v>1</v>
      </c>
      <c r="T467" s="19">
        <f t="shared" si="317"/>
        <v>0</v>
      </c>
      <c r="U467" s="19">
        <f t="shared" si="318"/>
        <v>0</v>
      </c>
      <c r="V467" s="19">
        <f t="shared" si="319"/>
        <v>0</v>
      </c>
      <c r="W467" s="19">
        <f t="shared" si="320"/>
        <v>0</v>
      </c>
      <c r="X467" s="19">
        <f t="shared" si="321"/>
        <v>0</v>
      </c>
      <c r="Y467" s="19">
        <f t="shared" si="322"/>
        <v>0</v>
      </c>
    </row>
    <row r="468" spans="1:25">
      <c r="A468" s="18" t="s">
        <v>87</v>
      </c>
      <c r="E468" s="2">
        <f t="shared" ref="E468:N468" si="325">SUBTOTAL(9,E3:E466)</f>
        <v>56345.858581737943</v>
      </c>
      <c r="F468" s="2">
        <f t="shared" si="325"/>
        <v>94458.437520320382</v>
      </c>
      <c r="G468" s="2">
        <f t="shared" si="325"/>
        <v>61787.014623570467</v>
      </c>
      <c r="H468" s="2">
        <f t="shared" si="325"/>
        <v>20163.607449287014</v>
      </c>
      <c r="I468" s="2">
        <f t="shared" si="325"/>
        <v>17790.423492789818</v>
      </c>
      <c r="J468" s="2">
        <f t="shared" si="325"/>
        <v>0</v>
      </c>
      <c r="K468" s="2">
        <f t="shared" si="325"/>
        <v>8187.2806537392062</v>
      </c>
      <c r="L468" s="2">
        <f t="shared" si="325"/>
        <v>3889.7131480456119</v>
      </c>
      <c r="M468" s="2">
        <f t="shared" si="325"/>
        <v>40040.16709480439</v>
      </c>
      <c r="N468" s="2">
        <f t="shared" si="325"/>
        <v>1773.2891599999193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"/>
  <sheetViews>
    <sheetView workbookViewId="0"/>
  </sheetViews>
  <sheetFormatPr defaultRowHeight="15"/>
  <cols>
    <col min="1" max="1" width="11.7109375" bestFit="1" customWidth="1"/>
    <col min="2" max="2" width="13.28515625" bestFit="1" customWidth="1"/>
  </cols>
  <sheetData>
    <row r="1" spans="1:12">
      <c r="C1" t="s">
        <v>88</v>
      </c>
    </row>
    <row r="3" spans="1:12" s="8" customFormat="1" ht="60">
      <c r="A3" s="6" t="s">
        <v>0</v>
      </c>
      <c r="B3" s="6" t="s">
        <v>33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48</v>
      </c>
      <c r="J3" s="8" t="s">
        <v>49</v>
      </c>
      <c r="K3" s="8" t="s">
        <v>50</v>
      </c>
      <c r="L3" s="8" t="s">
        <v>51</v>
      </c>
    </row>
    <row r="4" spans="1:12">
      <c r="A4" s="1" t="s">
        <v>1</v>
      </c>
      <c r="B4">
        <v>33</v>
      </c>
      <c r="C4" s="19">
        <v>0</v>
      </c>
      <c r="D4" s="19">
        <v>0.20549525160838145</v>
      </c>
      <c r="E4" s="19">
        <v>4.4425795061217084E-2</v>
      </c>
      <c r="F4" s="19">
        <v>6.447269224745944E-2</v>
      </c>
      <c r="G4" s="19">
        <v>0.13545074595117285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</row>
    <row r="5" spans="1:12">
      <c r="A5" s="1" t="s">
        <v>1</v>
      </c>
      <c r="B5">
        <v>53</v>
      </c>
      <c r="C5" s="19">
        <v>0</v>
      </c>
      <c r="D5" s="19">
        <v>8.4934216059830092E-2</v>
      </c>
      <c r="E5" s="19">
        <v>1.2767118246061235E-2</v>
      </c>
      <c r="F5" s="19">
        <v>5.7570671195671793E-3</v>
      </c>
      <c r="G5" s="19">
        <v>3.3669330780710873E-3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</row>
    <row r="6" spans="1:12">
      <c r="A6" s="1" t="s">
        <v>1</v>
      </c>
      <c r="B6">
        <v>54</v>
      </c>
      <c r="C6" s="19">
        <v>0.48747894699551308</v>
      </c>
      <c r="D6" s="19">
        <v>0.21962289353243275</v>
      </c>
      <c r="E6" s="19">
        <v>6.5008794541197054E-2</v>
      </c>
      <c r="F6" s="19">
        <v>6.9698114750257209E-2</v>
      </c>
      <c r="G6" s="19">
        <v>2.8863909540780594E-2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</row>
    <row r="7" spans="1:12">
      <c r="A7" s="1" t="s">
        <v>1</v>
      </c>
      <c r="B7">
        <v>55</v>
      </c>
      <c r="C7" s="19">
        <v>8.529176613994268E-3</v>
      </c>
      <c r="D7" s="19">
        <v>0.15279292848836762</v>
      </c>
      <c r="E7" s="19">
        <v>1.6800063548010294E-2</v>
      </c>
      <c r="F7" s="19">
        <v>1.2051574473037724E-2</v>
      </c>
      <c r="G7" s="19">
        <v>1.4431987407536348E-3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</row>
    <row r="8" spans="1:12">
      <c r="A8" s="1" t="s">
        <v>1</v>
      </c>
      <c r="B8">
        <v>56</v>
      </c>
      <c r="C8" s="19">
        <v>0.49856422055538646</v>
      </c>
      <c r="D8" s="19">
        <v>8.1188060931951002E-3</v>
      </c>
      <c r="E8" s="19">
        <v>5.6811248294095997E-4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</row>
    <row r="9" spans="1:12">
      <c r="A9" s="1" t="s">
        <v>1</v>
      </c>
      <c r="B9">
        <v>57</v>
      </c>
      <c r="C9" s="19">
        <v>0</v>
      </c>
      <c r="D9" s="19">
        <v>4.3300784423214202E-2</v>
      </c>
      <c r="E9" s="19">
        <v>8.9546352022003405E-3</v>
      </c>
      <c r="F9" s="19">
        <v>1.0913384791465067E-2</v>
      </c>
      <c r="G9" s="19">
        <v>3.8485351148461549E-3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</row>
    <row r="10" spans="1:12">
      <c r="A10" s="1" t="s">
        <v>1</v>
      </c>
      <c r="B10">
        <v>58</v>
      </c>
      <c r="C10" s="19">
        <v>0</v>
      </c>
      <c r="D10" s="19">
        <v>2.2477315622115107E-2</v>
      </c>
      <c r="E10" s="19">
        <v>3.1652334091692982E-3</v>
      </c>
      <c r="F10" s="19">
        <v>1.205158987452456E-3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</row>
    <row r="11" spans="1:12">
      <c r="A11" s="1" t="s">
        <v>1</v>
      </c>
      <c r="B11">
        <v>59</v>
      </c>
      <c r="C11" s="19">
        <v>0</v>
      </c>
      <c r="D11" s="19">
        <v>0.11494033094268427</v>
      </c>
      <c r="E11" s="19">
        <v>3.3194365450661477E-2</v>
      </c>
      <c r="F11" s="19">
        <v>3.5485235385948923E-2</v>
      </c>
      <c r="G11" s="19">
        <v>1.0102403678181831E-2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</row>
    <row r="12" spans="1:12">
      <c r="A12" s="1" t="s">
        <v>1</v>
      </c>
      <c r="B12">
        <v>88</v>
      </c>
      <c r="C12" s="19">
        <v>0</v>
      </c>
      <c r="D12" s="19">
        <v>0.1249756444896955</v>
      </c>
      <c r="E12" s="19">
        <v>5.2509253657567305E-2</v>
      </c>
      <c r="F12" s="19">
        <v>5.0481663794759463E-2</v>
      </c>
      <c r="G12" s="19">
        <v>9.8616543868877693E-3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</row>
    <row r="13" spans="1:12">
      <c r="A13" s="1" t="s">
        <v>1</v>
      </c>
      <c r="B13">
        <v>89</v>
      </c>
      <c r="C13" s="19">
        <v>0</v>
      </c>
      <c r="D13" s="19">
        <v>0</v>
      </c>
      <c r="E13" s="19">
        <v>7.7101843886015009E-3</v>
      </c>
      <c r="F13" s="19">
        <v>4.6867296650463476E-3</v>
      </c>
      <c r="G13" s="19">
        <v>4.8106688935576936E-4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</row>
    <row r="14" spans="1:12">
      <c r="A14" s="1" t="s">
        <v>1</v>
      </c>
      <c r="B14">
        <v>90</v>
      </c>
      <c r="C14" s="19">
        <v>0</v>
      </c>
      <c r="D14" s="19">
        <v>2.319147905063693E-2</v>
      </c>
      <c r="E14" s="19">
        <v>0.1202247639418617</v>
      </c>
      <c r="F14" s="19">
        <v>0.14281136765167834</v>
      </c>
      <c r="G14" s="19">
        <v>0.11882352112476212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</row>
    <row r="15" spans="1:12">
      <c r="A15" s="1" t="s">
        <v>1</v>
      </c>
      <c r="B15">
        <v>91</v>
      </c>
      <c r="C15" s="19">
        <v>0</v>
      </c>
      <c r="D15" s="19">
        <v>0</v>
      </c>
      <c r="E15" s="19">
        <v>2.2533552332696719E-2</v>
      </c>
      <c r="F15" s="19">
        <v>8.5296636975935383E-2</v>
      </c>
      <c r="G15" s="19">
        <v>0.31942150345704851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</row>
    <row r="16" spans="1:12">
      <c r="A16" s="1" t="s">
        <v>1</v>
      </c>
      <c r="B16">
        <v>92</v>
      </c>
      <c r="C16" s="19">
        <v>0</v>
      </c>
      <c r="D16" s="19">
        <v>0</v>
      </c>
      <c r="E16" s="19">
        <v>0.38927227120145513</v>
      </c>
      <c r="F16" s="19">
        <v>0.23761609105538808</v>
      </c>
      <c r="G16" s="19">
        <v>2.5255894458782548E-2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</row>
    <row r="17" spans="1:12">
      <c r="A17" s="1" t="s">
        <v>1</v>
      </c>
      <c r="B17">
        <v>93</v>
      </c>
      <c r="C17" s="19">
        <v>0</v>
      </c>
      <c r="D17" s="19">
        <v>0</v>
      </c>
      <c r="E17" s="19">
        <v>9.8159967510947993E-2</v>
      </c>
      <c r="F17" s="19">
        <v>0.20394663816571001</v>
      </c>
      <c r="G17" s="19">
        <v>0.33399642267128626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</row>
    <row r="18" spans="1:12">
      <c r="A18" s="1" t="s">
        <v>1</v>
      </c>
      <c r="B18">
        <v>94</v>
      </c>
      <c r="C18" s="19">
        <v>5.4276558351061734E-3</v>
      </c>
      <c r="D18" s="19">
        <v>1.503496894471508E-4</v>
      </c>
      <c r="E18" s="19">
        <v>5.4106464818081967E-5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</row>
    <row r="19" spans="1:12">
      <c r="A19" s="1" t="s">
        <v>1</v>
      </c>
      <c r="B19">
        <v>163</v>
      </c>
      <c r="C19" s="19">
        <v>0</v>
      </c>
      <c r="D19" s="19">
        <v>0</v>
      </c>
      <c r="E19" s="19">
        <v>0.12465178256059381</v>
      </c>
      <c r="F19" s="19">
        <v>7.5577644936294305E-2</v>
      </c>
      <c r="G19" s="19">
        <v>9.0842109080708049E-3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</row>
    <row r="20" spans="1:12">
      <c r="A20" s="1" t="s">
        <v>2</v>
      </c>
      <c r="B20">
        <v>20</v>
      </c>
      <c r="C20" s="19">
        <v>0</v>
      </c>
      <c r="D20" s="19">
        <v>0.14057900104429563</v>
      </c>
      <c r="E20" s="19">
        <v>9.7909130781528617E-2</v>
      </c>
      <c r="F20" s="19">
        <v>7.6251600286213445E-2</v>
      </c>
      <c r="G20" s="19">
        <v>9.9554934022579547E-2</v>
      </c>
      <c r="H20" s="19">
        <v>0</v>
      </c>
      <c r="I20" s="19">
        <v>0</v>
      </c>
      <c r="J20" s="19">
        <v>0</v>
      </c>
      <c r="K20" s="19">
        <v>0</v>
      </c>
      <c r="L20" s="19">
        <v>0.54950908071057103</v>
      </c>
    </row>
    <row r="21" spans="1:12">
      <c r="A21" s="1" t="s">
        <v>2</v>
      </c>
      <c r="B21">
        <v>21</v>
      </c>
      <c r="C21" s="19">
        <v>0</v>
      </c>
      <c r="D21" s="19">
        <v>4.6735327913539196E-2</v>
      </c>
      <c r="E21" s="19">
        <v>1.3364469878868098E-2</v>
      </c>
      <c r="F21" s="19">
        <v>1.5806809829055635E-2</v>
      </c>
      <c r="G21" s="19">
        <v>1.7257098283772546E-2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</row>
    <row r="22" spans="1:12">
      <c r="A22" s="1" t="s">
        <v>2</v>
      </c>
      <c r="B22">
        <v>22</v>
      </c>
      <c r="C22" s="19">
        <v>0</v>
      </c>
      <c r="D22" s="19">
        <v>1.7858024780466226E-2</v>
      </c>
      <c r="E22" s="19">
        <v>6.7806634841421822E-3</v>
      </c>
      <c r="F22" s="19">
        <v>1.1800923585408049E-3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</row>
    <row r="23" spans="1:12">
      <c r="A23" s="1" t="s">
        <v>2</v>
      </c>
      <c r="B23">
        <v>23</v>
      </c>
      <c r="C23" s="19">
        <v>0</v>
      </c>
      <c r="D23" s="19">
        <v>0</v>
      </c>
      <c r="E23" s="19">
        <v>2.5831098987208314E-3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</row>
    <row r="24" spans="1:12">
      <c r="A24" s="1" t="s">
        <v>2</v>
      </c>
      <c r="B24">
        <v>24</v>
      </c>
      <c r="C24" s="19">
        <v>0</v>
      </c>
      <c r="D24" s="19">
        <v>4.2676425338062672E-2</v>
      </c>
      <c r="E24" s="19">
        <v>3.0416096370408E-2</v>
      </c>
      <c r="F24" s="19">
        <v>1.6062354868631678E-2</v>
      </c>
      <c r="G24" s="19">
        <v>1.5007845123034153E-2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</row>
    <row r="25" spans="1:12">
      <c r="A25" s="1" t="s">
        <v>2</v>
      </c>
      <c r="B25">
        <v>25</v>
      </c>
      <c r="C25" s="19">
        <v>0</v>
      </c>
      <c r="D25" s="19">
        <v>0.40015333873237607</v>
      </c>
      <c r="E25" s="19">
        <v>6.3802814498404525E-2</v>
      </c>
      <c r="F25" s="19">
        <v>0.11282994161381807</v>
      </c>
      <c r="G25" s="19">
        <v>0</v>
      </c>
      <c r="H25" s="19">
        <v>0</v>
      </c>
      <c r="I25" s="20">
        <v>1</v>
      </c>
      <c r="J25" s="20">
        <v>1</v>
      </c>
      <c r="K25" s="19">
        <v>0</v>
      </c>
      <c r="L25" s="19">
        <v>0</v>
      </c>
    </row>
    <row r="26" spans="1:12">
      <c r="A26" s="1" t="s">
        <v>2</v>
      </c>
      <c r="B26">
        <v>26</v>
      </c>
      <c r="C26" s="19">
        <v>0.62818230779533524</v>
      </c>
      <c r="D26" s="19">
        <v>3.7614343533659174E-2</v>
      </c>
      <c r="E26" s="19">
        <v>1.8727546765726025E-2</v>
      </c>
      <c r="F26" s="19">
        <v>9.6577447409247771E-2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</row>
    <row r="27" spans="1:12">
      <c r="A27" s="1" t="s">
        <v>2</v>
      </c>
      <c r="B27">
        <v>27</v>
      </c>
      <c r="C27" s="19">
        <v>0</v>
      </c>
      <c r="D27" s="19">
        <v>5.8354173395365749E-3</v>
      </c>
      <c r="E27" s="19">
        <v>1.2269606024196667E-3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</row>
    <row r="28" spans="1:12">
      <c r="A28" s="1" t="s">
        <v>2</v>
      </c>
      <c r="B28">
        <v>29</v>
      </c>
      <c r="C28" s="19">
        <v>0</v>
      </c>
      <c r="D28" s="19">
        <v>4.5924885327596643E-2</v>
      </c>
      <c r="E28" s="19">
        <v>2.7988321155973037E-2</v>
      </c>
      <c r="F28" s="19">
        <v>1.481604450244762E-2</v>
      </c>
      <c r="G28" s="19">
        <v>9.2921158627909482E-3</v>
      </c>
      <c r="H28" s="19">
        <v>0</v>
      </c>
      <c r="I28" s="19">
        <v>0</v>
      </c>
      <c r="J28" s="19">
        <v>0</v>
      </c>
      <c r="K28" s="19">
        <v>0</v>
      </c>
      <c r="L28" s="19">
        <v>0.45049091928942897</v>
      </c>
    </row>
    <row r="29" spans="1:12">
      <c r="A29" s="1" t="s">
        <v>2</v>
      </c>
      <c r="B29">
        <v>30</v>
      </c>
      <c r="C29" s="19">
        <v>0.37181769220466487</v>
      </c>
      <c r="D29" s="19">
        <v>0.26262323599046794</v>
      </c>
      <c r="E29" s="19">
        <v>0.737200886563809</v>
      </c>
      <c r="F29" s="19">
        <v>0.66647570913204501</v>
      </c>
      <c r="G29" s="19">
        <v>0.85888800670782284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</row>
    <row r="30" spans="1:12">
      <c r="A30" s="1" t="s">
        <v>3</v>
      </c>
      <c r="B30">
        <v>28</v>
      </c>
      <c r="C30" s="19">
        <v>0</v>
      </c>
      <c r="D30" s="19">
        <v>3.5151643436896605E-2</v>
      </c>
      <c r="E30" s="19">
        <v>0.10489245149934312</v>
      </c>
      <c r="F30" s="19">
        <v>5.0720291973974298E-2</v>
      </c>
      <c r="G30" s="19">
        <v>1.8929036967904159E-2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</row>
    <row r="31" spans="1:12">
      <c r="A31" s="1" t="s">
        <v>3</v>
      </c>
      <c r="B31">
        <v>29</v>
      </c>
      <c r="C31" s="19">
        <v>0</v>
      </c>
      <c r="D31" s="19">
        <v>9.6266871201642311E-3</v>
      </c>
      <c r="E31" s="19">
        <v>6.6901702867707144E-3</v>
      </c>
      <c r="F31" s="19">
        <v>5.1992911343166992E-3</v>
      </c>
      <c r="G31" s="19">
        <v>2.0707300791295191E-3</v>
      </c>
      <c r="H31" s="19">
        <v>0</v>
      </c>
      <c r="I31" s="19">
        <v>0</v>
      </c>
      <c r="J31" s="19">
        <v>0</v>
      </c>
      <c r="K31" s="19">
        <v>0</v>
      </c>
      <c r="L31" s="20">
        <v>1</v>
      </c>
    </row>
    <row r="32" spans="1:12">
      <c r="A32" s="1" t="s">
        <v>3</v>
      </c>
      <c r="B32">
        <v>30</v>
      </c>
      <c r="C32" s="19">
        <v>0.84925014579562097</v>
      </c>
      <c r="D32" s="19">
        <v>0.1117417444205262</v>
      </c>
      <c r="E32" s="19">
        <v>0.35768414903413787</v>
      </c>
      <c r="F32" s="19">
        <v>0.47473331539334612</v>
      </c>
      <c r="G32" s="19">
        <v>0.38850707887462294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</row>
    <row r="33" spans="1:12">
      <c r="A33" s="1" t="s">
        <v>3</v>
      </c>
      <c r="B33">
        <v>31</v>
      </c>
      <c r="C33" s="19">
        <v>0</v>
      </c>
      <c r="D33" s="19">
        <v>0</v>
      </c>
      <c r="E33" s="19">
        <v>0</v>
      </c>
      <c r="F33" s="19">
        <v>5.4976396556495602E-3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</row>
    <row r="34" spans="1:12">
      <c r="A34" s="1" t="s">
        <v>3</v>
      </c>
      <c r="B34">
        <v>32</v>
      </c>
      <c r="C34" s="19">
        <v>0.150749854204379</v>
      </c>
      <c r="D34" s="19">
        <v>0</v>
      </c>
      <c r="E34" s="19">
        <v>0</v>
      </c>
      <c r="F34" s="19">
        <v>0</v>
      </c>
      <c r="G34" s="19">
        <v>6.473017582531479E-2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</row>
    <row r="35" spans="1:12">
      <c r="A35" s="1" t="s">
        <v>3</v>
      </c>
      <c r="B35">
        <v>33</v>
      </c>
      <c r="C35" s="19">
        <v>0</v>
      </c>
      <c r="D35" s="19">
        <v>0.84347992502241287</v>
      </c>
      <c r="E35" s="19">
        <v>0.5307332291797483</v>
      </c>
      <c r="F35" s="19">
        <v>0.46384946184271325</v>
      </c>
      <c r="G35" s="19">
        <v>0.52576297825302842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</row>
    <row r="36" spans="1:12">
      <c r="A36" s="1" t="s">
        <v>4</v>
      </c>
      <c r="B36">
        <v>199</v>
      </c>
      <c r="C36" s="19">
        <v>0</v>
      </c>
      <c r="D36" s="19">
        <v>0.65078755611508532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</row>
    <row r="37" spans="1:12">
      <c r="A37" s="1" t="s">
        <v>4</v>
      </c>
      <c r="B37">
        <v>207</v>
      </c>
      <c r="C37" s="19">
        <v>2.7811979046598257E-2</v>
      </c>
      <c r="D37" s="19">
        <v>0.2218469079731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</row>
    <row r="38" spans="1:12">
      <c r="A38" s="1" t="s">
        <v>4</v>
      </c>
      <c r="B38">
        <v>209</v>
      </c>
      <c r="C38" s="20">
        <v>0.97218802095340173</v>
      </c>
      <c r="D38" s="19">
        <v>0.12736553591181482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</row>
    <row r="39" spans="1:12">
      <c r="A39" s="1" t="s">
        <v>5</v>
      </c>
      <c r="B39">
        <v>338</v>
      </c>
      <c r="C39" s="19">
        <v>0.22396992163908122</v>
      </c>
      <c r="D39" s="19">
        <v>0.55313252453291406</v>
      </c>
      <c r="E39" s="19">
        <v>0.5495908017997041</v>
      </c>
      <c r="F39" s="19">
        <v>0.4967697150266937</v>
      </c>
      <c r="G39" s="19">
        <v>0.41966860084994406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</row>
    <row r="40" spans="1:12">
      <c r="A40" s="1" t="s">
        <v>5</v>
      </c>
      <c r="B40">
        <v>339</v>
      </c>
      <c r="C40" s="19">
        <v>0.77603007836091875</v>
      </c>
      <c r="D40" s="19">
        <v>0.3316443773809174</v>
      </c>
      <c r="E40" s="19">
        <v>0.37360284238386465</v>
      </c>
      <c r="F40" s="19">
        <v>0.45081189076898398</v>
      </c>
      <c r="G40" s="19">
        <v>0.55441244995179928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</row>
    <row r="41" spans="1:12">
      <c r="A41" s="1" t="s">
        <v>5</v>
      </c>
      <c r="B41">
        <v>340</v>
      </c>
      <c r="C41" s="19">
        <v>0</v>
      </c>
      <c r="D41" s="19">
        <v>0.11522309808616865</v>
      </c>
      <c r="E41" s="19">
        <v>7.6806355816431124E-2</v>
      </c>
      <c r="F41" s="19">
        <v>5.2418394204322274E-2</v>
      </c>
      <c r="G41" s="19">
        <v>2.5918949198256741E-2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</row>
    <row r="42" spans="1:12">
      <c r="A42" s="1" t="s">
        <v>6</v>
      </c>
      <c r="B42">
        <v>160</v>
      </c>
      <c r="C42" s="20">
        <v>1</v>
      </c>
      <c r="D42" s="20">
        <v>1</v>
      </c>
      <c r="E42" s="20">
        <v>1</v>
      </c>
      <c r="F42" s="20">
        <v>1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</row>
    <row r="43" spans="1:12">
      <c r="A43" s="1" t="s">
        <v>7</v>
      </c>
      <c r="B43">
        <v>149</v>
      </c>
      <c r="C43" s="19">
        <v>0</v>
      </c>
      <c r="D43" s="19">
        <v>2.6587216497584785E-3</v>
      </c>
      <c r="E43" s="19">
        <v>1.4937335224978544E-3</v>
      </c>
      <c r="F43" s="19">
        <v>4.0259209821216839E-4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</row>
    <row r="44" spans="1:12">
      <c r="A44" s="1" t="s">
        <v>7</v>
      </c>
      <c r="B44">
        <v>150</v>
      </c>
      <c r="C44" s="19">
        <v>0</v>
      </c>
      <c r="D44" s="19">
        <v>0</v>
      </c>
      <c r="E44" s="19">
        <v>1.0565164899118858E-2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</row>
    <row r="45" spans="1:12">
      <c r="A45" s="1" t="s">
        <v>7</v>
      </c>
      <c r="B45">
        <v>163</v>
      </c>
      <c r="C45" s="19">
        <v>0</v>
      </c>
      <c r="D45" s="19">
        <v>0</v>
      </c>
      <c r="E45" s="19">
        <v>0.62844615621696909</v>
      </c>
      <c r="F45" s="19">
        <v>0.53483346676877308</v>
      </c>
      <c r="G45" s="20">
        <v>1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</row>
    <row r="46" spans="1:12">
      <c r="A46" s="1" t="s">
        <v>7</v>
      </c>
      <c r="B46">
        <v>164</v>
      </c>
      <c r="C46" s="19">
        <v>0</v>
      </c>
      <c r="D46" s="19">
        <v>7.2135349893500218E-3</v>
      </c>
      <c r="E46" s="19">
        <v>6.6266460321383211E-2</v>
      </c>
      <c r="F46" s="19">
        <v>0.33377024390062587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</row>
    <row r="47" spans="1:12">
      <c r="A47" s="1" t="s">
        <v>7</v>
      </c>
      <c r="B47">
        <v>165</v>
      </c>
      <c r="C47" s="19">
        <v>0</v>
      </c>
      <c r="D47" s="19">
        <v>0.28031520574608221</v>
      </c>
      <c r="E47" s="19">
        <v>0.14340758161387993</v>
      </c>
      <c r="F47" s="19">
        <v>1.4558026143537732E-2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</row>
    <row r="48" spans="1:12">
      <c r="A48" s="1" t="s">
        <v>7</v>
      </c>
      <c r="B48">
        <v>166</v>
      </c>
      <c r="C48" s="19">
        <v>0</v>
      </c>
      <c r="D48" s="19">
        <v>0.61696773325176313</v>
      </c>
      <c r="E48" s="19">
        <v>0.1474167693544407</v>
      </c>
      <c r="F48" s="19">
        <v>0.11643567108885097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</row>
    <row r="49" spans="1:12">
      <c r="A49" s="1" t="s">
        <v>7</v>
      </c>
      <c r="B49">
        <v>167</v>
      </c>
      <c r="C49" s="19">
        <v>0</v>
      </c>
      <c r="D49" s="19">
        <v>9.2844804363046096E-2</v>
      </c>
      <c r="E49" s="19">
        <v>2.40413407171031E-3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</row>
    <row r="50" spans="1:12">
      <c r="A50" s="1" t="s">
        <v>7</v>
      </c>
      <c r="B50">
        <v>172</v>
      </c>
      <c r="C50" s="19">
        <v>2.1580130412345494E-2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</row>
    <row r="51" spans="1:12">
      <c r="A51" s="1" t="s">
        <v>7</v>
      </c>
      <c r="B51">
        <v>174</v>
      </c>
      <c r="C51" s="20">
        <v>0.97841986958765437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</row>
    <row r="52" spans="1:12">
      <c r="A52" s="1" t="s">
        <v>8</v>
      </c>
      <c r="B52">
        <v>309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0.11752693471494159</v>
      </c>
      <c r="J52" s="19">
        <v>0</v>
      </c>
      <c r="K52" s="19">
        <v>0</v>
      </c>
      <c r="L52" s="19">
        <v>0</v>
      </c>
    </row>
    <row r="53" spans="1:12">
      <c r="A53" s="1" t="s">
        <v>8</v>
      </c>
      <c r="B53">
        <v>310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0.3683306155462493</v>
      </c>
      <c r="J53" s="20">
        <v>1</v>
      </c>
      <c r="K53" s="19">
        <v>0</v>
      </c>
      <c r="L53" s="19">
        <v>0</v>
      </c>
    </row>
    <row r="54" spans="1:12">
      <c r="A54" s="1" t="s">
        <v>8</v>
      </c>
      <c r="B54">
        <v>311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9.3736150971186885E-2</v>
      </c>
      <c r="J54" s="19">
        <v>0</v>
      </c>
      <c r="K54" s="19">
        <v>0</v>
      </c>
      <c r="L54" s="19">
        <v>0</v>
      </c>
    </row>
    <row r="55" spans="1:12">
      <c r="A55" s="1" t="s">
        <v>8</v>
      </c>
      <c r="B55">
        <v>313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0.42040629876762214</v>
      </c>
      <c r="J55" s="19">
        <v>0</v>
      </c>
      <c r="K55" s="19">
        <v>0</v>
      </c>
      <c r="L55" s="19">
        <v>0</v>
      </c>
    </row>
    <row r="56" spans="1:12">
      <c r="A56" s="1" t="s">
        <v>9</v>
      </c>
      <c r="B56">
        <v>144</v>
      </c>
      <c r="C56" s="19">
        <v>3.4877727448128968E-3</v>
      </c>
      <c r="D56" s="19">
        <v>1.2160930291650481E-3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</row>
    <row r="57" spans="1:12">
      <c r="A57" s="1" t="s">
        <v>9</v>
      </c>
      <c r="B57">
        <v>199</v>
      </c>
      <c r="C57" s="19">
        <v>0</v>
      </c>
      <c r="D57" s="19">
        <v>1.9469688786268244E-3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</row>
    <row r="58" spans="1:12">
      <c r="A58" s="1" t="s">
        <v>9</v>
      </c>
      <c r="B58">
        <v>200</v>
      </c>
      <c r="C58" s="19">
        <v>0</v>
      </c>
      <c r="D58" s="19">
        <v>0.18008009069691661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</row>
    <row r="59" spans="1:12">
      <c r="A59" s="1" t="s">
        <v>9</v>
      </c>
      <c r="B59">
        <v>201</v>
      </c>
      <c r="C59" s="19">
        <v>0</v>
      </c>
      <c r="D59" s="19">
        <v>0.54579179479536044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</row>
    <row r="60" spans="1:12">
      <c r="A60" s="1" t="s">
        <v>9</v>
      </c>
      <c r="B60">
        <v>203</v>
      </c>
      <c r="C60" s="19">
        <v>0</v>
      </c>
      <c r="D60" s="19">
        <v>8.6464521440251088E-2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</row>
    <row r="61" spans="1:12">
      <c r="A61" s="1" t="s">
        <v>9</v>
      </c>
      <c r="B61">
        <v>205</v>
      </c>
      <c r="C61" s="19">
        <v>0.57189808378217677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</row>
    <row r="62" spans="1:12">
      <c r="A62" s="1" t="s">
        <v>9</v>
      </c>
      <c r="B62">
        <v>207</v>
      </c>
      <c r="C62" s="19">
        <v>9.3503404386467682E-4</v>
      </c>
      <c r="D62" s="19">
        <v>1.7668253868895309E-3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</row>
    <row r="63" spans="1:12">
      <c r="A63" s="1" t="s">
        <v>9</v>
      </c>
      <c r="B63">
        <v>208</v>
      </c>
      <c r="C63" s="19">
        <v>4.0064133532730457E-3</v>
      </c>
      <c r="D63" s="19">
        <v>0.17113440389154089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</row>
    <row r="64" spans="1:12">
      <c r="A64" s="1" t="s">
        <v>9</v>
      </c>
      <c r="B64">
        <v>209</v>
      </c>
      <c r="C64" s="19">
        <v>0.21705821299815262</v>
      </c>
      <c r="D64" s="19">
        <v>6.7363183913833214E-3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</row>
    <row r="65" spans="1:12">
      <c r="A65" s="1" t="s">
        <v>9</v>
      </c>
      <c r="B65">
        <v>210</v>
      </c>
      <c r="C65" s="19">
        <v>0.20221706771490758</v>
      </c>
      <c r="D65" s="19">
        <v>4.8629834898664352E-3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</row>
    <row r="66" spans="1:12">
      <c r="A66" s="1" t="s">
        <v>10</v>
      </c>
      <c r="B66">
        <v>342</v>
      </c>
      <c r="C66" s="19">
        <v>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20">
        <v>1</v>
      </c>
      <c r="K66" s="20">
        <v>1</v>
      </c>
      <c r="L66" s="19">
        <v>0</v>
      </c>
    </row>
    <row r="67" spans="1:12">
      <c r="A67" s="1" t="s">
        <v>11</v>
      </c>
      <c r="B67">
        <v>314</v>
      </c>
      <c r="C67" s="19">
        <v>0.39212084901261457</v>
      </c>
      <c r="D67" s="19">
        <v>0.72438169036944855</v>
      </c>
      <c r="E67" s="20">
        <v>1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0.20712726556632072</v>
      </c>
      <c r="L67" s="19">
        <v>0</v>
      </c>
    </row>
    <row r="68" spans="1:12">
      <c r="A68" s="1" t="s">
        <v>11</v>
      </c>
      <c r="B68">
        <v>315</v>
      </c>
      <c r="C68" s="19">
        <v>0</v>
      </c>
      <c r="D68" s="19">
        <v>5.7714945179047079E-2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8.6197418701528472E-2</v>
      </c>
      <c r="L68" s="19">
        <v>0</v>
      </c>
    </row>
    <row r="69" spans="1:12">
      <c r="A69" s="1" t="s">
        <v>11</v>
      </c>
      <c r="B69">
        <v>316</v>
      </c>
      <c r="C69" s="19">
        <v>0.60787915098738543</v>
      </c>
      <c r="D69" s="19">
        <v>0.13780915481527567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</row>
    <row r="70" spans="1:12">
      <c r="A70" s="1" t="s">
        <v>11</v>
      </c>
      <c r="B70">
        <v>318</v>
      </c>
      <c r="C70" s="19">
        <v>0</v>
      </c>
      <c r="D70" s="19">
        <v>1.1778560240621853E-3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4.4790708992410104E-2</v>
      </c>
      <c r="L70" s="19">
        <v>0</v>
      </c>
    </row>
    <row r="71" spans="1:12">
      <c r="A71" s="1" t="s">
        <v>11</v>
      </c>
      <c r="B71">
        <v>330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0.81657671628633099</v>
      </c>
      <c r="K71" s="19">
        <v>0.38162117899317577</v>
      </c>
      <c r="L71" s="19">
        <v>0</v>
      </c>
    </row>
    <row r="72" spans="1:12">
      <c r="A72" s="1" t="s">
        <v>11</v>
      </c>
      <c r="B72">
        <v>332</v>
      </c>
      <c r="C72" s="19">
        <v>0</v>
      </c>
      <c r="D72" s="19">
        <v>7.8916353612166409E-2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0.18342328371366898</v>
      </c>
      <c r="K72" s="19">
        <v>0.28026342774656493</v>
      </c>
      <c r="L72" s="19">
        <v>0</v>
      </c>
    </row>
    <row r="73" spans="1:12">
      <c r="A73" s="1" t="s">
        <v>12</v>
      </c>
      <c r="B73">
        <v>253</v>
      </c>
      <c r="C73" s="20">
        <v>1</v>
      </c>
      <c r="D73" s="20">
        <v>1</v>
      </c>
      <c r="E73" s="20">
        <v>1</v>
      </c>
      <c r="F73" s="20">
        <v>1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</row>
    <row r="74" spans="1:12">
      <c r="A74" s="1" t="s">
        <v>13</v>
      </c>
      <c r="B74">
        <v>252</v>
      </c>
      <c r="C74" s="19">
        <v>0</v>
      </c>
      <c r="D74" s="19">
        <v>2.3374719314031834E-2</v>
      </c>
      <c r="E74" s="19">
        <v>3.0949804021688592E-3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</row>
    <row r="75" spans="1:12">
      <c r="A75" s="1" t="s">
        <v>13</v>
      </c>
      <c r="B75">
        <v>253</v>
      </c>
      <c r="C75" s="19">
        <v>0.11173578123623185</v>
      </c>
      <c r="D75" s="19">
        <v>3.1056091807943467E-2</v>
      </c>
      <c r="E75" s="19">
        <v>2.8670382329793988E-2</v>
      </c>
      <c r="F75" s="19">
        <v>3.6676797734087004E-2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</row>
    <row r="76" spans="1:12">
      <c r="A76" s="1" t="s">
        <v>13</v>
      </c>
      <c r="B76">
        <v>254</v>
      </c>
      <c r="C76" s="19">
        <v>0.23493605647638546</v>
      </c>
      <c r="D76" s="19">
        <v>0.10586196459436602</v>
      </c>
      <c r="E76" s="19">
        <v>0.13848624751511257</v>
      </c>
      <c r="F76" s="19">
        <v>8.7055105265921945E-2</v>
      </c>
      <c r="G76" s="19">
        <v>0.49999757126577349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</row>
    <row r="77" spans="1:12">
      <c r="A77" s="1" t="s">
        <v>13</v>
      </c>
      <c r="B77">
        <v>255</v>
      </c>
      <c r="C77" s="19">
        <v>9.8914836270737327E-2</v>
      </c>
      <c r="D77" s="19">
        <v>1.2068996103631867E-2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</row>
    <row r="78" spans="1:12">
      <c r="A78" s="1" t="s">
        <v>13</v>
      </c>
      <c r="B78">
        <v>320</v>
      </c>
      <c r="C78" s="19">
        <v>0</v>
      </c>
      <c r="D78" s="19">
        <v>2.9159423008566616E-2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</row>
    <row r="79" spans="1:12">
      <c r="A79" s="1" t="s">
        <v>13</v>
      </c>
      <c r="B79">
        <v>321</v>
      </c>
      <c r="C79" s="19">
        <v>0</v>
      </c>
      <c r="D79" s="19">
        <v>1.141748851741019E-3</v>
      </c>
      <c r="E79" s="19">
        <v>2.1872813226227796E-4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</row>
    <row r="80" spans="1:12">
      <c r="A80" s="1" t="s">
        <v>13</v>
      </c>
      <c r="B80">
        <v>322</v>
      </c>
      <c r="C80" s="19">
        <v>0.39900286552895126</v>
      </c>
      <c r="D80" s="19">
        <v>0.68531506053982938</v>
      </c>
      <c r="E80" s="19">
        <v>0.81160712011097158</v>
      </c>
      <c r="F80" s="19">
        <v>0.87626809699999109</v>
      </c>
      <c r="G80" s="19">
        <v>0.50000242873422651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</row>
    <row r="81" spans="1:12">
      <c r="A81" s="1" t="s">
        <v>13</v>
      </c>
      <c r="B81">
        <v>323</v>
      </c>
      <c r="C81" s="19">
        <v>0.15541046048769402</v>
      </c>
      <c r="D81" s="19">
        <v>3.6368732709428565E-2</v>
      </c>
      <c r="E81" s="19">
        <v>6.5172619708070865E-3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</row>
    <row r="82" spans="1:12">
      <c r="A82" s="1" t="s">
        <v>13</v>
      </c>
      <c r="B82">
        <v>324</v>
      </c>
      <c r="C82" s="19">
        <v>0</v>
      </c>
      <c r="D82" s="19">
        <v>4.1877176818562928E-2</v>
      </c>
      <c r="E82" s="19">
        <v>1.0474292229763567E-2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</row>
    <row r="83" spans="1:12">
      <c r="A83" s="1" t="s">
        <v>13</v>
      </c>
      <c r="B83">
        <v>325</v>
      </c>
      <c r="C83" s="19">
        <v>0</v>
      </c>
      <c r="D83" s="19">
        <v>1.7820062443153772E-2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</row>
    <row r="84" spans="1:12">
      <c r="A84" s="1" t="s">
        <v>13</v>
      </c>
      <c r="B84">
        <v>326</v>
      </c>
      <c r="C84" s="19">
        <v>0</v>
      </c>
      <c r="D84" s="19">
        <v>1.5956023808744474E-2</v>
      </c>
      <c r="E84" s="19">
        <v>9.3098730912009983E-4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</row>
    <row r="85" spans="1:12">
      <c r="A85" s="1" t="s">
        <v>14</v>
      </c>
      <c r="B85">
        <v>211</v>
      </c>
      <c r="C85" s="19">
        <v>3.5504962012236534E-3</v>
      </c>
      <c r="D85" s="19">
        <v>4.1622030576935597E-3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</row>
    <row r="86" spans="1:12">
      <c r="A86" s="1" t="s">
        <v>14</v>
      </c>
      <c r="B86">
        <v>212</v>
      </c>
      <c r="C86" s="19">
        <v>7.4684071327936336E-2</v>
      </c>
      <c r="D86" s="19">
        <v>0.42275345486723942</v>
      </c>
      <c r="E86" s="20">
        <v>0.95594713656387664</v>
      </c>
      <c r="F86" s="20">
        <v>1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20">
        <v>1</v>
      </c>
    </row>
    <row r="87" spans="1:12">
      <c r="A87" s="1" t="s">
        <v>14</v>
      </c>
      <c r="B87">
        <v>213</v>
      </c>
      <c r="C87" s="19">
        <v>4.8562721002284003E-2</v>
      </c>
      <c r="D87" s="19">
        <v>4.5107946363489304E-3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  <row r="88" spans="1:12">
      <c r="A88" s="1" t="s">
        <v>14</v>
      </c>
      <c r="B88">
        <v>214</v>
      </c>
      <c r="C88" s="19">
        <v>9.5590127439001082E-2</v>
      </c>
      <c r="D88" s="19">
        <v>0.10183821328275476</v>
      </c>
      <c r="E88" s="19">
        <v>4.405286343612335E-2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</row>
    <row r="89" spans="1:12">
      <c r="A89" s="1" t="s">
        <v>14</v>
      </c>
      <c r="B89">
        <v>215</v>
      </c>
      <c r="C89" s="19">
        <v>0.23185556298196258</v>
      </c>
      <c r="D89" s="19">
        <v>2.2198990691604812E-3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</row>
    <row r="90" spans="1:12">
      <c r="A90" s="1" t="s">
        <v>14</v>
      </c>
      <c r="B90">
        <v>216</v>
      </c>
      <c r="C90" s="19">
        <v>3.620908957736355E-3</v>
      </c>
      <c r="D90" s="19">
        <v>7.3534404686457786E-3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</row>
    <row r="91" spans="1:12">
      <c r="A91" s="1" t="s">
        <v>14</v>
      </c>
      <c r="B91">
        <v>217</v>
      </c>
      <c r="C91" s="19">
        <v>0</v>
      </c>
      <c r="D91" s="19">
        <v>5.9659869948349362E-3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</row>
    <row r="92" spans="1:12">
      <c r="A92" s="1" t="s">
        <v>14</v>
      </c>
      <c r="B92">
        <v>218</v>
      </c>
      <c r="C92" s="19">
        <v>0.54213611208985601</v>
      </c>
      <c r="D92" s="19">
        <v>0.45119600762332218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</row>
    <row r="93" spans="1:12">
      <c r="A93" s="1" t="s">
        <v>15</v>
      </c>
      <c r="B93">
        <v>96</v>
      </c>
      <c r="C93" s="19">
        <v>0</v>
      </c>
      <c r="D93" s="19">
        <v>0</v>
      </c>
      <c r="E93" s="19">
        <v>1.5357541465834163E-3</v>
      </c>
      <c r="F93" s="19">
        <v>1.3569420118799103E-2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</row>
    <row r="94" spans="1:12">
      <c r="A94" s="1" t="s">
        <v>15</v>
      </c>
      <c r="B94">
        <v>97</v>
      </c>
      <c r="C94" s="19">
        <v>0</v>
      </c>
      <c r="D94" s="19">
        <v>0</v>
      </c>
      <c r="E94" s="19">
        <v>1.2365639565569884E-2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</row>
    <row r="95" spans="1:12">
      <c r="A95" s="1" t="s">
        <v>15</v>
      </c>
      <c r="B95">
        <v>98</v>
      </c>
      <c r="C95" s="19">
        <v>0</v>
      </c>
      <c r="D95" s="19">
        <v>0</v>
      </c>
      <c r="E95" s="19">
        <v>3.5164078576436593E-3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</row>
    <row r="96" spans="1:12">
      <c r="A96" s="1" t="s">
        <v>15</v>
      </c>
      <c r="B96">
        <v>99</v>
      </c>
      <c r="C96" s="19">
        <v>0</v>
      </c>
      <c r="D96" s="19">
        <v>0</v>
      </c>
      <c r="E96" s="19">
        <v>3.6345465897061106E-2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</row>
    <row r="97" spans="1:12">
      <c r="A97" s="1" t="s">
        <v>15</v>
      </c>
      <c r="B97">
        <v>100</v>
      </c>
      <c r="C97" s="19">
        <v>0</v>
      </c>
      <c r="D97" s="19">
        <v>0</v>
      </c>
      <c r="E97" s="19">
        <v>7.3997058853951031E-3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</row>
    <row r="98" spans="1:12">
      <c r="A98" s="1" t="s">
        <v>15</v>
      </c>
      <c r="B98">
        <v>101</v>
      </c>
      <c r="C98" s="19">
        <v>0</v>
      </c>
      <c r="D98" s="19">
        <v>0</v>
      </c>
      <c r="E98" s="19">
        <v>0</v>
      </c>
      <c r="F98" s="19">
        <v>0.1842480894658699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</row>
    <row r="99" spans="1:12">
      <c r="A99" s="1" t="s">
        <v>15</v>
      </c>
      <c r="B99">
        <v>102</v>
      </c>
      <c r="C99" s="19">
        <v>0</v>
      </c>
      <c r="D99" s="19">
        <v>0</v>
      </c>
      <c r="E99" s="19">
        <v>1.7718530038354961E-2</v>
      </c>
      <c r="F99" s="19">
        <v>2.0972918981470496E-3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</row>
    <row r="100" spans="1:12">
      <c r="A100" s="1" t="s">
        <v>15</v>
      </c>
      <c r="B100">
        <v>104</v>
      </c>
      <c r="C100" s="19">
        <v>0</v>
      </c>
      <c r="D100" s="19">
        <v>0</v>
      </c>
      <c r="E100" s="19">
        <v>0</v>
      </c>
      <c r="F100" s="19">
        <v>5.0334986272943579E-4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</row>
    <row r="101" spans="1:12">
      <c r="A101" s="1" t="s">
        <v>15</v>
      </c>
      <c r="B101">
        <v>105</v>
      </c>
      <c r="C101" s="19">
        <v>0</v>
      </c>
      <c r="D101" s="19">
        <v>0</v>
      </c>
      <c r="E101" s="19">
        <v>0</v>
      </c>
      <c r="F101" s="19">
        <v>4.7665483833778929E-2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</row>
    <row r="102" spans="1:12">
      <c r="A102" s="1" t="s">
        <v>15</v>
      </c>
      <c r="B102">
        <v>106</v>
      </c>
      <c r="C102" s="19">
        <v>0</v>
      </c>
      <c r="D102" s="19">
        <v>0</v>
      </c>
      <c r="E102" s="19">
        <v>1.9185836706958426E-3</v>
      </c>
      <c r="F102" s="19">
        <v>1.9127207615285455E-2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</row>
    <row r="103" spans="1:12">
      <c r="A103" s="1" t="s">
        <v>15</v>
      </c>
      <c r="B103">
        <v>108</v>
      </c>
      <c r="C103" s="19">
        <v>0</v>
      </c>
      <c r="D103" s="19">
        <v>0</v>
      </c>
      <c r="E103" s="19">
        <v>0</v>
      </c>
      <c r="F103" s="19">
        <v>0.22050282561263615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</row>
    <row r="104" spans="1:12">
      <c r="A104" s="1" t="s">
        <v>15</v>
      </c>
      <c r="B104">
        <v>109</v>
      </c>
      <c r="C104" s="19">
        <v>0</v>
      </c>
      <c r="D104" s="19">
        <v>0</v>
      </c>
      <c r="E104" s="19">
        <v>3.8122058203705296E-2</v>
      </c>
      <c r="F104" s="19">
        <v>7.2985758055517325E-2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</row>
    <row r="105" spans="1:12">
      <c r="A105" s="1" t="s">
        <v>15</v>
      </c>
      <c r="B105">
        <v>110</v>
      </c>
      <c r="C105" s="19">
        <v>0</v>
      </c>
      <c r="D105" s="19">
        <v>0</v>
      </c>
      <c r="E105" s="19">
        <v>0</v>
      </c>
      <c r="F105" s="19">
        <v>0.39685143137773565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</row>
    <row r="106" spans="1:12">
      <c r="A106" s="1" t="s">
        <v>15</v>
      </c>
      <c r="B106">
        <v>111</v>
      </c>
      <c r="C106" s="19">
        <v>0</v>
      </c>
      <c r="D106" s="19">
        <v>0</v>
      </c>
      <c r="E106" s="19">
        <v>1.9551649126357044E-2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</row>
    <row r="107" spans="1:12">
      <c r="A107" s="1" t="s">
        <v>15</v>
      </c>
      <c r="B107">
        <v>112</v>
      </c>
      <c r="C107" s="19">
        <v>0</v>
      </c>
      <c r="D107" s="19">
        <v>0</v>
      </c>
      <c r="E107" s="19">
        <v>8.3522612265744117E-2</v>
      </c>
      <c r="F107" s="19">
        <v>4.1023029527674233E-2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</row>
    <row r="108" spans="1:12">
      <c r="A108" s="1" t="s">
        <v>15</v>
      </c>
      <c r="B108">
        <v>113</v>
      </c>
      <c r="C108" s="19">
        <v>0</v>
      </c>
      <c r="D108" s="19">
        <v>0</v>
      </c>
      <c r="E108" s="19">
        <v>5.6263732016712984E-4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</row>
    <row r="109" spans="1:12">
      <c r="A109" s="1" t="s">
        <v>15</v>
      </c>
      <c r="B109">
        <v>115</v>
      </c>
      <c r="C109" s="19">
        <v>0</v>
      </c>
      <c r="D109" s="19">
        <v>0</v>
      </c>
      <c r="E109" s="19">
        <v>2.336894458860156E-3</v>
      </c>
      <c r="F109" s="19">
        <v>1.0486026196929938E-3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</row>
    <row r="110" spans="1:12">
      <c r="A110" s="1" t="s">
        <v>15</v>
      </c>
      <c r="B110">
        <v>116</v>
      </c>
      <c r="C110" s="19">
        <v>0</v>
      </c>
      <c r="D110" s="19">
        <v>6.335127577655514E-5</v>
      </c>
      <c r="E110" s="19">
        <v>3.4199908943721664E-2</v>
      </c>
      <c r="F110" s="19">
        <v>2.9362086574058694E-4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</row>
    <row r="111" spans="1:12">
      <c r="A111" s="1" t="s">
        <v>15</v>
      </c>
      <c r="B111">
        <v>117</v>
      </c>
      <c r="C111" s="19">
        <v>0</v>
      </c>
      <c r="D111" s="19">
        <v>0</v>
      </c>
      <c r="E111" s="19">
        <v>0.11491444162453053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</row>
    <row r="112" spans="1:12">
      <c r="A112" s="1" t="s">
        <v>15</v>
      </c>
      <c r="B112">
        <v>118</v>
      </c>
      <c r="C112" s="19">
        <v>0</v>
      </c>
      <c r="D112" s="19">
        <v>0</v>
      </c>
      <c r="E112" s="19">
        <v>0.26576737181216692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</row>
    <row r="113" spans="1:12">
      <c r="A113" s="1" t="s">
        <v>15</v>
      </c>
      <c r="B113">
        <v>119</v>
      </c>
      <c r="C113" s="19">
        <v>6.8051436174614878E-3</v>
      </c>
      <c r="D113" s="19">
        <v>1.1504291246541787E-2</v>
      </c>
      <c r="E113" s="19">
        <v>6.5489009359201633E-3</v>
      </c>
      <c r="F113" s="19">
        <v>8.3889146393197338E-5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</row>
    <row r="114" spans="1:12">
      <c r="A114" s="1" t="s">
        <v>15</v>
      </c>
      <c r="B114">
        <v>120</v>
      </c>
      <c r="C114" s="19">
        <v>0</v>
      </c>
      <c r="D114" s="19">
        <v>5.0639707967062533E-2</v>
      </c>
      <c r="E114" s="19">
        <v>1.1567526348907842E-2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</row>
    <row r="115" spans="1:12">
      <c r="A115" s="1" t="s">
        <v>15</v>
      </c>
      <c r="B115">
        <v>121</v>
      </c>
      <c r="C115" s="19">
        <v>0</v>
      </c>
      <c r="D115" s="19">
        <v>4.1686001038323843E-3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</row>
    <row r="116" spans="1:12">
      <c r="A116" s="1" t="s">
        <v>15</v>
      </c>
      <c r="B116">
        <v>122</v>
      </c>
      <c r="C116" s="19">
        <v>0</v>
      </c>
      <c r="D116" s="19">
        <v>1.5896076777342904E-2</v>
      </c>
      <c r="E116" s="19">
        <v>1.9084661050838041E-2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</row>
    <row r="117" spans="1:12">
      <c r="A117" s="1" t="s">
        <v>15</v>
      </c>
      <c r="B117">
        <v>123</v>
      </c>
      <c r="C117" s="19">
        <v>0</v>
      </c>
      <c r="D117" s="19">
        <v>1.0558545962759191E-2</v>
      </c>
      <c r="E117" s="19">
        <v>0.29847909936140954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</row>
    <row r="118" spans="1:12">
      <c r="A118" s="1" t="s">
        <v>15</v>
      </c>
      <c r="B118">
        <v>124</v>
      </c>
      <c r="C118" s="19">
        <v>0</v>
      </c>
      <c r="D118" s="19">
        <v>4.1093860887058764E-3</v>
      </c>
      <c r="E118" s="19">
        <v>1.6879119605013896E-4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</row>
    <row r="119" spans="1:12">
      <c r="A119" s="1" t="s">
        <v>15</v>
      </c>
      <c r="B119">
        <v>125</v>
      </c>
      <c r="C119" s="19">
        <v>0.62794724384278966</v>
      </c>
      <c r="D119" s="19">
        <v>1.267023797752391E-5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</row>
    <row r="120" spans="1:12">
      <c r="A120" s="1" t="s">
        <v>15</v>
      </c>
      <c r="B120">
        <v>126</v>
      </c>
      <c r="C120" s="19">
        <v>0</v>
      </c>
      <c r="D120" s="19">
        <v>1.6978141908116778E-3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</row>
    <row r="121" spans="1:12">
      <c r="A121" s="1" t="s">
        <v>15</v>
      </c>
      <c r="B121">
        <v>128</v>
      </c>
      <c r="C121" s="19">
        <v>0.19926267552552598</v>
      </c>
      <c r="D121" s="19">
        <v>3.3787347080829409E-5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</row>
    <row r="122" spans="1:12">
      <c r="A122" s="1" t="s">
        <v>15</v>
      </c>
      <c r="B122">
        <v>132</v>
      </c>
      <c r="C122" s="19">
        <v>0</v>
      </c>
      <c r="D122" s="19">
        <v>6.8550855387058865E-2</v>
      </c>
      <c r="E122" s="19">
        <v>1.0318767439117986E-2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</row>
    <row r="123" spans="1:12">
      <c r="A123" s="1" t="s">
        <v>15</v>
      </c>
      <c r="B123">
        <v>133</v>
      </c>
      <c r="C123" s="19">
        <v>8.1457963086760954E-3</v>
      </c>
      <c r="D123" s="19">
        <v>3.2097979726787938E-3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</row>
    <row r="124" spans="1:12">
      <c r="A124" s="1" t="s">
        <v>15</v>
      </c>
      <c r="B124">
        <v>134</v>
      </c>
      <c r="C124" s="19">
        <v>0</v>
      </c>
      <c r="D124" s="19">
        <v>4.9313569396326501E-2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</row>
    <row r="125" spans="1:12">
      <c r="A125" s="1" t="s">
        <v>15</v>
      </c>
      <c r="B125">
        <v>144</v>
      </c>
      <c r="C125" s="19">
        <v>8.807904635786433E-2</v>
      </c>
      <c r="D125" s="19">
        <v>4.4380420034746756E-5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</row>
    <row r="126" spans="1:12">
      <c r="A126" s="1" t="s">
        <v>15</v>
      </c>
      <c r="B126">
        <v>176</v>
      </c>
      <c r="C126" s="19">
        <v>0</v>
      </c>
      <c r="D126" s="19">
        <v>6.82569106296569E-2</v>
      </c>
      <c r="E126" s="19">
        <v>1.4054592851199497E-2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</row>
    <row r="127" spans="1:12">
      <c r="A127" s="1" t="s">
        <v>15</v>
      </c>
      <c r="B127">
        <v>178</v>
      </c>
      <c r="C127" s="19">
        <v>0</v>
      </c>
      <c r="D127" s="19">
        <v>0.4252602672832474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</row>
    <row r="128" spans="1:12">
      <c r="A128" s="1" t="s">
        <v>15</v>
      </c>
      <c r="B128">
        <v>179</v>
      </c>
      <c r="C128" s="19">
        <v>0</v>
      </c>
      <c r="D128" s="19">
        <v>9.9841610623850902E-3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</row>
    <row r="129" spans="1:12">
      <c r="A129" s="1" t="s">
        <v>15</v>
      </c>
      <c r="B129">
        <v>180</v>
      </c>
      <c r="C129" s="19">
        <v>0</v>
      </c>
      <c r="D129" s="19">
        <v>0.27651740562611432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</row>
    <row r="130" spans="1:12">
      <c r="A130" s="1" t="s">
        <v>15</v>
      </c>
      <c r="B130">
        <v>194</v>
      </c>
      <c r="C130" s="19">
        <v>6.9760094347682489E-2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</row>
    <row r="131" spans="1:12">
      <c r="A131" s="1" t="s">
        <v>16</v>
      </c>
      <c r="B131">
        <v>345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0.110124178765756</v>
      </c>
      <c r="L131" s="19">
        <v>0</v>
      </c>
    </row>
    <row r="132" spans="1:12">
      <c r="A132" s="1" t="s">
        <v>16</v>
      </c>
      <c r="B132">
        <v>347</v>
      </c>
      <c r="C132" s="19">
        <v>0</v>
      </c>
      <c r="D132" s="19">
        <v>0</v>
      </c>
      <c r="E132" s="19">
        <v>0</v>
      </c>
      <c r="F132" s="19">
        <v>2.0092306632772403E-3</v>
      </c>
      <c r="G132" s="19">
        <v>1.2325001180204895E-3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</row>
    <row r="133" spans="1:12">
      <c r="A133" s="1" t="s">
        <v>16</v>
      </c>
      <c r="B133">
        <v>348</v>
      </c>
      <c r="C133" s="19">
        <v>0.5689695004215013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7.2553106380732438E-2</v>
      </c>
      <c r="L133" s="19">
        <v>0</v>
      </c>
    </row>
    <row r="134" spans="1:12">
      <c r="A134" s="1" t="s">
        <v>16</v>
      </c>
      <c r="B134">
        <v>349</v>
      </c>
      <c r="C134" s="19">
        <v>0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0.59013417218763087</v>
      </c>
      <c r="L134" s="20">
        <v>1</v>
      </c>
    </row>
    <row r="135" spans="1:12">
      <c r="A135" s="1" t="s">
        <v>16</v>
      </c>
      <c r="B135">
        <v>350</v>
      </c>
      <c r="C135" s="19">
        <v>0</v>
      </c>
      <c r="D135" s="19">
        <v>0</v>
      </c>
      <c r="E135" s="19">
        <v>0</v>
      </c>
      <c r="F135" s="19">
        <v>0</v>
      </c>
      <c r="G135" s="19">
        <v>4.6825582824325522E-2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</row>
    <row r="136" spans="1:12">
      <c r="A136" s="1" t="s">
        <v>16</v>
      </c>
      <c r="B136">
        <v>351</v>
      </c>
      <c r="C136" s="19">
        <v>0</v>
      </c>
      <c r="D136" s="19">
        <v>0</v>
      </c>
      <c r="E136" s="19">
        <v>0.55234852138253754</v>
      </c>
      <c r="F136" s="19">
        <v>0.13484107891016772</v>
      </c>
      <c r="G136" s="19">
        <v>7.1320343776576464E-2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</row>
    <row r="137" spans="1:12">
      <c r="A137" s="1" t="s">
        <v>16</v>
      </c>
      <c r="B137">
        <v>352</v>
      </c>
      <c r="C137" s="19">
        <v>0</v>
      </c>
      <c r="D137" s="19">
        <v>0</v>
      </c>
      <c r="E137" s="19">
        <v>0.31615772786056145</v>
      </c>
      <c r="F137" s="19">
        <v>0.14314306779384953</v>
      </c>
      <c r="G137" s="19">
        <v>9.1202807672173439E-2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</row>
    <row r="138" spans="1:12">
      <c r="A138" s="1" t="s">
        <v>16</v>
      </c>
      <c r="B138">
        <v>353</v>
      </c>
      <c r="C138" s="19">
        <v>0</v>
      </c>
      <c r="D138" s="19">
        <v>0</v>
      </c>
      <c r="E138" s="19">
        <v>0.13149375075690098</v>
      </c>
      <c r="F138" s="19">
        <v>0.12608983478054586</v>
      </c>
      <c r="G138" s="19">
        <v>4.9792786889183392E-2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</row>
    <row r="139" spans="1:12">
      <c r="A139" s="1" t="s">
        <v>16</v>
      </c>
      <c r="B139">
        <v>354</v>
      </c>
      <c r="C139" s="19">
        <v>0</v>
      </c>
      <c r="D139" s="19">
        <v>0</v>
      </c>
      <c r="E139" s="19">
        <v>0</v>
      </c>
      <c r="F139" s="19">
        <v>0</v>
      </c>
      <c r="G139" s="19">
        <v>3.2866698616906853E-3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</row>
    <row r="140" spans="1:12">
      <c r="A140" s="1" t="s">
        <v>16</v>
      </c>
      <c r="B140">
        <v>355</v>
      </c>
      <c r="C140" s="19">
        <v>0</v>
      </c>
      <c r="D140" s="19">
        <v>0</v>
      </c>
      <c r="E140" s="19">
        <v>0</v>
      </c>
      <c r="F140" s="19">
        <v>0.59391678785215962</v>
      </c>
      <c r="G140" s="19">
        <v>0.7363393088580299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</row>
    <row r="141" spans="1:12">
      <c r="A141" s="1" t="s">
        <v>16</v>
      </c>
      <c r="B141">
        <v>356</v>
      </c>
      <c r="C141" s="19">
        <v>0.43103049957849876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0.22716594045205488</v>
      </c>
      <c r="L141" s="19">
        <v>0</v>
      </c>
    </row>
    <row r="142" spans="1:12">
      <c r="A142" s="1" t="s">
        <v>17</v>
      </c>
      <c r="B142">
        <v>34</v>
      </c>
      <c r="C142" s="19">
        <v>0.54042396887060962</v>
      </c>
      <c r="D142" s="19">
        <v>0.10822737084559561</v>
      </c>
      <c r="E142" s="19">
        <v>7.781883447693122E-2</v>
      </c>
      <c r="F142" s="19">
        <v>4.0204480596357964E-2</v>
      </c>
      <c r="G142" s="19">
        <v>1.4185294966217314E-2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</row>
    <row r="143" spans="1:12">
      <c r="A143" s="1" t="s">
        <v>17</v>
      </c>
      <c r="B143">
        <v>35</v>
      </c>
      <c r="C143" s="19">
        <v>0</v>
      </c>
      <c r="D143" s="19">
        <v>0.12407967187822347</v>
      </c>
      <c r="E143" s="19">
        <v>7.0409072591410229E-2</v>
      </c>
      <c r="F143" s="19">
        <v>2.0223038860387087E-2</v>
      </c>
      <c r="G143" s="19">
        <v>2.4195078075239006E-3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</row>
    <row r="144" spans="1:12">
      <c r="A144" s="1" t="s">
        <v>17</v>
      </c>
      <c r="B144">
        <v>36</v>
      </c>
      <c r="C144" s="19">
        <v>0</v>
      </c>
      <c r="D144" s="19">
        <v>0.23036456327941388</v>
      </c>
      <c r="E144" s="19">
        <v>9.2115700014952062E-2</v>
      </c>
      <c r="F144" s="19">
        <v>3.7508202499078255E-2</v>
      </c>
      <c r="G144" s="19">
        <v>9.8146161076369809E-3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</row>
    <row r="145" spans="1:12">
      <c r="A145" s="1" t="s">
        <v>17</v>
      </c>
      <c r="B145">
        <v>37</v>
      </c>
      <c r="C145" s="19">
        <v>0</v>
      </c>
      <c r="D145" s="19">
        <v>0.10626871892614613</v>
      </c>
      <c r="E145" s="19">
        <v>5.322240619918215E-2</v>
      </c>
      <c r="F145" s="19">
        <v>2.1007819158378023E-2</v>
      </c>
      <c r="G145" s="19">
        <v>8.8585229059544197E-3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</row>
    <row r="146" spans="1:12">
      <c r="A146" s="1" t="s">
        <v>17</v>
      </c>
      <c r="B146">
        <v>38</v>
      </c>
      <c r="C146" s="19">
        <v>0.45957603112939038</v>
      </c>
      <c r="D146" s="19">
        <v>8.0694428746409891E-2</v>
      </c>
      <c r="E146" s="19">
        <v>3.071065642824158E-2</v>
      </c>
      <c r="F146" s="19">
        <v>5.5336695298208449E-3</v>
      </c>
      <c r="G146" s="19">
        <v>2.3414600909789593E-4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</row>
    <row r="147" spans="1:12">
      <c r="A147" s="1" t="s">
        <v>17</v>
      </c>
      <c r="B147">
        <v>39</v>
      </c>
      <c r="C147" s="19">
        <v>0</v>
      </c>
      <c r="D147" s="19">
        <v>2.9296494821594885E-2</v>
      </c>
      <c r="E147" s="19">
        <v>9.579477397241595E-3</v>
      </c>
      <c r="F147" s="19">
        <v>1.3683361558033877E-3</v>
      </c>
      <c r="G147" s="19">
        <v>1.5609744669720888E-4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</row>
    <row r="148" spans="1:12">
      <c r="A148" s="1" t="s">
        <v>17</v>
      </c>
      <c r="B148">
        <v>43</v>
      </c>
      <c r="C148" s="19">
        <v>0</v>
      </c>
      <c r="D148" s="19">
        <v>5.1104484373415285E-3</v>
      </c>
      <c r="E148" s="19">
        <v>1.605964475152856E-3</v>
      </c>
      <c r="F148" s="19">
        <v>6.4391565090179601E-4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</row>
    <row r="149" spans="1:12">
      <c r="A149" s="1" t="s">
        <v>17</v>
      </c>
      <c r="B149">
        <v>45</v>
      </c>
      <c r="C149" s="19">
        <v>0</v>
      </c>
      <c r="D149" s="19">
        <v>1.6723458257217438E-3</v>
      </c>
      <c r="E149" s="19">
        <v>9.5079544506097423E-4</v>
      </c>
      <c r="F149" s="19">
        <v>1.6533515533468941E-3</v>
      </c>
      <c r="G149" s="19">
        <v>3.4354482811859577E-4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</row>
    <row r="150" spans="1:12">
      <c r="A150" s="1" t="s">
        <v>17</v>
      </c>
      <c r="B150">
        <v>46</v>
      </c>
      <c r="C150" s="19">
        <v>0</v>
      </c>
      <c r="D150" s="19">
        <v>0.11273705056656676</v>
      </c>
      <c r="E150" s="19">
        <v>4.3906867266696223E-2</v>
      </c>
      <c r="F150" s="19">
        <v>9.9017613064534427E-3</v>
      </c>
      <c r="G150" s="19">
        <v>1.6776348302689852E-3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</row>
    <row r="151" spans="1:12">
      <c r="A151" s="1" t="s">
        <v>17</v>
      </c>
      <c r="B151">
        <v>47</v>
      </c>
      <c r="C151" s="19">
        <v>0</v>
      </c>
      <c r="D151" s="19">
        <v>0</v>
      </c>
      <c r="E151" s="19">
        <v>2.3666952199779359E-3</v>
      </c>
      <c r="F151" s="19">
        <v>1.6097964258557723E-4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</row>
    <row r="152" spans="1:12">
      <c r="A152" s="1" t="s">
        <v>17</v>
      </c>
      <c r="B152">
        <v>48</v>
      </c>
      <c r="C152" s="19">
        <v>0</v>
      </c>
      <c r="D152" s="19">
        <v>9.3606023405364863E-2</v>
      </c>
      <c r="E152" s="19">
        <v>0.18730694435857503</v>
      </c>
      <c r="F152" s="19">
        <v>5.6403218982699711E-2</v>
      </c>
      <c r="G152" s="19">
        <v>1.7404864034547132E-2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</row>
    <row r="153" spans="1:12">
      <c r="A153" s="1" t="s">
        <v>17</v>
      </c>
      <c r="B153">
        <v>49</v>
      </c>
      <c r="C153" s="19">
        <v>0</v>
      </c>
      <c r="D153" s="19">
        <v>1.0133563050307199E-2</v>
      </c>
      <c r="E153" s="19">
        <v>8.0580337251629722E-3</v>
      </c>
      <c r="F153" s="19">
        <v>2.8976335665403898E-3</v>
      </c>
      <c r="G153" s="19">
        <v>4.6829249921460806E-4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</row>
    <row r="154" spans="1:12">
      <c r="A154" s="1" t="s">
        <v>17</v>
      </c>
      <c r="B154">
        <v>50</v>
      </c>
      <c r="C154" s="19">
        <v>0</v>
      </c>
      <c r="D154" s="19">
        <v>2.2671396265195241E-2</v>
      </c>
      <c r="E154" s="19">
        <v>3.8036169380076712E-3</v>
      </c>
      <c r="F154" s="19">
        <v>1.2475921054586536E-3</v>
      </c>
      <c r="G154" s="19">
        <v>1.9512185518866344E-5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</row>
    <row r="155" spans="1:12">
      <c r="A155" s="1" t="s">
        <v>17</v>
      </c>
      <c r="B155">
        <v>51</v>
      </c>
      <c r="C155" s="19">
        <v>0</v>
      </c>
      <c r="D155" s="19">
        <v>3.9269785206723862E-2</v>
      </c>
      <c r="E155" s="19">
        <v>1.9637934660454982E-2</v>
      </c>
      <c r="F155" s="19">
        <v>7.1233489389340553E-3</v>
      </c>
      <c r="G155" s="19">
        <v>1.3463408888457432E-3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</row>
    <row r="156" spans="1:12">
      <c r="A156" s="1" t="s">
        <v>17</v>
      </c>
      <c r="B156">
        <v>52</v>
      </c>
      <c r="C156" s="19">
        <v>0</v>
      </c>
      <c r="D156" s="19">
        <v>3.5868138745395031E-2</v>
      </c>
      <c r="E156" s="19">
        <v>2.152562477348598E-2</v>
      </c>
      <c r="F156" s="19">
        <v>5.5940345296700616E-3</v>
      </c>
      <c r="G156" s="19">
        <v>3.9024317372270812E-4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</row>
    <row r="157" spans="1:12">
      <c r="A157" s="1" t="s">
        <v>17</v>
      </c>
      <c r="B157">
        <v>60</v>
      </c>
      <c r="C157" s="19">
        <v>0</v>
      </c>
      <c r="D157" s="19">
        <v>0</v>
      </c>
      <c r="E157" s="19">
        <v>1.0680614490040596E-2</v>
      </c>
      <c r="F157" s="19">
        <v>5.6144424992541093E-3</v>
      </c>
      <c r="G157" s="19">
        <v>2.4234593531631829E-3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</row>
    <row r="158" spans="1:12">
      <c r="A158" s="1" t="s">
        <v>17</v>
      </c>
      <c r="B158">
        <v>61</v>
      </c>
      <c r="C158" s="19">
        <v>0</v>
      </c>
      <c r="D158" s="19">
        <v>0</v>
      </c>
      <c r="E158" s="19">
        <v>4.5468116609002698E-3</v>
      </c>
      <c r="F158" s="19">
        <v>2.1550920376193455E-3</v>
      </c>
      <c r="G158" s="19">
        <v>1.2868655812070186E-3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</row>
    <row r="159" spans="1:12">
      <c r="A159" s="1" t="s">
        <v>17</v>
      </c>
      <c r="B159">
        <v>62</v>
      </c>
      <c r="C159" s="19">
        <v>0</v>
      </c>
      <c r="D159" s="19">
        <v>0</v>
      </c>
      <c r="E159" s="19">
        <v>9.9174526117074852E-3</v>
      </c>
      <c r="F159" s="19">
        <v>7.3647240721392612E-3</v>
      </c>
      <c r="G159" s="19">
        <v>2.4780159862130171E-3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</row>
    <row r="160" spans="1:12">
      <c r="A160" s="1" t="s">
        <v>17</v>
      </c>
      <c r="B160">
        <v>63</v>
      </c>
      <c r="C160" s="19">
        <v>0</v>
      </c>
      <c r="D160" s="19">
        <v>0</v>
      </c>
      <c r="E160" s="19">
        <v>0</v>
      </c>
      <c r="F160" s="19">
        <v>0.11858162942082535</v>
      </c>
      <c r="G160" s="19">
        <v>2.7590233078727325E-2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</row>
    <row r="161" spans="1:12">
      <c r="A161" s="1" t="s">
        <v>17</v>
      </c>
      <c r="B161">
        <v>64</v>
      </c>
      <c r="C161" s="19">
        <v>0</v>
      </c>
      <c r="D161" s="19">
        <v>0</v>
      </c>
      <c r="E161" s="19">
        <v>0</v>
      </c>
      <c r="F161" s="19">
        <v>0.41710815896383924</v>
      </c>
      <c r="G161" s="19">
        <v>0.17186274933802831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</row>
    <row r="162" spans="1:12">
      <c r="A162" s="1" t="s">
        <v>17</v>
      </c>
      <c r="B162">
        <v>65</v>
      </c>
      <c r="C162" s="19">
        <v>0</v>
      </c>
      <c r="D162" s="19">
        <v>0</v>
      </c>
      <c r="E162" s="19">
        <v>0</v>
      </c>
      <c r="F162" s="19">
        <v>2.4107577932996921E-2</v>
      </c>
      <c r="G162" s="19">
        <v>7.7151071868498275E-2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</row>
    <row r="163" spans="1:12">
      <c r="A163" s="1" t="s">
        <v>17</v>
      </c>
      <c r="B163">
        <v>66</v>
      </c>
      <c r="C163" s="19">
        <v>0</v>
      </c>
      <c r="D163" s="19">
        <v>0</v>
      </c>
      <c r="E163" s="19">
        <v>0</v>
      </c>
      <c r="F163" s="19">
        <v>0</v>
      </c>
      <c r="G163" s="19">
        <v>2.0936577152386435E-2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</row>
    <row r="164" spans="1:12">
      <c r="A164" s="1" t="s">
        <v>17</v>
      </c>
      <c r="B164">
        <v>67</v>
      </c>
      <c r="C164" s="19">
        <v>0</v>
      </c>
      <c r="D164" s="19">
        <v>0</v>
      </c>
      <c r="E164" s="19">
        <v>0</v>
      </c>
      <c r="F164" s="19">
        <v>4.9858514289328358E-3</v>
      </c>
      <c r="G164" s="19">
        <v>8.8312174135419405E-2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</row>
    <row r="165" spans="1:12">
      <c r="A165" s="1" t="s">
        <v>17</v>
      </c>
      <c r="B165">
        <v>68</v>
      </c>
      <c r="C165" s="19">
        <v>0</v>
      </c>
      <c r="D165" s="19">
        <v>0</v>
      </c>
      <c r="E165" s="19">
        <v>1.3625767585950478E-2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</row>
    <row r="166" spans="1:12">
      <c r="A166" s="1" t="s">
        <v>17</v>
      </c>
      <c r="B166">
        <v>69</v>
      </c>
      <c r="C166" s="19">
        <v>0</v>
      </c>
      <c r="D166" s="19">
        <v>0</v>
      </c>
      <c r="E166" s="19">
        <v>1.0699726858730905E-3</v>
      </c>
      <c r="F166" s="19">
        <v>1.6097929141685785E-4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</row>
    <row r="167" spans="1:12">
      <c r="A167" s="1" t="s">
        <v>17</v>
      </c>
      <c r="B167">
        <v>70</v>
      </c>
      <c r="C167" s="19">
        <v>0</v>
      </c>
      <c r="D167" s="19">
        <v>0</v>
      </c>
      <c r="E167" s="19">
        <v>0</v>
      </c>
      <c r="F167" s="19">
        <v>0.11940977592694813</v>
      </c>
      <c r="G167" s="19">
        <v>0.21211698123687978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</row>
    <row r="168" spans="1:12">
      <c r="A168" s="1" t="s">
        <v>17</v>
      </c>
      <c r="B168">
        <v>71</v>
      </c>
      <c r="C168" s="19">
        <v>0</v>
      </c>
      <c r="D168" s="19">
        <v>0</v>
      </c>
      <c r="E168" s="19">
        <v>0.33714075699499463</v>
      </c>
      <c r="F168" s="19">
        <v>8.4221095612143651E-2</v>
      </c>
      <c r="G168" s="19">
        <v>8.2146154247123432E-3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</row>
    <row r="169" spans="1:12">
      <c r="A169" s="1" t="s">
        <v>17</v>
      </c>
      <c r="B169">
        <v>72</v>
      </c>
      <c r="C169" s="19">
        <v>0</v>
      </c>
      <c r="D169" s="19">
        <v>0</v>
      </c>
      <c r="E169" s="19">
        <v>0</v>
      </c>
      <c r="F169" s="19">
        <v>0</v>
      </c>
      <c r="G169" s="19">
        <v>2.161950239555669E-2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</row>
    <row r="170" spans="1:12">
      <c r="A170" s="1" t="s">
        <v>17</v>
      </c>
      <c r="B170">
        <v>73</v>
      </c>
      <c r="C170" s="19">
        <v>0</v>
      </c>
      <c r="D170" s="19">
        <v>0</v>
      </c>
      <c r="E170" s="19">
        <v>0</v>
      </c>
      <c r="F170" s="19">
        <v>0</v>
      </c>
      <c r="G170" s="19">
        <v>4.7709037303206589E-3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</row>
    <row r="171" spans="1:12">
      <c r="A171" s="1" t="s">
        <v>17</v>
      </c>
      <c r="B171">
        <v>74</v>
      </c>
      <c r="C171" s="19">
        <v>0</v>
      </c>
      <c r="D171" s="19">
        <v>0</v>
      </c>
      <c r="E171" s="19">
        <v>0</v>
      </c>
      <c r="F171" s="19">
        <v>4.8192897374680519E-3</v>
      </c>
      <c r="G171" s="19">
        <v>0.30391823303552312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</row>
    <row r="172" spans="1:12">
      <c r="A172" s="1" t="s">
        <v>19</v>
      </c>
      <c r="B172">
        <v>1</v>
      </c>
      <c r="C172" s="19">
        <v>0</v>
      </c>
      <c r="D172" s="19">
        <v>2.1751211557156834E-2</v>
      </c>
      <c r="E172" s="19">
        <v>2.2507365472376757E-2</v>
      </c>
      <c r="F172" s="19">
        <v>2.4200429587042455E-2</v>
      </c>
      <c r="G172" s="19">
        <v>4.4852700955374372E-2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</row>
    <row r="173" spans="1:12">
      <c r="A173" s="1" t="s">
        <v>19</v>
      </c>
      <c r="B173">
        <v>2</v>
      </c>
      <c r="C173" s="19">
        <v>0</v>
      </c>
      <c r="D173" s="19">
        <v>5.0194681411157649E-3</v>
      </c>
      <c r="E173" s="19">
        <v>1.1907551936268381E-2</v>
      </c>
      <c r="F173" s="19">
        <v>2.5483131465638329E-2</v>
      </c>
      <c r="G173" s="19">
        <v>3.9842226650086521E-2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</row>
    <row r="174" spans="1:12">
      <c r="A174" s="1" t="s">
        <v>19</v>
      </c>
      <c r="B174">
        <v>3</v>
      </c>
      <c r="C174" s="19">
        <v>0</v>
      </c>
      <c r="D174" s="19">
        <v>0</v>
      </c>
      <c r="E174" s="19">
        <v>3.4578511189221825E-2</v>
      </c>
      <c r="F174" s="19">
        <v>6.9394002912242223E-2</v>
      </c>
      <c r="G174" s="19">
        <v>0.16127886088209084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</row>
    <row r="175" spans="1:12">
      <c r="A175" s="1" t="s">
        <v>19</v>
      </c>
      <c r="B175">
        <v>4</v>
      </c>
      <c r="C175" s="19">
        <v>0.77066173553119732</v>
      </c>
      <c r="D175" s="19">
        <v>0.15355338615265771</v>
      </c>
      <c r="E175" s="19">
        <v>0.13550742635265658</v>
      </c>
      <c r="F175" s="19">
        <v>5.1141630717677668E-2</v>
      </c>
      <c r="G175" s="19">
        <v>1.2883222614841575E-2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</row>
    <row r="176" spans="1:12">
      <c r="A176" s="1" t="s">
        <v>19</v>
      </c>
      <c r="B176">
        <v>5</v>
      </c>
      <c r="C176" s="19">
        <v>0</v>
      </c>
      <c r="D176" s="19">
        <v>0.1854381763829816</v>
      </c>
      <c r="E176" s="19">
        <v>0.15005820419152452</v>
      </c>
      <c r="F176" s="19">
        <v>0.15663217800191817</v>
      </c>
      <c r="G176" s="19">
        <v>0.14648701269468012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</row>
    <row r="177" spans="1:12">
      <c r="A177" s="1" t="s">
        <v>19</v>
      </c>
      <c r="B177">
        <v>6</v>
      </c>
      <c r="C177" s="19">
        <v>0</v>
      </c>
      <c r="D177" s="19">
        <v>1.1930428145840346E-3</v>
      </c>
      <c r="E177" s="19">
        <v>6.5396703818739344E-4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</row>
    <row r="178" spans="1:12">
      <c r="A178" s="1" t="s">
        <v>19</v>
      </c>
      <c r="B178">
        <v>7</v>
      </c>
      <c r="C178" s="19">
        <v>0</v>
      </c>
      <c r="D178" s="19">
        <v>1.3610874190317097E-2</v>
      </c>
      <c r="E178" s="19">
        <v>8.2290861931796615E-3</v>
      </c>
      <c r="F178" s="19">
        <v>2.2159429501388268E-3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</row>
    <row r="179" spans="1:12">
      <c r="A179" s="1" t="s">
        <v>19</v>
      </c>
      <c r="B179">
        <v>8</v>
      </c>
      <c r="C179" s="19">
        <v>0</v>
      </c>
      <c r="D179" s="19">
        <v>1.0039019219484666E-2</v>
      </c>
      <c r="E179" s="19">
        <v>1.6049441723788468E-2</v>
      </c>
      <c r="F179" s="19">
        <v>1.5103399489622422E-2</v>
      </c>
      <c r="G179" s="19">
        <v>5.4872981054239767E-3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</row>
    <row r="180" spans="1:12">
      <c r="A180" s="1" t="s">
        <v>19</v>
      </c>
      <c r="B180">
        <v>9</v>
      </c>
      <c r="C180" s="19">
        <v>0</v>
      </c>
      <c r="D180" s="19">
        <v>0.1120514672118943</v>
      </c>
      <c r="E180" s="19">
        <v>5.6840641718452906E-2</v>
      </c>
      <c r="F180" s="19">
        <v>1.2595886242894386E-2</v>
      </c>
      <c r="G180" s="19">
        <v>7.8730804868476292E-3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</row>
    <row r="181" spans="1:12">
      <c r="A181" s="1" t="s">
        <v>19</v>
      </c>
      <c r="B181">
        <v>10</v>
      </c>
      <c r="C181" s="19">
        <v>0</v>
      </c>
      <c r="D181" s="19">
        <v>2.7118529796074292E-2</v>
      </c>
      <c r="E181" s="19">
        <v>4.2698605588149509E-2</v>
      </c>
      <c r="F181" s="19">
        <v>5.0966687853193027E-2</v>
      </c>
      <c r="G181" s="19">
        <v>3.4832416699386477E-2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</row>
    <row r="182" spans="1:12">
      <c r="A182" s="1" t="s">
        <v>19</v>
      </c>
      <c r="B182">
        <v>12</v>
      </c>
      <c r="C182" s="19">
        <v>0</v>
      </c>
      <c r="D182" s="19">
        <v>9.9080762411608136E-3</v>
      </c>
      <c r="E182" s="19">
        <v>1.084495465193876E-2</v>
      </c>
      <c r="F182" s="19">
        <v>1.5278343498325598E-2</v>
      </c>
      <c r="G182" s="19">
        <v>2.0756303101689202E-2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</row>
    <row r="183" spans="1:12">
      <c r="A183" s="1" t="s">
        <v>19</v>
      </c>
      <c r="B183">
        <v>13</v>
      </c>
      <c r="C183" s="19">
        <v>0</v>
      </c>
      <c r="D183" s="19">
        <v>2.158389295706618E-2</v>
      </c>
      <c r="E183" s="19">
        <v>3.5968191307937596E-2</v>
      </c>
      <c r="F183" s="19">
        <v>4.0236858831468179E-2</v>
      </c>
      <c r="G183" s="19">
        <v>1.4076113597697277E-2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</row>
    <row r="184" spans="1:12">
      <c r="A184" s="1" t="s">
        <v>19</v>
      </c>
      <c r="B184">
        <v>14</v>
      </c>
      <c r="C184" s="19">
        <v>0</v>
      </c>
      <c r="D184" s="19">
        <v>4.5830312969279655E-2</v>
      </c>
      <c r="E184" s="19">
        <v>8.2100121523345448E-2</v>
      </c>
      <c r="F184" s="19">
        <v>0.113421290474211</v>
      </c>
      <c r="G184" s="19">
        <v>9.3045496662744698E-2</v>
      </c>
      <c r="H184" s="19">
        <v>0</v>
      </c>
      <c r="I184" s="19">
        <v>0</v>
      </c>
      <c r="J184" s="19">
        <v>0</v>
      </c>
      <c r="K184" s="19">
        <v>0</v>
      </c>
      <c r="L184" s="20">
        <v>0.99461136770968106</v>
      </c>
    </row>
    <row r="185" spans="1:12">
      <c r="A185" s="1" t="s">
        <v>19</v>
      </c>
      <c r="B185">
        <v>15</v>
      </c>
      <c r="C185" s="19">
        <v>0.22933826446880259</v>
      </c>
      <c r="D185" s="19">
        <v>1.8339398093954781E-2</v>
      </c>
      <c r="E185" s="19">
        <v>2.2561865456797218E-2</v>
      </c>
      <c r="F185" s="19">
        <v>2.4433686739688647E-2</v>
      </c>
      <c r="G185" s="19">
        <v>2.6720758015967707E-2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</row>
    <row r="186" spans="1:12">
      <c r="A186" s="1" t="s">
        <v>19</v>
      </c>
      <c r="B186">
        <v>16</v>
      </c>
      <c r="C186" s="19">
        <v>0</v>
      </c>
      <c r="D186" s="19">
        <v>0.15911097451922887</v>
      </c>
      <c r="E186" s="19">
        <v>0.12748709054978036</v>
      </c>
      <c r="F186" s="19">
        <v>9.3127918193992285E-2</v>
      </c>
      <c r="G186" s="19">
        <v>5.7735923570215945E-2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</row>
    <row r="187" spans="1:12">
      <c r="A187" s="1" t="s">
        <v>19</v>
      </c>
      <c r="B187">
        <v>17</v>
      </c>
      <c r="C187" s="19">
        <v>0</v>
      </c>
      <c r="D187" s="19">
        <v>2.6281521412982716E-3</v>
      </c>
      <c r="E187" s="19">
        <v>1.264336421733564E-2</v>
      </c>
      <c r="F187" s="19">
        <v>1.5861486379941076E-2</v>
      </c>
      <c r="G187" s="19">
        <v>1.5746160973695258E-2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</row>
    <row r="188" spans="1:12">
      <c r="A188" s="1" t="s">
        <v>19</v>
      </c>
      <c r="B188">
        <v>18</v>
      </c>
      <c r="C188" s="19">
        <v>0</v>
      </c>
      <c r="D188" s="19">
        <v>5.2015365268521373E-2</v>
      </c>
      <c r="E188" s="19">
        <v>4.7619889063858965E-2</v>
      </c>
      <c r="F188" s="19">
        <v>6.2337970486505682E-2</v>
      </c>
      <c r="G188" s="19">
        <v>4.7715636590667077E-2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</row>
    <row r="189" spans="1:12">
      <c r="A189" s="1" t="s">
        <v>19</v>
      </c>
      <c r="B189">
        <v>19</v>
      </c>
      <c r="C189" s="19">
        <v>0</v>
      </c>
      <c r="D189" s="19">
        <v>5.5687247629331756E-2</v>
      </c>
      <c r="E189" s="19">
        <v>2.3760713920817807E-2</v>
      </c>
      <c r="F189" s="19">
        <v>1.3295606642848262E-2</v>
      </c>
      <c r="G189" s="19">
        <v>7.6344729722607942E-3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</row>
    <row r="190" spans="1:12">
      <c r="A190" s="1" t="s">
        <v>19</v>
      </c>
      <c r="B190">
        <v>20</v>
      </c>
      <c r="C190" s="19">
        <v>0</v>
      </c>
      <c r="D190" s="19">
        <v>1.7241389698023153E-3</v>
      </c>
      <c r="E190" s="19">
        <v>2.4484670445064651E-3</v>
      </c>
      <c r="F190" s="19">
        <v>4.0196638871963465E-3</v>
      </c>
      <c r="G190" s="19">
        <v>7.0346969912613716E-3</v>
      </c>
      <c r="H190" s="19">
        <v>0</v>
      </c>
      <c r="I190" s="19">
        <v>0</v>
      </c>
      <c r="J190" s="19">
        <v>0</v>
      </c>
      <c r="K190" s="19">
        <v>0</v>
      </c>
      <c r="L190" s="19">
        <v>5.3886322903190058E-3</v>
      </c>
    </row>
    <row r="191" spans="1:12">
      <c r="A191" s="1" t="s">
        <v>19</v>
      </c>
      <c r="B191">
        <v>21</v>
      </c>
      <c r="C191" s="19">
        <v>0</v>
      </c>
      <c r="D191" s="19">
        <v>2.1616890201238134E-2</v>
      </c>
      <c r="E191" s="19">
        <v>1.2604305231047903E-2</v>
      </c>
      <c r="F191" s="19">
        <v>3.1425421618400319E-2</v>
      </c>
      <c r="G191" s="19">
        <v>4.5988207949700467E-2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</row>
    <row r="192" spans="1:12">
      <c r="A192" s="1" t="s">
        <v>19</v>
      </c>
      <c r="B192">
        <v>41</v>
      </c>
      <c r="C192" s="19">
        <v>0</v>
      </c>
      <c r="D192" s="19">
        <v>0</v>
      </c>
      <c r="E192" s="19">
        <v>2.8937631743403441E-2</v>
      </c>
      <c r="F192" s="19">
        <v>5.5456096411747056E-2</v>
      </c>
      <c r="G192" s="19">
        <v>9.7815664285950815E-2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</row>
    <row r="193" spans="1:12">
      <c r="A193" s="1" t="s">
        <v>19</v>
      </c>
      <c r="B193">
        <v>42</v>
      </c>
      <c r="C193" s="19">
        <v>0</v>
      </c>
      <c r="D193" s="19">
        <v>2.1745534113494216E-3</v>
      </c>
      <c r="E193" s="19">
        <v>2.1335625842456973E-2</v>
      </c>
      <c r="F193" s="19">
        <v>4.0703274797818094E-2</v>
      </c>
      <c r="G193" s="19">
        <v>3.650237588579628E-2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</row>
    <row r="194" spans="1:12">
      <c r="A194" s="1" t="s">
        <v>19</v>
      </c>
      <c r="B194">
        <v>44</v>
      </c>
      <c r="C194" s="19">
        <v>0</v>
      </c>
      <c r="D194" s="19">
        <v>6.5420926347970434E-2</v>
      </c>
      <c r="E194" s="19">
        <v>6.1581886707188636E-2</v>
      </c>
      <c r="F194" s="19">
        <v>4.57183875772482E-2</v>
      </c>
      <c r="G194" s="19">
        <v>9.0659686257987381E-3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</row>
    <row r="195" spans="1:12">
      <c r="A195" s="1" t="s">
        <v>19</v>
      </c>
      <c r="B195">
        <v>45</v>
      </c>
      <c r="C195" s="19">
        <v>0</v>
      </c>
      <c r="D195" s="19">
        <v>2.4804898072178574E-4</v>
      </c>
      <c r="E195" s="19">
        <v>3.3390101936845416E-4</v>
      </c>
      <c r="F195" s="19">
        <v>1.739835733047575E-3</v>
      </c>
      <c r="G195" s="19">
        <v>1.5253069111979278E-3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</row>
    <row r="196" spans="1:12">
      <c r="A196" s="1" t="s">
        <v>19</v>
      </c>
      <c r="B196">
        <v>46</v>
      </c>
      <c r="C196" s="19">
        <v>0</v>
      </c>
      <c r="D196" s="19">
        <v>1.3936846802810116E-2</v>
      </c>
      <c r="E196" s="19">
        <v>1.285137526214011E-2</v>
      </c>
      <c r="F196" s="19">
        <v>8.6844434737637245E-3</v>
      </c>
      <c r="G196" s="19">
        <v>6.2080864882634781E-3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</row>
    <row r="197" spans="1:12">
      <c r="A197" s="1" t="s">
        <v>19</v>
      </c>
      <c r="B197">
        <v>60</v>
      </c>
      <c r="C197" s="19">
        <v>0</v>
      </c>
      <c r="D197" s="19">
        <v>0</v>
      </c>
      <c r="E197" s="19">
        <v>7.2186479998900526E-3</v>
      </c>
      <c r="F197" s="19">
        <v>1.1370476098659031E-2</v>
      </c>
      <c r="G197" s="19">
        <v>2.0708018106815322E-2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</row>
    <row r="198" spans="1:12">
      <c r="A198" s="1" t="s">
        <v>19</v>
      </c>
      <c r="B198">
        <v>61</v>
      </c>
      <c r="C198" s="19">
        <v>0</v>
      </c>
      <c r="D198" s="19">
        <v>0</v>
      </c>
      <c r="E198" s="19">
        <v>1.0671167054380109E-2</v>
      </c>
      <c r="F198" s="19">
        <v>1.5155949934771314E-2</v>
      </c>
      <c r="G198" s="19">
        <v>3.8183990181545953E-2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</row>
    <row r="199" spans="1:12">
      <c r="A199" s="1" t="s">
        <v>20</v>
      </c>
      <c r="B199">
        <v>213</v>
      </c>
      <c r="C199" s="19">
        <v>0.14069502582659382</v>
      </c>
      <c r="D199" s="19">
        <v>0.3135611512682735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</row>
    <row r="200" spans="1:12">
      <c r="A200" s="1" t="s">
        <v>20</v>
      </c>
      <c r="B200">
        <v>221</v>
      </c>
      <c r="C200" s="19">
        <v>0.69910989271024437</v>
      </c>
      <c r="D200" s="19">
        <v>7.2099239934406839E-2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</row>
    <row r="201" spans="1:12">
      <c r="A201" s="1" t="s">
        <v>20</v>
      </c>
      <c r="B201">
        <v>222</v>
      </c>
      <c r="C201" s="19">
        <v>9.6877278953810944E-2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</row>
    <row r="202" spans="1:12">
      <c r="A202" s="1" t="s">
        <v>20</v>
      </c>
      <c r="B202">
        <v>224</v>
      </c>
      <c r="C202" s="19">
        <v>6.3317802509350846E-2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</row>
    <row r="203" spans="1:12">
      <c r="A203" s="1" t="s">
        <v>20</v>
      </c>
      <c r="B203">
        <v>227</v>
      </c>
      <c r="C203" s="19">
        <v>0</v>
      </c>
      <c r="D203" s="19">
        <v>0.51913256321447832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</row>
    <row r="204" spans="1:12">
      <c r="A204" s="1" t="s">
        <v>20</v>
      </c>
      <c r="B204">
        <v>228</v>
      </c>
      <c r="C204" s="19">
        <v>0</v>
      </c>
      <c r="D204" s="19">
        <v>8.8687354788871617E-2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</row>
    <row r="205" spans="1:12">
      <c r="A205" s="1" t="s">
        <v>20</v>
      </c>
      <c r="B205">
        <v>321</v>
      </c>
      <c r="C205" s="19">
        <v>0</v>
      </c>
      <c r="D205" s="19">
        <v>6.5196907939698663E-3</v>
      </c>
      <c r="E205" s="20">
        <v>1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</row>
    <row r="206" spans="1:12">
      <c r="A206" s="1" t="s">
        <v>21</v>
      </c>
      <c r="B206">
        <v>242</v>
      </c>
      <c r="C206" s="19">
        <v>1.0264831663188461E-2</v>
      </c>
      <c r="D206" s="19">
        <v>1.3993580243656248E-3</v>
      </c>
      <c r="E206" s="19">
        <v>1.505802820937112E-4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</row>
    <row r="207" spans="1:12">
      <c r="A207" s="1" t="s">
        <v>21</v>
      </c>
      <c r="B207">
        <v>243</v>
      </c>
      <c r="C207" s="19">
        <v>0</v>
      </c>
      <c r="D207" s="19">
        <v>9.5339957932475447E-2</v>
      </c>
      <c r="E207" s="19">
        <v>7.035719747678329E-2</v>
      </c>
      <c r="F207" s="19">
        <v>5.1025655925400898E-2</v>
      </c>
      <c r="G207" s="19">
        <v>1.524138766030716E-2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</row>
    <row r="208" spans="1:12">
      <c r="A208" s="1" t="s">
        <v>21</v>
      </c>
      <c r="B208">
        <v>244</v>
      </c>
      <c r="C208" s="19">
        <v>0</v>
      </c>
      <c r="D208" s="19">
        <v>2.0588356850462758E-2</v>
      </c>
      <c r="E208" s="19">
        <v>1.640883498880134E-2</v>
      </c>
      <c r="F208" s="19">
        <v>2.7091216049991124E-2</v>
      </c>
      <c r="G208" s="19">
        <v>3.677965646527661E-2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</row>
    <row r="209" spans="1:12">
      <c r="A209" s="1" t="s">
        <v>21</v>
      </c>
      <c r="B209">
        <v>247</v>
      </c>
      <c r="C209" s="19">
        <v>0</v>
      </c>
      <c r="D209" s="19">
        <v>1.5054338954087131E-3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</row>
    <row r="210" spans="1:12">
      <c r="A210" s="1" t="s">
        <v>21</v>
      </c>
      <c r="B210">
        <v>248</v>
      </c>
      <c r="C210" s="19">
        <v>0</v>
      </c>
      <c r="D210" s="19">
        <v>4.3078768725104882E-2</v>
      </c>
      <c r="E210" s="19">
        <v>2.366300708409803E-2</v>
      </c>
      <c r="F210" s="19">
        <v>1.6313592928186099E-2</v>
      </c>
      <c r="G210" s="19">
        <v>6.0973447244700779E-3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</row>
    <row r="211" spans="1:12">
      <c r="A211" s="1" t="s">
        <v>21</v>
      </c>
      <c r="B211">
        <v>249</v>
      </c>
      <c r="C211" s="19">
        <v>0</v>
      </c>
      <c r="D211" s="19">
        <v>0.13039376045545206</v>
      </c>
      <c r="E211" s="19">
        <v>8.0640680375185694E-2</v>
      </c>
      <c r="F211" s="19">
        <v>9.0770102482933823E-2</v>
      </c>
      <c r="G211" s="19">
        <v>0.16462757890082164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</row>
    <row r="212" spans="1:12">
      <c r="A212" s="1" t="s">
        <v>21</v>
      </c>
      <c r="B212">
        <v>250</v>
      </c>
      <c r="C212" s="19">
        <v>0.50048504585444464</v>
      </c>
      <c r="D212" s="19">
        <v>0.42591786920011365</v>
      </c>
      <c r="E212" s="19">
        <v>0.49940685540758739</v>
      </c>
      <c r="F212" s="19">
        <v>0.5738956326613539</v>
      </c>
      <c r="G212" s="19">
        <v>0.6142987030487892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</row>
    <row r="213" spans="1:12">
      <c r="A213" s="1" t="s">
        <v>21</v>
      </c>
      <c r="B213">
        <v>252</v>
      </c>
      <c r="C213" s="19">
        <v>0</v>
      </c>
      <c r="D213" s="19">
        <v>5.9568527388855382E-2</v>
      </c>
      <c r="E213" s="19">
        <v>7.3797056924740359E-3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</row>
    <row r="214" spans="1:12">
      <c r="A214" s="1" t="s">
        <v>21</v>
      </c>
      <c r="B214">
        <v>253</v>
      </c>
      <c r="C214" s="19">
        <v>0.12347786816228312</v>
      </c>
      <c r="D214" s="19">
        <v>2.9094851773389285E-2</v>
      </c>
      <c r="E214" s="19">
        <v>2.5131216469752009E-2</v>
      </c>
      <c r="F214" s="19">
        <v>7.0440978695648585E-3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</row>
    <row r="215" spans="1:12">
      <c r="A215" s="1" t="s">
        <v>21</v>
      </c>
      <c r="B215">
        <v>300</v>
      </c>
      <c r="C215" s="19">
        <v>1.5594311831651766E-2</v>
      </c>
      <c r="D215" s="19">
        <v>9.7636121355222857E-3</v>
      </c>
      <c r="E215" s="19">
        <v>1.8088528874902716E-2</v>
      </c>
      <c r="F215" s="19">
        <v>2.8566032276892969E-2</v>
      </c>
      <c r="G215" s="19">
        <v>5.1679373811800593E-2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</row>
    <row r="216" spans="1:12">
      <c r="A216" s="1" t="s">
        <v>21</v>
      </c>
      <c r="B216">
        <v>301</v>
      </c>
      <c r="C216" s="19">
        <v>2.6990436495695956E-2</v>
      </c>
      <c r="D216" s="19">
        <v>1.0143725674966513E-2</v>
      </c>
      <c r="E216" s="19">
        <v>9.6904195963762214E-3</v>
      </c>
      <c r="F216" s="19">
        <v>1.6642601183889081E-2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</row>
    <row r="217" spans="1:12">
      <c r="A217" s="1" t="s">
        <v>21</v>
      </c>
      <c r="B217">
        <v>308</v>
      </c>
      <c r="C217" s="19">
        <v>0.32318750599273605</v>
      </c>
      <c r="D217" s="19">
        <v>0.17242992393136691</v>
      </c>
      <c r="E217" s="19">
        <v>0.24908297375194546</v>
      </c>
      <c r="F217" s="19">
        <v>0.18865106862178727</v>
      </c>
      <c r="G217" s="19">
        <v>0.11127595538853467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</row>
    <row r="218" spans="1:12">
      <c r="A218" s="1" t="s">
        <v>22</v>
      </c>
      <c r="B218">
        <v>73</v>
      </c>
      <c r="C218" s="19">
        <v>0</v>
      </c>
      <c r="D218" s="19">
        <v>0</v>
      </c>
      <c r="E218" s="19">
        <v>0</v>
      </c>
      <c r="F218" s="19">
        <v>0</v>
      </c>
      <c r="G218" s="19">
        <v>7.8232194022266708E-4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</row>
    <row r="219" spans="1:12">
      <c r="A219" s="1" t="s">
        <v>22</v>
      </c>
      <c r="B219">
        <v>74</v>
      </c>
      <c r="C219" s="19">
        <v>0</v>
      </c>
      <c r="D219" s="19">
        <v>0</v>
      </c>
      <c r="E219" s="19">
        <v>0</v>
      </c>
      <c r="F219" s="19">
        <v>0.12794216960396718</v>
      </c>
      <c r="G219" s="19">
        <v>0.7763110442254465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</row>
    <row r="220" spans="1:12">
      <c r="A220" s="1" t="s">
        <v>22</v>
      </c>
      <c r="B220">
        <v>75</v>
      </c>
      <c r="C220" s="19">
        <v>0</v>
      </c>
      <c r="D220" s="19">
        <v>0</v>
      </c>
      <c r="E220" s="19">
        <v>5.9061145717324424E-2</v>
      </c>
      <c r="F220" s="19">
        <v>2.7077003932502598E-2</v>
      </c>
      <c r="G220" s="19">
        <v>1.247776518734145E-3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</row>
    <row r="221" spans="1:12">
      <c r="A221" s="1" t="s">
        <v>22</v>
      </c>
      <c r="B221">
        <v>76</v>
      </c>
      <c r="C221" s="19">
        <v>0</v>
      </c>
      <c r="D221" s="19">
        <v>0</v>
      </c>
      <c r="E221" s="19">
        <v>0</v>
      </c>
      <c r="F221" s="19">
        <v>1.3154855281270049E-3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</row>
    <row r="222" spans="1:12">
      <c r="A222" s="1" t="s">
        <v>22</v>
      </c>
      <c r="B222">
        <v>77</v>
      </c>
      <c r="C222" s="19">
        <v>0</v>
      </c>
      <c r="D222" s="19">
        <v>0</v>
      </c>
      <c r="E222" s="19">
        <v>0.14504397926175483</v>
      </c>
      <c r="F222" s="19">
        <v>3.1023473276379922E-2</v>
      </c>
      <c r="G222" s="19">
        <v>4.9092883709967242E-4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</row>
    <row r="223" spans="1:12">
      <c r="A223" s="1" t="s">
        <v>22</v>
      </c>
      <c r="B223">
        <v>78</v>
      </c>
      <c r="C223" s="19">
        <v>0</v>
      </c>
      <c r="D223" s="19">
        <v>0</v>
      </c>
      <c r="E223" s="19">
        <v>0</v>
      </c>
      <c r="F223" s="19">
        <v>2.9731245840155809E-3</v>
      </c>
      <c r="G223" s="19">
        <v>1.7238757358558746E-2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</row>
    <row r="224" spans="1:12">
      <c r="A224" s="1" t="s">
        <v>22</v>
      </c>
      <c r="B224">
        <v>79</v>
      </c>
      <c r="C224" s="19">
        <v>0</v>
      </c>
      <c r="D224" s="19">
        <v>0</v>
      </c>
      <c r="E224" s="19">
        <v>0</v>
      </c>
      <c r="F224" s="19">
        <v>0.1924994068435455</v>
      </c>
      <c r="G224" s="19">
        <v>1.5955222136762461E-2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</row>
    <row r="225" spans="1:12">
      <c r="A225" s="1" t="s">
        <v>22</v>
      </c>
      <c r="B225">
        <v>80</v>
      </c>
      <c r="C225" s="19">
        <v>0</v>
      </c>
      <c r="D225" s="19">
        <v>0</v>
      </c>
      <c r="E225" s="19">
        <v>0</v>
      </c>
      <c r="F225" s="19">
        <v>0</v>
      </c>
      <c r="G225" s="19">
        <v>9.7367765860242698E-3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</row>
    <row r="226" spans="1:12">
      <c r="A226" s="1" t="s">
        <v>22</v>
      </c>
      <c r="B226">
        <v>81</v>
      </c>
      <c r="C226" s="19">
        <v>0</v>
      </c>
      <c r="D226" s="19">
        <v>0</v>
      </c>
      <c r="E226" s="19">
        <v>0.19387108979494919</v>
      </c>
      <c r="F226" s="19">
        <v>0.10296910646066593</v>
      </c>
      <c r="G226" s="19">
        <v>1.1209566321725421E-2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</row>
    <row r="227" spans="1:12">
      <c r="A227" s="1" t="s">
        <v>22</v>
      </c>
      <c r="B227">
        <v>82</v>
      </c>
      <c r="C227" s="19">
        <v>0</v>
      </c>
      <c r="D227" s="19">
        <v>0</v>
      </c>
      <c r="E227" s="19">
        <v>0</v>
      </c>
      <c r="F227" s="19">
        <v>0</v>
      </c>
      <c r="G227" s="19">
        <v>2.6592036894604104E-3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</row>
    <row r="228" spans="1:12">
      <c r="A228" s="1" t="s">
        <v>22</v>
      </c>
      <c r="B228">
        <v>83</v>
      </c>
      <c r="C228" s="19">
        <v>0</v>
      </c>
      <c r="D228" s="19">
        <v>0</v>
      </c>
      <c r="E228" s="19">
        <v>0</v>
      </c>
      <c r="F228" s="19">
        <v>0</v>
      </c>
      <c r="G228" s="19">
        <v>9.6140441080491755E-4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</row>
    <row r="229" spans="1:12">
      <c r="A229" s="1" t="s">
        <v>22</v>
      </c>
      <c r="B229">
        <v>84</v>
      </c>
      <c r="C229" s="19">
        <v>0</v>
      </c>
      <c r="D229" s="19">
        <v>0</v>
      </c>
      <c r="E229" s="19">
        <v>0.42172945706012399</v>
      </c>
      <c r="F229" s="19">
        <v>5.0536581242705429E-2</v>
      </c>
      <c r="G229" s="19">
        <v>1.7387101046471914E-3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</row>
    <row r="230" spans="1:12">
      <c r="A230" s="1" t="s">
        <v>22</v>
      </c>
      <c r="B230">
        <v>85</v>
      </c>
      <c r="C230" s="19">
        <v>0</v>
      </c>
      <c r="D230" s="19">
        <v>5.6238273764549478E-2</v>
      </c>
      <c r="E230" s="19">
        <v>0.17837955200233011</v>
      </c>
      <c r="F230" s="19">
        <v>1.9622472421289314E-2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</row>
    <row r="231" spans="1:12">
      <c r="A231" s="1" t="s">
        <v>22</v>
      </c>
      <c r="B231">
        <v>86</v>
      </c>
      <c r="C231" s="19">
        <v>0</v>
      </c>
      <c r="D231" s="20">
        <v>0.93415108659979895</v>
      </c>
      <c r="E231" s="19">
        <v>1.9147761635174199E-3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</row>
    <row r="232" spans="1:12">
      <c r="A232" s="1" t="s">
        <v>22</v>
      </c>
      <c r="B232">
        <v>87</v>
      </c>
      <c r="C232" s="19">
        <v>0</v>
      </c>
      <c r="D232" s="19">
        <v>0</v>
      </c>
      <c r="E232" s="19">
        <v>0</v>
      </c>
      <c r="F232" s="19">
        <v>0.13488562045486638</v>
      </c>
      <c r="G232" s="19">
        <v>1.109774625629302E-2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</row>
    <row r="233" spans="1:12">
      <c r="A233" s="1" t="s">
        <v>22</v>
      </c>
      <c r="B233">
        <v>95</v>
      </c>
      <c r="C233" s="19">
        <v>0</v>
      </c>
      <c r="D233" s="19">
        <v>0</v>
      </c>
      <c r="E233" s="19">
        <v>0</v>
      </c>
      <c r="F233" s="19">
        <v>0.12640543818516467</v>
      </c>
      <c r="G233" s="19">
        <v>0.15055008637807046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</row>
    <row r="234" spans="1:12">
      <c r="A234" s="1" t="s">
        <v>22</v>
      </c>
      <c r="B234">
        <v>105</v>
      </c>
      <c r="C234" s="19">
        <v>0</v>
      </c>
      <c r="D234" s="19">
        <v>0</v>
      </c>
      <c r="E234" s="19">
        <v>0</v>
      </c>
      <c r="F234" s="19">
        <v>0.12169017954317073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</row>
    <row r="235" spans="1:12">
      <c r="A235" s="1" t="s">
        <v>22</v>
      </c>
      <c r="B235">
        <v>114</v>
      </c>
      <c r="C235" s="19">
        <v>0</v>
      </c>
      <c r="D235" s="19">
        <v>9.6106396356515494E-3</v>
      </c>
      <c r="E235" s="19">
        <v>0</v>
      </c>
      <c r="F235" s="19">
        <v>6.1059937923599823E-2</v>
      </c>
      <c r="G235" s="19">
        <v>2.0455236150335421E-5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</row>
    <row r="236" spans="1:12">
      <c r="A236" s="1" t="s">
        <v>23</v>
      </c>
      <c r="B236">
        <v>40</v>
      </c>
      <c r="C236" s="20">
        <v>1</v>
      </c>
      <c r="D236" s="20">
        <v>1</v>
      </c>
      <c r="E236" s="20">
        <v>1</v>
      </c>
      <c r="F236" s="20">
        <v>1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</row>
    <row r="237" spans="1:12">
      <c r="A237" s="1" t="s">
        <v>24</v>
      </c>
      <c r="B237">
        <v>275</v>
      </c>
      <c r="C237" s="19">
        <v>0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20">
        <v>1</v>
      </c>
      <c r="K237" s="19">
        <v>0</v>
      </c>
      <c r="L237" s="19">
        <v>0</v>
      </c>
    </row>
    <row r="238" spans="1:12">
      <c r="A238" s="1" t="s">
        <v>25</v>
      </c>
      <c r="B238">
        <v>135</v>
      </c>
      <c r="C238" s="19">
        <v>0</v>
      </c>
      <c r="D238" s="19">
        <v>7.8598866864761183E-4</v>
      </c>
      <c r="E238" s="19">
        <v>0.82008274245981116</v>
      </c>
      <c r="F238" s="20">
        <v>0.97685406545153963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</row>
    <row r="239" spans="1:12">
      <c r="A239" s="1" t="s">
        <v>25</v>
      </c>
      <c r="B239">
        <v>136</v>
      </c>
      <c r="C239" s="19">
        <v>0</v>
      </c>
      <c r="D239" s="19">
        <v>5.7632241455275277E-2</v>
      </c>
      <c r="E239" s="19">
        <v>4.2315569071684621E-2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</row>
    <row r="240" spans="1:12">
      <c r="A240" s="1" t="s">
        <v>25</v>
      </c>
      <c r="B240">
        <v>137</v>
      </c>
      <c r="C240" s="19">
        <v>0</v>
      </c>
      <c r="D240" s="19">
        <v>4.2249037203846889E-3</v>
      </c>
      <c r="E240" s="19">
        <v>1.8284357839496324E-2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</row>
    <row r="241" spans="1:12">
      <c r="A241" s="1" t="s">
        <v>25</v>
      </c>
      <c r="B241">
        <v>139</v>
      </c>
      <c r="C241" s="19">
        <v>0</v>
      </c>
      <c r="D241" s="19">
        <v>0.20639962461391337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</row>
    <row r="242" spans="1:12">
      <c r="A242" s="1" t="s">
        <v>25</v>
      </c>
      <c r="B242">
        <v>140</v>
      </c>
      <c r="C242" s="19">
        <v>0</v>
      </c>
      <c r="D242" s="19">
        <v>6.8540945448949731E-2</v>
      </c>
      <c r="E242" s="19">
        <v>6.7391383383627448E-2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</row>
    <row r="243" spans="1:12">
      <c r="A243" s="1" t="s">
        <v>25</v>
      </c>
      <c r="B243">
        <v>141</v>
      </c>
      <c r="C243" s="19">
        <v>0</v>
      </c>
      <c r="D243" s="19">
        <v>0.66005258538954736</v>
      </c>
      <c r="E243" s="19">
        <v>1.5358901858905968E-2</v>
      </c>
      <c r="F243" s="19">
        <v>2.3145934548460409E-2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</row>
    <row r="244" spans="1:12">
      <c r="A244" s="1" t="s">
        <v>25</v>
      </c>
      <c r="B244">
        <v>142</v>
      </c>
      <c r="C244" s="19">
        <v>0</v>
      </c>
      <c r="D244" s="19">
        <v>0</v>
      </c>
      <c r="E244" s="19">
        <v>3.6567045386474435E-2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</row>
    <row r="245" spans="1:12">
      <c r="A245" s="1" t="s">
        <v>25</v>
      </c>
      <c r="B245">
        <v>144</v>
      </c>
      <c r="C245" s="20">
        <v>1</v>
      </c>
      <c r="D245" s="19">
        <v>3.9617734123488068E-4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</row>
    <row r="246" spans="1:12">
      <c r="A246" s="1" t="s">
        <v>25</v>
      </c>
      <c r="B246">
        <v>157</v>
      </c>
      <c r="C246" s="19">
        <v>0</v>
      </c>
      <c r="D246" s="19">
        <v>1.967533362046932E-3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</row>
    <row r="247" spans="1:12">
      <c r="A247" s="1" t="s">
        <v>26</v>
      </c>
      <c r="B247">
        <v>93</v>
      </c>
      <c r="C247" s="19">
        <v>0</v>
      </c>
      <c r="D247" s="19">
        <v>0</v>
      </c>
      <c r="E247" s="19">
        <v>5.1700452358062502E-3</v>
      </c>
      <c r="F247" s="19">
        <v>0.23231015643291031</v>
      </c>
      <c r="G247" s="19">
        <v>0.61540441137009461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</row>
    <row r="248" spans="1:12">
      <c r="A248" s="1" t="s">
        <v>26</v>
      </c>
      <c r="B248">
        <v>148</v>
      </c>
      <c r="C248" s="19">
        <v>0</v>
      </c>
      <c r="D248" s="19">
        <v>0</v>
      </c>
      <c r="E248" s="19">
        <v>6.4047023725523358E-2</v>
      </c>
      <c r="F248" s="19">
        <v>0.76154795420417765</v>
      </c>
      <c r="G248" s="19">
        <v>0.38459558862990539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</row>
    <row r="249" spans="1:12">
      <c r="A249" s="1" t="s">
        <v>26</v>
      </c>
      <c r="B249">
        <v>149</v>
      </c>
      <c r="C249" s="19">
        <v>0</v>
      </c>
      <c r="D249" s="19">
        <v>3.4752717946448033E-3</v>
      </c>
      <c r="E249" s="19">
        <v>7.3962061395448802E-4</v>
      </c>
      <c r="F249" s="19">
        <v>3.0714057704964177E-3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</row>
    <row r="250" spans="1:12">
      <c r="A250" s="1" t="s">
        <v>26</v>
      </c>
      <c r="B250">
        <v>150</v>
      </c>
      <c r="C250" s="19">
        <v>0</v>
      </c>
      <c r="D250" s="19">
        <v>0</v>
      </c>
      <c r="E250" s="19">
        <v>2.1306135460061548E-2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</row>
    <row r="251" spans="1:12">
      <c r="A251" s="1" t="s">
        <v>26</v>
      </c>
      <c r="B251">
        <v>152</v>
      </c>
      <c r="C251" s="19">
        <v>0</v>
      </c>
      <c r="D251" s="19">
        <v>0</v>
      </c>
      <c r="E251" s="19">
        <v>0.12569714359560516</v>
      </c>
      <c r="F251" s="19">
        <v>0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</row>
    <row r="252" spans="1:12">
      <c r="A252" s="1" t="s">
        <v>26</v>
      </c>
      <c r="B252">
        <v>153</v>
      </c>
      <c r="C252" s="19">
        <v>0</v>
      </c>
      <c r="D252" s="19">
        <v>0.20485588026418519</v>
      </c>
      <c r="E252" s="19">
        <v>0.64627601078698194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</row>
    <row r="253" spans="1:12">
      <c r="A253" s="1" t="s">
        <v>26</v>
      </c>
      <c r="B253">
        <v>154</v>
      </c>
      <c r="C253" s="19">
        <v>0</v>
      </c>
      <c r="D253" s="19">
        <v>0.59674050255575672</v>
      </c>
      <c r="E253" s="19">
        <v>0.12812433303335752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</row>
    <row r="254" spans="1:12">
      <c r="A254" s="1" t="s">
        <v>26</v>
      </c>
      <c r="B254">
        <v>155</v>
      </c>
      <c r="C254" s="19">
        <v>0</v>
      </c>
      <c r="D254" s="19">
        <v>4.4487889871077366E-2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</row>
    <row r="255" spans="1:12">
      <c r="A255" s="1" t="s">
        <v>26</v>
      </c>
      <c r="B255">
        <v>156</v>
      </c>
      <c r="C255" s="19">
        <v>0</v>
      </c>
      <c r="D255" s="19">
        <v>0.12087327235663609</v>
      </c>
      <c r="E255" s="19">
        <v>7.3145160267146939E-3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</row>
    <row r="256" spans="1:12">
      <c r="A256" s="1" t="s">
        <v>26</v>
      </c>
      <c r="B256">
        <v>157</v>
      </c>
      <c r="C256" s="19">
        <v>0</v>
      </c>
      <c r="D256" s="19">
        <v>1.7203110442710227E-2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</row>
    <row r="257" spans="1:12">
      <c r="A257" s="1" t="s">
        <v>26</v>
      </c>
      <c r="B257">
        <v>158</v>
      </c>
      <c r="C257" s="19">
        <v>0</v>
      </c>
      <c r="D257" s="19">
        <v>4.7629565577124791E-3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</row>
    <row r="258" spans="1:12">
      <c r="A258" s="1" t="s">
        <v>26</v>
      </c>
      <c r="B258">
        <v>160</v>
      </c>
      <c r="C258" s="20">
        <v>1</v>
      </c>
      <c r="D258" s="19">
        <v>1.4682928000648121E-3</v>
      </c>
      <c r="E258" s="19">
        <v>1.7687992196453197E-4</v>
      </c>
      <c r="F258" s="19">
        <v>1.2744326908282419E-3</v>
      </c>
      <c r="G258" s="19">
        <v>0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</row>
    <row r="259" spans="1:12">
      <c r="A259" s="1" t="s">
        <v>26</v>
      </c>
      <c r="B259">
        <v>165</v>
      </c>
      <c r="C259" s="19">
        <v>0</v>
      </c>
      <c r="D259" s="19">
        <v>5.9252510642005748E-3</v>
      </c>
      <c r="E259" s="19">
        <v>1.1482916000307686E-3</v>
      </c>
      <c r="F259" s="19">
        <v>1.7960509015874392E-3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</row>
    <row r="260" spans="1:12">
      <c r="A260" s="1" t="s">
        <v>27</v>
      </c>
      <c r="B260">
        <v>241</v>
      </c>
      <c r="C260" s="19">
        <v>0.11313752105081545</v>
      </c>
      <c r="D260" s="19">
        <v>2.9527535093964684E-2</v>
      </c>
      <c r="E260" s="19">
        <v>1.9146211915358129E-2</v>
      </c>
      <c r="F260" s="19">
        <v>2.1171568092921818E-2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</row>
    <row r="261" spans="1:12">
      <c r="A261" s="1" t="s">
        <v>27</v>
      </c>
      <c r="B261">
        <v>280</v>
      </c>
      <c r="C261" s="19">
        <v>3.977742858495014E-3</v>
      </c>
      <c r="D261" s="19">
        <v>8.0675989942924657E-4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</row>
    <row r="262" spans="1:12">
      <c r="A262" s="1" t="s">
        <v>27</v>
      </c>
      <c r="B262">
        <v>281</v>
      </c>
      <c r="C262" s="19">
        <v>0.44400691969373168</v>
      </c>
      <c r="D262" s="19">
        <v>9.0052824081628235E-2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</row>
    <row r="263" spans="1:12">
      <c r="A263" s="1" t="s">
        <v>27</v>
      </c>
      <c r="B263">
        <v>282</v>
      </c>
      <c r="C263" s="19">
        <v>9.729212062499392E-3</v>
      </c>
      <c r="D263" s="19">
        <v>5.7751598562245807E-2</v>
      </c>
      <c r="E263" s="19">
        <v>1.9765012949100519E-2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</row>
    <row r="264" spans="1:12">
      <c r="A264" s="1" t="s">
        <v>27</v>
      </c>
      <c r="B264">
        <v>283</v>
      </c>
      <c r="C264" s="19">
        <v>1.638603459007184E-3</v>
      </c>
      <c r="D264" s="19">
        <v>0.28226851475253273</v>
      </c>
      <c r="E264" s="19">
        <v>0.10329495016777915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</row>
    <row r="265" spans="1:12">
      <c r="A265" s="1" t="s">
        <v>27</v>
      </c>
      <c r="B265">
        <v>284</v>
      </c>
      <c r="C265" s="19">
        <v>0.13277567436499876</v>
      </c>
      <c r="D265" s="19">
        <v>0.21682791739964624</v>
      </c>
      <c r="E265" s="19">
        <v>7.5991828294538127E-2</v>
      </c>
      <c r="F265" s="19">
        <v>0.11602253831252016</v>
      </c>
      <c r="G265" s="19">
        <v>3.1719589049630431E-2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</row>
    <row r="266" spans="1:12">
      <c r="A266" s="1" t="s">
        <v>27</v>
      </c>
      <c r="B266">
        <v>285</v>
      </c>
      <c r="C266" s="19">
        <v>0.10539340946969022</v>
      </c>
      <c r="D266" s="19">
        <v>0.17938796690389178</v>
      </c>
      <c r="E266" s="19">
        <v>0.5827425664316912</v>
      </c>
      <c r="F266" s="19">
        <v>0.3241350275789906</v>
      </c>
      <c r="G266" s="19">
        <v>0.27843390641960769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</row>
    <row r="267" spans="1:12">
      <c r="A267" s="1" t="s">
        <v>27</v>
      </c>
      <c r="B267">
        <v>288</v>
      </c>
      <c r="C267" s="19">
        <v>0.18934091704076236</v>
      </c>
      <c r="D267" s="19">
        <v>0.14337688330666135</v>
      </c>
      <c r="E267" s="19">
        <v>0.19905943024153289</v>
      </c>
      <c r="F267" s="19">
        <v>0.53867086601556757</v>
      </c>
      <c r="G267" s="19">
        <v>0.68984650453076179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</row>
    <row r="268" spans="1:12">
      <c r="A268" s="1" t="s">
        <v>29</v>
      </c>
      <c r="B268">
        <v>333</v>
      </c>
      <c r="C268" s="19">
        <v>0</v>
      </c>
      <c r="D268" s="19">
        <v>0.35015101107621044</v>
      </c>
      <c r="E268" s="19">
        <v>1.6682546193742701E-3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</row>
    <row r="269" spans="1:12">
      <c r="A269" s="1" t="s">
        <v>29</v>
      </c>
      <c r="B269">
        <v>334</v>
      </c>
      <c r="C269" s="19">
        <v>0.10654324735537463</v>
      </c>
      <c r="D269" s="19">
        <v>8.8198050806437139E-3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</row>
    <row r="270" spans="1:12">
      <c r="A270" s="1" t="s">
        <v>29</v>
      </c>
      <c r="B270">
        <v>335</v>
      </c>
      <c r="C270" s="19">
        <v>0</v>
      </c>
      <c r="D270" s="19">
        <v>6.6148098732545013E-2</v>
      </c>
      <c r="E270" s="19">
        <v>4.3930836502875846E-2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</row>
    <row r="271" spans="1:12">
      <c r="A271" s="1" t="s">
        <v>29</v>
      </c>
      <c r="B271">
        <v>336</v>
      </c>
      <c r="C271" s="19">
        <v>0.29866844243863938</v>
      </c>
      <c r="D271" s="19">
        <v>0.16374664432616157</v>
      </c>
      <c r="E271" s="19">
        <v>0.12956902398086126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</row>
    <row r="272" spans="1:12">
      <c r="A272" s="1" t="s">
        <v>29</v>
      </c>
      <c r="B272">
        <v>337</v>
      </c>
      <c r="C272" s="19">
        <v>0.34529961250045627</v>
      </c>
      <c r="D272" s="19">
        <v>3.713228751292303E-2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</row>
    <row r="273" spans="1:12">
      <c r="A273" s="1" t="s">
        <v>29</v>
      </c>
      <c r="B273">
        <v>338</v>
      </c>
      <c r="C273" s="19">
        <v>2.2417666197070679E-2</v>
      </c>
      <c r="D273" s="19">
        <v>0.13586373384872749</v>
      </c>
      <c r="E273" s="19">
        <v>0.27611716956727467</v>
      </c>
      <c r="F273" s="19">
        <v>0.27375425208593201</v>
      </c>
      <c r="G273" s="19">
        <v>0.20567791539482702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</row>
    <row r="274" spans="1:12">
      <c r="A274" s="1" t="s">
        <v>29</v>
      </c>
      <c r="B274">
        <v>339</v>
      </c>
      <c r="C274" s="19">
        <v>0.22707103150845903</v>
      </c>
      <c r="D274" s="19">
        <v>0.23813841942278863</v>
      </c>
      <c r="E274" s="19">
        <v>0.54871471532961402</v>
      </c>
      <c r="F274" s="19">
        <v>0.72624574791406804</v>
      </c>
      <c r="G274" s="19">
        <v>0.79432208460517295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</row>
    <row r="275" spans="1:12">
      <c r="A275" s="1" t="s">
        <v>30</v>
      </c>
      <c r="B275">
        <v>288</v>
      </c>
      <c r="C275" s="19">
        <v>0.41062026823365583</v>
      </c>
      <c r="D275" s="20">
        <v>0.91938387537266653</v>
      </c>
      <c r="E275" s="20">
        <v>0.93387491219496943</v>
      </c>
      <c r="F275" s="20">
        <v>0.98427722189552591</v>
      </c>
      <c r="G275" s="20">
        <v>1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</row>
    <row r="276" spans="1:12">
      <c r="A276" s="1" t="s">
        <v>30</v>
      </c>
      <c r="B276">
        <v>289</v>
      </c>
      <c r="C276" s="19">
        <v>4.4859951031269085E-3</v>
      </c>
      <c r="D276" s="19">
        <v>7.7661146156690368E-3</v>
      </c>
      <c r="E276" s="19">
        <v>1.1020819125283791E-2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</row>
    <row r="277" spans="1:12">
      <c r="A277" s="1" t="s">
        <v>30</v>
      </c>
      <c r="B277">
        <v>292</v>
      </c>
      <c r="C277" s="19">
        <v>1.2188419633971753E-2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0.37019705593984797</v>
      </c>
      <c r="L277" s="19">
        <v>0</v>
      </c>
    </row>
    <row r="278" spans="1:12">
      <c r="A278" s="1" t="s">
        <v>30</v>
      </c>
      <c r="B278">
        <v>293</v>
      </c>
      <c r="C278" s="19">
        <v>7.5604676275283821E-3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4.3033057463028587E-2</v>
      </c>
      <c r="K278" s="19">
        <v>6.9497308198967711E-2</v>
      </c>
      <c r="L278" s="19">
        <v>0</v>
      </c>
    </row>
    <row r="279" spans="1:12">
      <c r="A279" s="1" t="s">
        <v>30</v>
      </c>
      <c r="B279">
        <v>294</v>
      </c>
      <c r="C279" s="19">
        <v>0.29911568716224679</v>
      </c>
      <c r="D279" s="19">
        <v>4.2699117404020763E-2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0.55594643139812439</v>
      </c>
      <c r="L279" s="19">
        <v>0</v>
      </c>
    </row>
    <row r="280" spans="1:12">
      <c r="A280" s="1" t="s">
        <v>30</v>
      </c>
      <c r="B280">
        <v>295</v>
      </c>
      <c r="C280" s="19">
        <v>1.7351544985241153E-2</v>
      </c>
      <c r="D280" s="19">
        <v>3.0150892607643788E-2</v>
      </c>
      <c r="E280" s="19">
        <v>5.5104268679746875E-2</v>
      </c>
      <c r="F280" s="19">
        <v>1.5722778104474065E-2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</row>
    <row r="281" spans="1:12">
      <c r="A281" s="1" t="s">
        <v>30</v>
      </c>
      <c r="B281">
        <v>297</v>
      </c>
      <c r="C281" s="19">
        <v>0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0.21363635440479864</v>
      </c>
      <c r="K281" s="19">
        <v>0</v>
      </c>
      <c r="L281" s="19">
        <v>0</v>
      </c>
    </row>
    <row r="282" spans="1:12">
      <c r="A282" s="1" t="s">
        <v>30</v>
      </c>
      <c r="B282">
        <v>298</v>
      </c>
      <c r="C282" s="19">
        <v>0.19315259447724678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0.48871809266287886</v>
      </c>
      <c r="K282" s="19">
        <v>4.3592044630598042E-3</v>
      </c>
      <c r="L282" s="19">
        <v>0</v>
      </c>
    </row>
    <row r="283" spans="1:12">
      <c r="A283" s="1" t="s">
        <v>30</v>
      </c>
      <c r="B283">
        <v>299</v>
      </c>
      <c r="C283" s="19">
        <v>5.5525022776982423E-2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0.25461249546929399</v>
      </c>
      <c r="K283" s="19">
        <v>0</v>
      </c>
      <c r="L283" s="19">
        <v>0</v>
      </c>
    </row>
    <row r="284" spans="1:12">
      <c r="A284" s="1" t="s">
        <v>31</v>
      </c>
      <c r="B284">
        <v>244</v>
      </c>
      <c r="C284" s="19">
        <v>0</v>
      </c>
      <c r="D284" s="19">
        <v>5.3829286919800004E-2</v>
      </c>
      <c r="E284" s="19">
        <v>2.8554683434815889E-2</v>
      </c>
      <c r="F284" s="19">
        <v>3.3875572737975312E-2</v>
      </c>
      <c r="G284" s="19">
        <v>3.4423605417354626E-2</v>
      </c>
      <c r="H284" s="19">
        <v>0</v>
      </c>
      <c r="I284" s="19">
        <v>0</v>
      </c>
      <c r="J284" s="19">
        <v>0</v>
      </c>
      <c r="K284" s="19">
        <v>0</v>
      </c>
      <c r="L284" s="19">
        <v>0</v>
      </c>
    </row>
    <row r="285" spans="1:12">
      <c r="A285" s="1" t="s">
        <v>31</v>
      </c>
      <c r="B285">
        <v>245</v>
      </c>
      <c r="C285" s="19">
        <v>7.179277550904041E-2</v>
      </c>
      <c r="D285" s="19">
        <v>0.17800444704643342</v>
      </c>
      <c r="E285" s="19">
        <v>0.21299100033217935</v>
      </c>
      <c r="F285" s="19">
        <v>0.13373878281102181</v>
      </c>
      <c r="G285" s="19">
        <v>9.9262750805708174E-3</v>
      </c>
      <c r="H285" s="19">
        <v>0</v>
      </c>
      <c r="I285" s="19">
        <v>0</v>
      </c>
      <c r="J285" s="19">
        <v>0</v>
      </c>
      <c r="K285" s="19">
        <v>0</v>
      </c>
      <c r="L285" s="19">
        <v>0</v>
      </c>
    </row>
    <row r="286" spans="1:12">
      <c r="A286" s="1" t="s">
        <v>31</v>
      </c>
      <c r="B286">
        <v>293</v>
      </c>
      <c r="C286" s="19">
        <v>6.0967091592975652E-3</v>
      </c>
      <c r="D286" s="19">
        <v>0</v>
      </c>
      <c r="E286" s="19">
        <v>0</v>
      </c>
      <c r="F286" s="19">
        <v>0</v>
      </c>
      <c r="G286" s="19">
        <v>0</v>
      </c>
      <c r="H286" s="19">
        <v>0</v>
      </c>
      <c r="I286" s="19">
        <v>0</v>
      </c>
      <c r="J286" s="20">
        <v>1</v>
      </c>
      <c r="K286" s="19">
        <v>2.8785680390287557E-2</v>
      </c>
      <c r="L286" s="19">
        <v>0</v>
      </c>
    </row>
    <row r="287" spans="1:12">
      <c r="A287" s="1" t="s">
        <v>31</v>
      </c>
      <c r="B287">
        <v>294</v>
      </c>
      <c r="C287" s="19">
        <v>0.50736327328358677</v>
      </c>
      <c r="D287" s="19">
        <v>4.7151521112127295E-2</v>
      </c>
      <c r="E287" s="19">
        <v>0</v>
      </c>
      <c r="F287" s="19">
        <v>0</v>
      </c>
      <c r="G287" s="19">
        <v>0</v>
      </c>
      <c r="H287" s="19">
        <v>0</v>
      </c>
      <c r="I287" s="19">
        <v>0</v>
      </c>
      <c r="J287" s="19">
        <v>0</v>
      </c>
      <c r="K287" s="19">
        <v>0.48436692433385886</v>
      </c>
      <c r="L287" s="19">
        <v>0</v>
      </c>
    </row>
    <row r="288" spans="1:12">
      <c r="A288" s="1" t="s">
        <v>31</v>
      </c>
      <c r="B288">
        <v>300</v>
      </c>
      <c r="C288" s="19">
        <v>0.24175804292828595</v>
      </c>
      <c r="D288" s="19">
        <v>0.50435978079311405</v>
      </c>
      <c r="E288" s="19">
        <v>0.62192188385325742</v>
      </c>
      <c r="F288" s="19">
        <v>0.70573402882533209</v>
      </c>
      <c r="G288" s="20">
        <v>0.95565011950207457</v>
      </c>
      <c r="H288" s="19">
        <v>0</v>
      </c>
      <c r="I288" s="19">
        <v>0</v>
      </c>
      <c r="J288" s="19">
        <v>0</v>
      </c>
      <c r="K288" s="19">
        <v>0</v>
      </c>
      <c r="L288" s="19">
        <v>0</v>
      </c>
    </row>
    <row r="289" spans="1:12">
      <c r="A289" s="1" t="s">
        <v>31</v>
      </c>
      <c r="B289">
        <v>301</v>
      </c>
      <c r="C289" s="19">
        <v>7.7971545016613381E-2</v>
      </c>
      <c r="D289" s="19">
        <v>9.7642510995823328E-2</v>
      </c>
      <c r="E289" s="19">
        <v>6.2085000446962808E-2</v>
      </c>
      <c r="F289" s="19">
        <v>7.6616773137054534E-2</v>
      </c>
      <c r="G289" s="19">
        <v>0</v>
      </c>
      <c r="H289" s="19">
        <v>0</v>
      </c>
      <c r="I289" s="19">
        <v>0</v>
      </c>
      <c r="J289" s="19">
        <v>0</v>
      </c>
      <c r="K289" s="19">
        <v>0</v>
      </c>
      <c r="L289" s="19">
        <v>0</v>
      </c>
    </row>
    <row r="290" spans="1:12">
      <c r="A290" s="1" t="s">
        <v>31</v>
      </c>
      <c r="B290">
        <v>302</v>
      </c>
      <c r="C290" s="19">
        <v>9.5017654103175905E-2</v>
      </c>
      <c r="D290" s="19">
        <v>0.11901245313270185</v>
      </c>
      <c r="E290" s="19">
        <v>7.4447431932784539E-2</v>
      </c>
      <c r="F290" s="19">
        <v>5.0034842488616151E-2</v>
      </c>
      <c r="G290" s="19">
        <v>0</v>
      </c>
      <c r="H290" s="19">
        <v>0</v>
      </c>
      <c r="I290" s="19">
        <v>0</v>
      </c>
      <c r="J290" s="19">
        <v>0</v>
      </c>
      <c r="K290" s="19">
        <v>0</v>
      </c>
      <c r="L290" s="19">
        <v>0</v>
      </c>
    </row>
    <row r="291" spans="1:12">
      <c r="A291" s="1" t="s">
        <v>31</v>
      </c>
      <c r="B291">
        <v>307</v>
      </c>
      <c r="C291" s="19">
        <v>0</v>
      </c>
      <c r="D291" s="19">
        <v>0</v>
      </c>
      <c r="E291" s="19">
        <v>0</v>
      </c>
      <c r="F291" s="19">
        <v>0</v>
      </c>
      <c r="G291" s="19">
        <v>0</v>
      </c>
      <c r="H291" s="19">
        <v>0</v>
      </c>
      <c r="I291" s="19">
        <v>0</v>
      </c>
      <c r="J291" s="19">
        <v>0</v>
      </c>
      <c r="K291" s="19">
        <v>0.48684739527585358</v>
      </c>
      <c r="L291" s="19">
        <v>0</v>
      </c>
    </row>
    <row r="292" spans="1:12">
      <c r="A292" s="1" t="s">
        <v>32</v>
      </c>
      <c r="B292">
        <v>183</v>
      </c>
      <c r="C292" s="19">
        <v>0</v>
      </c>
      <c r="D292" s="19">
        <v>1.8040052021269315E-3</v>
      </c>
      <c r="E292" s="19">
        <v>0</v>
      </c>
      <c r="F292" s="19">
        <v>0</v>
      </c>
      <c r="G292" s="19">
        <v>0</v>
      </c>
      <c r="H292" s="19">
        <v>0</v>
      </c>
      <c r="I292" s="19">
        <v>0</v>
      </c>
      <c r="J292" s="19">
        <v>0</v>
      </c>
      <c r="K292" s="19">
        <v>0</v>
      </c>
      <c r="L292" s="19">
        <v>0</v>
      </c>
    </row>
    <row r="293" spans="1:12">
      <c r="A293" s="1" t="s">
        <v>32</v>
      </c>
      <c r="B293">
        <v>191</v>
      </c>
      <c r="C293" s="19">
        <v>0.42411231356492934</v>
      </c>
      <c r="D293" s="20">
        <v>0.99771086947360033</v>
      </c>
      <c r="E293" s="20">
        <v>1</v>
      </c>
      <c r="F293" s="20">
        <v>1</v>
      </c>
      <c r="G293" s="19">
        <v>0</v>
      </c>
      <c r="H293" s="19">
        <v>0</v>
      </c>
      <c r="I293" s="19">
        <v>0</v>
      </c>
      <c r="J293" s="19">
        <v>0</v>
      </c>
      <c r="K293" s="19">
        <v>0</v>
      </c>
      <c r="L293" s="19">
        <v>0</v>
      </c>
    </row>
    <row r="294" spans="1:12">
      <c r="A294" s="1" t="s">
        <v>32</v>
      </c>
      <c r="B294">
        <v>192</v>
      </c>
      <c r="C294" s="19">
        <v>0.44356642786170059</v>
      </c>
      <c r="D294" s="19">
        <v>0</v>
      </c>
      <c r="E294" s="19">
        <v>0</v>
      </c>
      <c r="F294" s="19">
        <v>0</v>
      </c>
      <c r="G294" s="19">
        <v>0</v>
      </c>
      <c r="H294" s="19">
        <v>0</v>
      </c>
      <c r="I294" s="19">
        <v>0</v>
      </c>
      <c r="J294" s="19">
        <v>0</v>
      </c>
      <c r="K294" s="19">
        <v>0</v>
      </c>
      <c r="L294" s="19">
        <v>0</v>
      </c>
    </row>
    <row r="295" spans="1:12">
      <c r="A295" s="1" t="s">
        <v>32</v>
      </c>
      <c r="B295">
        <v>193</v>
      </c>
      <c r="C295" s="19">
        <v>0.11796269155484022</v>
      </c>
      <c r="D295" s="19">
        <v>0</v>
      </c>
      <c r="E295" s="19">
        <v>0</v>
      </c>
      <c r="F295" s="19">
        <v>0</v>
      </c>
      <c r="G295" s="19">
        <v>0</v>
      </c>
      <c r="H295" s="19">
        <v>0</v>
      </c>
      <c r="I295" s="19">
        <v>0</v>
      </c>
      <c r="J295" s="19">
        <v>0</v>
      </c>
      <c r="K295" s="19">
        <v>0</v>
      </c>
      <c r="L295" s="19">
        <v>0</v>
      </c>
    </row>
    <row r="296" spans="1:12">
      <c r="A296" s="1" t="s">
        <v>32</v>
      </c>
      <c r="B296">
        <v>194</v>
      </c>
      <c r="C296" s="19">
        <v>6.201796056579661E-3</v>
      </c>
      <c r="D296" s="19">
        <v>0</v>
      </c>
      <c r="E296" s="19">
        <v>0</v>
      </c>
      <c r="F296" s="19">
        <v>0</v>
      </c>
      <c r="G296" s="19">
        <v>0</v>
      </c>
      <c r="H296" s="19">
        <v>0</v>
      </c>
      <c r="I296" s="19">
        <v>0</v>
      </c>
      <c r="J296" s="19">
        <v>0</v>
      </c>
      <c r="K296" s="19">
        <v>0</v>
      </c>
      <c r="L296" s="19">
        <v>0</v>
      </c>
    </row>
    <row r="297" spans="1:12">
      <c r="A297" s="1" t="s">
        <v>32</v>
      </c>
      <c r="B297">
        <v>197</v>
      </c>
      <c r="C297" s="19">
        <v>8.1567709619504176E-3</v>
      </c>
      <c r="D297" s="19">
        <v>0</v>
      </c>
      <c r="E297" s="19">
        <v>0</v>
      </c>
      <c r="F297" s="19">
        <v>0</v>
      </c>
      <c r="G297" s="19">
        <v>0</v>
      </c>
      <c r="H297" s="19">
        <v>0</v>
      </c>
      <c r="I297" s="19">
        <v>0</v>
      </c>
      <c r="J297" s="19">
        <v>0</v>
      </c>
      <c r="K297" s="19">
        <v>0</v>
      </c>
      <c r="L297" s="19">
        <v>0</v>
      </c>
    </row>
  </sheetData>
  <sortState ref="A4:L297">
    <sortCondition ref="A4:A297"/>
    <sortCondition ref="B4:B29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80"/>
  <sheetViews>
    <sheetView workbookViewId="0"/>
  </sheetViews>
  <sheetFormatPr defaultRowHeight="15"/>
  <cols>
    <col min="1" max="1" width="13.140625" style="21" customWidth="1"/>
    <col min="2" max="2" width="9.5703125" style="21" customWidth="1"/>
    <col min="3" max="3" width="8.28515625" style="21" customWidth="1"/>
    <col min="4" max="4" width="12.28515625" style="22" customWidth="1"/>
  </cols>
  <sheetData>
    <row r="1" spans="1:19" ht="60">
      <c r="A1" s="6" t="s">
        <v>0</v>
      </c>
      <c r="B1" s="6" t="s">
        <v>33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89</v>
      </c>
      <c r="N1" s="8" t="s">
        <v>90</v>
      </c>
      <c r="O1" s="8" t="s">
        <v>91</v>
      </c>
      <c r="P1" s="8" t="s">
        <v>92</v>
      </c>
      <c r="Q1" s="8" t="s">
        <v>93</v>
      </c>
      <c r="S1">
        <f>SUM(C2:G380)</f>
        <v>1631868.4981999979</v>
      </c>
    </row>
    <row r="2" spans="1:19">
      <c r="A2" t="s">
        <v>1</v>
      </c>
      <c r="B2">
        <v>33</v>
      </c>
      <c r="C2">
        <v>535.54</v>
      </c>
      <c r="D2">
        <v>61.38</v>
      </c>
      <c r="E2">
        <v>16.12</v>
      </c>
      <c r="F2">
        <v>11.98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9">
      <c r="A3" t="s">
        <v>1</v>
      </c>
      <c r="B3">
        <v>53</v>
      </c>
      <c r="C3">
        <v>425.74</v>
      </c>
      <c r="D3">
        <v>57.84</v>
      </c>
      <c r="E3">
        <v>10.799999999999999</v>
      </c>
      <c r="F3">
        <v>2</v>
      </c>
      <c r="G3">
        <v>0.28000000000000003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9">
      <c r="A4" t="s">
        <v>1</v>
      </c>
      <c r="B4">
        <v>54</v>
      </c>
      <c r="C4">
        <v>2551.1799999999998</v>
      </c>
      <c r="D4">
        <v>116.86</v>
      </c>
      <c r="E4">
        <v>48.06</v>
      </c>
      <c r="F4">
        <v>20.82</v>
      </c>
      <c r="G4">
        <v>2.4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9">
      <c r="A5" t="s">
        <v>1</v>
      </c>
      <c r="B5">
        <v>55</v>
      </c>
      <c r="C5">
        <v>675.28</v>
      </c>
      <c r="D5">
        <v>81.3</v>
      </c>
      <c r="E5">
        <v>12.42</v>
      </c>
      <c r="F5">
        <v>3.6</v>
      </c>
      <c r="G5">
        <v>0.12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9">
      <c r="A6" t="s">
        <v>1</v>
      </c>
      <c r="B6">
        <v>56</v>
      </c>
      <c r="C6">
        <v>25.72</v>
      </c>
      <c r="D6">
        <v>4.32</v>
      </c>
      <c r="E6">
        <v>0.42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9">
      <c r="A7" t="s">
        <v>1</v>
      </c>
      <c r="B7">
        <v>57</v>
      </c>
      <c r="C7">
        <v>142.47999999999999</v>
      </c>
      <c r="D7">
        <v>23.04</v>
      </c>
      <c r="E7">
        <v>6.62</v>
      </c>
      <c r="F7">
        <v>3.26</v>
      </c>
      <c r="G7">
        <v>0.32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9">
      <c r="A8" t="s">
        <v>1</v>
      </c>
      <c r="B8">
        <v>58</v>
      </c>
      <c r="C8">
        <v>38.799999999999997</v>
      </c>
      <c r="D8">
        <v>11.96</v>
      </c>
      <c r="E8">
        <v>2.34</v>
      </c>
      <c r="F8">
        <v>0.36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9">
      <c r="A9" t="s">
        <v>1</v>
      </c>
      <c r="B9">
        <v>59</v>
      </c>
      <c r="C9">
        <v>264.10000000000002</v>
      </c>
      <c r="D9">
        <v>73.98</v>
      </c>
      <c r="E9">
        <v>24.54</v>
      </c>
      <c r="F9">
        <v>10.6</v>
      </c>
      <c r="G9">
        <v>0.84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9">
      <c r="A10" t="s">
        <v>1</v>
      </c>
      <c r="B10">
        <v>88</v>
      </c>
      <c r="C10">
        <v>578.12</v>
      </c>
      <c r="D10">
        <v>150.26</v>
      </c>
      <c r="E10">
        <v>38.82</v>
      </c>
      <c r="F10">
        <v>15.08</v>
      </c>
      <c r="G10">
        <v>0.82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9">
      <c r="A11" t="s">
        <v>1</v>
      </c>
      <c r="B11">
        <v>89</v>
      </c>
      <c r="C11">
        <v>113.12</v>
      </c>
      <c r="D11">
        <v>14.24</v>
      </c>
      <c r="E11">
        <v>5.7</v>
      </c>
      <c r="F11">
        <v>1.4</v>
      </c>
      <c r="G11">
        <v>0.04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9">
      <c r="A12" t="s">
        <v>1</v>
      </c>
      <c r="B12">
        <v>90</v>
      </c>
      <c r="C12">
        <v>1415.48</v>
      </c>
      <c r="D12">
        <v>253.8</v>
      </c>
      <c r="E12">
        <v>88.88</v>
      </c>
      <c r="F12">
        <v>42.66</v>
      </c>
      <c r="G12">
        <v>9.8800000000000008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9">
      <c r="A13" t="s">
        <v>1</v>
      </c>
      <c r="B13">
        <v>91</v>
      </c>
      <c r="C13">
        <v>875.71999999999991</v>
      </c>
      <c r="D13">
        <v>69.3</v>
      </c>
      <c r="E13">
        <v>30.900000000000002</v>
      </c>
      <c r="F13">
        <v>31.060000000000002</v>
      </c>
      <c r="G13">
        <v>30.34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9">
      <c r="A14" t="s">
        <v>1</v>
      </c>
      <c r="B14">
        <v>92</v>
      </c>
      <c r="C14">
        <v>6679.98</v>
      </c>
      <c r="D14">
        <v>4083.74</v>
      </c>
      <c r="E14">
        <v>670.66</v>
      </c>
      <c r="F14">
        <v>70.5</v>
      </c>
      <c r="G14">
        <v>2.1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9">
      <c r="A15" t="s">
        <v>1</v>
      </c>
      <c r="B15">
        <v>93</v>
      </c>
      <c r="C15">
        <v>11142.34</v>
      </c>
      <c r="D15">
        <v>1597.24</v>
      </c>
      <c r="E15">
        <v>180.68</v>
      </c>
      <c r="F15">
        <v>71.679999999999993</v>
      </c>
      <c r="G15">
        <v>36.639999999999993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9">
      <c r="A16" t="s">
        <v>1</v>
      </c>
      <c r="B16">
        <v>94</v>
      </c>
      <c r="C16">
        <v>0.62</v>
      </c>
      <c r="D16">
        <v>0.08</v>
      </c>
      <c r="E16">
        <v>0.04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t="s">
        <v>1</v>
      </c>
      <c r="B17">
        <v>163</v>
      </c>
      <c r="C17">
        <v>180.84</v>
      </c>
      <c r="D17">
        <v>228.36</v>
      </c>
      <c r="E17">
        <v>63.24</v>
      </c>
      <c r="F17">
        <v>2.2799999999999998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t="s">
        <v>2</v>
      </c>
      <c r="B18">
        <v>20</v>
      </c>
      <c r="C18">
        <v>271.2</v>
      </c>
      <c r="D18">
        <v>84.36</v>
      </c>
      <c r="E18">
        <v>32.020000000000003</v>
      </c>
      <c r="F18">
        <v>24.4</v>
      </c>
      <c r="G18">
        <v>10.54</v>
      </c>
      <c r="H18">
        <v>167.64</v>
      </c>
      <c r="I18">
        <v>56.44</v>
      </c>
      <c r="J18">
        <v>24.32</v>
      </c>
      <c r="K18">
        <v>21.44</v>
      </c>
      <c r="L18">
        <v>1.4</v>
      </c>
      <c r="M18">
        <v>765.84</v>
      </c>
      <c r="N18">
        <v>1074.6400000000001</v>
      </c>
      <c r="O18">
        <v>1182.08</v>
      </c>
      <c r="P18">
        <v>9708.8799999999992</v>
      </c>
      <c r="Q18">
        <v>19013.439999999999</v>
      </c>
    </row>
    <row r="19" spans="1:17">
      <c r="A19" t="s">
        <v>2</v>
      </c>
      <c r="B19">
        <v>21</v>
      </c>
      <c r="C19">
        <v>124.14</v>
      </c>
      <c r="D19">
        <v>30.02</v>
      </c>
      <c r="E19">
        <v>10.64</v>
      </c>
      <c r="F19">
        <v>6.94</v>
      </c>
      <c r="G19">
        <v>3.88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t="s">
        <v>2</v>
      </c>
      <c r="B20">
        <v>22</v>
      </c>
      <c r="C20">
        <v>57.48</v>
      </c>
      <c r="D20">
        <v>10.16</v>
      </c>
      <c r="E20">
        <v>2.1</v>
      </c>
      <c r="F20">
        <v>0.36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t="s">
        <v>2</v>
      </c>
      <c r="B21">
        <v>23</v>
      </c>
      <c r="C21">
        <v>23.46</v>
      </c>
      <c r="D21">
        <v>4.0199999999999996</v>
      </c>
      <c r="E21">
        <v>0.8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t="s">
        <v>2</v>
      </c>
      <c r="B22">
        <v>24</v>
      </c>
      <c r="C22">
        <v>69.08</v>
      </c>
      <c r="D22">
        <v>23.36</v>
      </c>
      <c r="E22">
        <v>8.98</v>
      </c>
      <c r="F22">
        <v>4.78</v>
      </c>
      <c r="G22">
        <v>1.5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2</v>
      </c>
      <c r="B23">
        <v>25</v>
      </c>
      <c r="C23">
        <v>512.78</v>
      </c>
      <c r="D23">
        <v>227.66</v>
      </c>
      <c r="E23">
        <v>19.760000000000002</v>
      </c>
      <c r="F23">
        <v>3.48</v>
      </c>
      <c r="G23">
        <v>0</v>
      </c>
      <c r="H23">
        <v>282.36</v>
      </c>
      <c r="I23">
        <v>217.48</v>
      </c>
      <c r="J23">
        <v>10.199999999999999</v>
      </c>
      <c r="K23">
        <v>0</v>
      </c>
      <c r="L23">
        <v>0</v>
      </c>
      <c r="M23">
        <v>1961.32</v>
      </c>
      <c r="N23">
        <v>8768.7199999999993</v>
      </c>
      <c r="O23">
        <v>4705.72</v>
      </c>
      <c r="P23">
        <v>10609.96</v>
      </c>
      <c r="Q23">
        <v>229.24</v>
      </c>
    </row>
    <row r="24" spans="1:17">
      <c r="A24" t="s">
        <v>2</v>
      </c>
      <c r="B24">
        <v>26</v>
      </c>
      <c r="C24">
        <v>82.66</v>
      </c>
      <c r="D24">
        <v>21.4</v>
      </c>
      <c r="E24">
        <v>5.8</v>
      </c>
      <c r="F24">
        <v>0.9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2</v>
      </c>
      <c r="B25">
        <v>27</v>
      </c>
      <c r="C25">
        <v>17.18</v>
      </c>
      <c r="D25">
        <v>3.32</v>
      </c>
      <c r="E25">
        <v>0.38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t="s">
        <v>2</v>
      </c>
      <c r="B26">
        <v>28</v>
      </c>
      <c r="C26">
        <v>5</v>
      </c>
      <c r="D26">
        <v>13.74</v>
      </c>
      <c r="E26">
        <v>0.68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t="s">
        <v>2</v>
      </c>
      <c r="B27">
        <v>29</v>
      </c>
      <c r="C27">
        <v>33.44</v>
      </c>
      <c r="D27">
        <v>7.48</v>
      </c>
      <c r="E27">
        <v>1.18</v>
      </c>
      <c r="F27">
        <v>0.06</v>
      </c>
      <c r="G27">
        <v>0</v>
      </c>
      <c r="H27">
        <v>47.24</v>
      </c>
      <c r="I27">
        <v>6.68</v>
      </c>
      <c r="J27">
        <v>8.24</v>
      </c>
      <c r="K27">
        <v>7.92</v>
      </c>
      <c r="L27">
        <v>0</v>
      </c>
      <c r="M27">
        <v>1311.56</v>
      </c>
      <c r="N27">
        <v>16003.04</v>
      </c>
      <c r="O27">
        <v>4059.24</v>
      </c>
      <c r="P27">
        <v>963.6</v>
      </c>
      <c r="Q27">
        <v>75.44</v>
      </c>
    </row>
    <row r="28" spans="1:17">
      <c r="A28" t="s">
        <v>2</v>
      </c>
      <c r="B28">
        <v>30</v>
      </c>
      <c r="C28">
        <v>786.62</v>
      </c>
      <c r="D28">
        <v>503.38</v>
      </c>
      <c r="E28">
        <v>361.76</v>
      </c>
      <c r="F28">
        <v>323.33999999999997</v>
      </c>
      <c r="G28">
        <v>136.69999999999999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 t="s">
        <v>3</v>
      </c>
      <c r="B29">
        <v>28</v>
      </c>
      <c r="C29">
        <v>341.14</v>
      </c>
      <c r="D29">
        <v>95.08</v>
      </c>
      <c r="E29">
        <v>38.6</v>
      </c>
      <c r="F29">
        <v>12.68</v>
      </c>
      <c r="G29">
        <v>2.48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 t="s">
        <v>3</v>
      </c>
      <c r="B30">
        <v>29</v>
      </c>
      <c r="C30">
        <v>67.22</v>
      </c>
      <c r="D30">
        <v>26.28</v>
      </c>
      <c r="E30">
        <v>10.02</v>
      </c>
      <c r="F30">
        <v>5.78</v>
      </c>
      <c r="G30">
        <v>1.2</v>
      </c>
      <c r="H30">
        <v>172.16</v>
      </c>
      <c r="I30">
        <v>81.760000000000005</v>
      </c>
      <c r="J30">
        <v>114.64</v>
      </c>
      <c r="K30">
        <v>113.92</v>
      </c>
      <c r="L30">
        <v>1.4</v>
      </c>
      <c r="M30">
        <v>1143.3599999999999</v>
      </c>
      <c r="N30">
        <v>2552.3200000000002</v>
      </c>
      <c r="O30">
        <v>9308.9599999999991</v>
      </c>
      <c r="P30">
        <v>9612.4</v>
      </c>
      <c r="Q30">
        <v>22.6</v>
      </c>
    </row>
    <row r="31" spans="1:17">
      <c r="A31" t="s">
        <v>3</v>
      </c>
      <c r="B31">
        <v>30</v>
      </c>
      <c r="C31">
        <v>25.92</v>
      </c>
      <c r="D31">
        <v>12.76</v>
      </c>
      <c r="E31">
        <v>1.92</v>
      </c>
      <c r="F31">
        <v>0.52</v>
      </c>
      <c r="G31">
        <v>0.04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 t="s">
        <v>3</v>
      </c>
      <c r="B32">
        <v>31</v>
      </c>
      <c r="C32">
        <v>735.78</v>
      </c>
      <c r="D32">
        <v>384.18</v>
      </c>
      <c r="E32">
        <v>193.96</v>
      </c>
      <c r="F32">
        <v>55.26</v>
      </c>
      <c r="G32">
        <v>9.56</v>
      </c>
      <c r="H32">
        <v>105.44</v>
      </c>
      <c r="I32">
        <v>56.88</v>
      </c>
      <c r="J32">
        <v>24.2</v>
      </c>
      <c r="K32">
        <v>0</v>
      </c>
      <c r="L32">
        <v>0</v>
      </c>
      <c r="M32">
        <v>9577.24</v>
      </c>
      <c r="N32">
        <v>6694.76</v>
      </c>
      <c r="O32">
        <v>5093.3999999999996</v>
      </c>
      <c r="P32">
        <v>527.55999999999995</v>
      </c>
      <c r="Q32">
        <v>146.63999999999999</v>
      </c>
    </row>
    <row r="33" spans="1:17">
      <c r="A33" t="s">
        <v>3</v>
      </c>
      <c r="B33">
        <v>32</v>
      </c>
      <c r="C33">
        <v>252.4</v>
      </c>
      <c r="D33">
        <v>106.12</v>
      </c>
      <c r="E33">
        <v>31.54</v>
      </c>
      <c r="F33">
        <v>17.02</v>
      </c>
      <c r="G33">
        <v>8.48</v>
      </c>
      <c r="H33">
        <v>2.36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3</v>
      </c>
      <c r="B34">
        <v>33</v>
      </c>
      <c r="C34">
        <v>2509.84</v>
      </c>
      <c r="D34">
        <v>718.34</v>
      </c>
      <c r="E34">
        <v>219.02</v>
      </c>
      <c r="F34">
        <v>127.4</v>
      </c>
      <c r="G34">
        <v>80.14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 t="s">
        <v>4</v>
      </c>
      <c r="B35">
        <v>199</v>
      </c>
      <c r="C35">
        <v>4923.5</v>
      </c>
      <c r="D35">
        <v>97.72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t="s">
        <v>4</v>
      </c>
      <c r="B36">
        <v>206</v>
      </c>
      <c r="C36">
        <v>2149.64</v>
      </c>
      <c r="D36">
        <v>17.8</v>
      </c>
      <c r="E36">
        <v>0</v>
      </c>
      <c r="F36">
        <v>0</v>
      </c>
      <c r="G36">
        <v>0</v>
      </c>
      <c r="H36">
        <v>378</v>
      </c>
      <c r="I36">
        <v>970.6</v>
      </c>
      <c r="J36">
        <v>0.72</v>
      </c>
      <c r="K36">
        <v>0</v>
      </c>
      <c r="L36">
        <v>0</v>
      </c>
      <c r="M36">
        <v>0</v>
      </c>
      <c r="N36">
        <v>1001.6800000000001</v>
      </c>
      <c r="O36">
        <v>1100.1600000000001</v>
      </c>
      <c r="P36">
        <v>949.84</v>
      </c>
      <c r="Q36">
        <v>0</v>
      </c>
    </row>
    <row r="37" spans="1:17">
      <c r="A37" t="s">
        <v>4</v>
      </c>
      <c r="B37">
        <v>207</v>
      </c>
      <c r="C37">
        <v>3602.14</v>
      </c>
      <c r="D37">
        <v>2.52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t="s">
        <v>4</v>
      </c>
      <c r="B38">
        <v>209</v>
      </c>
      <c r="C38">
        <v>1827.1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 t="s">
        <v>5</v>
      </c>
      <c r="B39">
        <v>338</v>
      </c>
      <c r="C39">
        <v>62.96</v>
      </c>
      <c r="D39">
        <v>20.46</v>
      </c>
      <c r="E39">
        <v>10.78</v>
      </c>
      <c r="F39">
        <v>4.04</v>
      </c>
      <c r="G39">
        <v>1.1200000000000001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t="s">
        <v>5</v>
      </c>
      <c r="B40">
        <v>339</v>
      </c>
      <c r="C40">
        <v>175.98</v>
      </c>
      <c r="D40">
        <v>36.28</v>
      </c>
      <c r="E40">
        <v>16.66</v>
      </c>
      <c r="F40">
        <v>7.5</v>
      </c>
      <c r="G40">
        <v>4.76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 t="s">
        <v>5</v>
      </c>
      <c r="B41">
        <v>340</v>
      </c>
      <c r="C41">
        <v>50.9</v>
      </c>
      <c r="D41">
        <v>7.22</v>
      </c>
      <c r="E41">
        <v>1.36</v>
      </c>
      <c r="F41">
        <v>0.26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 t="s">
        <v>5</v>
      </c>
      <c r="B42">
        <v>341</v>
      </c>
      <c r="C42">
        <v>0.02</v>
      </c>
      <c r="D42">
        <v>0</v>
      </c>
      <c r="E42">
        <v>0</v>
      </c>
      <c r="F42">
        <v>0</v>
      </c>
      <c r="G42">
        <v>0</v>
      </c>
      <c r="H42">
        <v>9.8000000000000007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6</v>
      </c>
      <c r="B43">
        <v>160</v>
      </c>
      <c r="C43">
        <v>0.38</v>
      </c>
      <c r="D43">
        <v>0.02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 t="s">
        <v>6</v>
      </c>
      <c r="B44">
        <v>162</v>
      </c>
      <c r="C44">
        <v>0</v>
      </c>
      <c r="D44">
        <v>0</v>
      </c>
      <c r="E44">
        <v>0</v>
      </c>
      <c r="F44">
        <v>0</v>
      </c>
      <c r="G44">
        <v>0</v>
      </c>
      <c r="H44">
        <v>13077.56</v>
      </c>
      <c r="I44">
        <v>412.48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 t="s">
        <v>6</v>
      </c>
      <c r="B45">
        <v>256</v>
      </c>
      <c r="C45">
        <v>0</v>
      </c>
      <c r="D45">
        <v>0</v>
      </c>
      <c r="E45">
        <v>0</v>
      </c>
      <c r="F45">
        <v>0</v>
      </c>
      <c r="G45">
        <v>0</v>
      </c>
      <c r="H45">
        <v>3443.76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t="s">
        <v>6</v>
      </c>
      <c r="B46">
        <v>261</v>
      </c>
      <c r="C46">
        <v>0</v>
      </c>
      <c r="D46">
        <v>0</v>
      </c>
      <c r="E46">
        <v>0</v>
      </c>
      <c r="F46">
        <v>0</v>
      </c>
      <c r="G46">
        <v>0</v>
      </c>
      <c r="H46">
        <v>26490.28</v>
      </c>
      <c r="I46">
        <v>282.39999999999998</v>
      </c>
      <c r="J46">
        <v>0</v>
      </c>
      <c r="K46">
        <v>0</v>
      </c>
      <c r="L46">
        <v>0</v>
      </c>
      <c r="M46">
        <v>13472.64</v>
      </c>
      <c r="N46">
        <v>10721.44</v>
      </c>
      <c r="O46">
        <v>0</v>
      </c>
      <c r="P46">
        <v>0</v>
      </c>
      <c r="Q46">
        <v>0</v>
      </c>
    </row>
    <row r="47" spans="1:17">
      <c r="A47" t="s">
        <v>6</v>
      </c>
      <c r="B47">
        <v>264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t="s">
        <v>7</v>
      </c>
      <c r="B48">
        <v>149</v>
      </c>
      <c r="C48">
        <v>5161.16</v>
      </c>
      <c r="D48">
        <v>51.84</v>
      </c>
      <c r="E48">
        <v>3.32</v>
      </c>
      <c r="F48">
        <v>0.36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t="s">
        <v>7</v>
      </c>
      <c r="B49">
        <v>150</v>
      </c>
      <c r="C49">
        <v>83.9</v>
      </c>
      <c r="D49">
        <v>5110.2</v>
      </c>
      <c r="E49">
        <v>21.92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 t="s">
        <v>7</v>
      </c>
      <c r="B50">
        <v>163</v>
      </c>
      <c r="C50">
        <v>3567.38</v>
      </c>
      <c r="D50">
        <v>2038.9599999999998</v>
      </c>
      <c r="E50">
        <v>569.07999999999993</v>
      </c>
      <c r="F50">
        <v>148.36000000000001</v>
      </c>
      <c r="G50">
        <v>5.04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7</v>
      </c>
      <c r="B51">
        <v>164</v>
      </c>
      <c r="C51">
        <v>4793.04</v>
      </c>
      <c r="D51">
        <v>129.63999999999999</v>
      </c>
      <c r="E51">
        <v>55.12</v>
      </c>
      <c r="F51">
        <v>79.92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7</v>
      </c>
      <c r="B52">
        <v>165</v>
      </c>
      <c r="C52">
        <v>39217.86</v>
      </c>
      <c r="D52">
        <v>10553.84</v>
      </c>
      <c r="E52">
        <v>64.760000000000005</v>
      </c>
      <c r="F52">
        <v>3.64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7</v>
      </c>
      <c r="B53">
        <v>166</v>
      </c>
      <c r="C53">
        <v>5064.4799999999996</v>
      </c>
      <c r="D53">
        <v>1317.34</v>
      </c>
      <c r="E53">
        <v>122.62</v>
      </c>
      <c r="F53">
        <v>27.88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7</v>
      </c>
      <c r="B54">
        <v>167</v>
      </c>
      <c r="C54">
        <v>6029.2</v>
      </c>
      <c r="D54">
        <v>158.24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t="s">
        <v>7</v>
      </c>
      <c r="B55">
        <v>172</v>
      </c>
      <c r="C55">
        <v>22.8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 t="s">
        <v>7</v>
      </c>
      <c r="B56">
        <v>174</v>
      </c>
      <c r="C56">
        <v>1335.22</v>
      </c>
      <c r="D56">
        <v>0</v>
      </c>
      <c r="E56">
        <v>0</v>
      </c>
      <c r="F56">
        <v>0</v>
      </c>
      <c r="G56">
        <v>0</v>
      </c>
      <c r="H56">
        <v>4159.5200000000004</v>
      </c>
      <c r="I56">
        <v>11815.76</v>
      </c>
      <c r="J56">
        <v>4457.4399999999996</v>
      </c>
      <c r="K56">
        <v>0</v>
      </c>
      <c r="L56">
        <v>0</v>
      </c>
      <c r="M56">
        <v>0</v>
      </c>
      <c r="N56">
        <v>9298.64</v>
      </c>
      <c r="O56">
        <v>6548.04</v>
      </c>
      <c r="P56">
        <v>0</v>
      </c>
      <c r="Q56">
        <v>0</v>
      </c>
    </row>
    <row r="57" spans="1:17">
      <c r="A57" t="s">
        <v>7</v>
      </c>
      <c r="B57">
        <v>175</v>
      </c>
      <c r="C57">
        <v>0</v>
      </c>
      <c r="D57">
        <v>0</v>
      </c>
      <c r="E57">
        <v>0</v>
      </c>
      <c r="F57">
        <v>0</v>
      </c>
      <c r="G57">
        <v>0</v>
      </c>
      <c r="H57">
        <v>7100.24</v>
      </c>
      <c r="I57">
        <v>3291.76</v>
      </c>
      <c r="J57">
        <v>0</v>
      </c>
      <c r="K57">
        <v>0</v>
      </c>
      <c r="L57">
        <v>0</v>
      </c>
      <c r="M57">
        <v>0.4</v>
      </c>
      <c r="N57">
        <v>1202.72</v>
      </c>
      <c r="O57">
        <v>0</v>
      </c>
      <c r="P57">
        <v>0</v>
      </c>
      <c r="Q57">
        <v>0</v>
      </c>
    </row>
    <row r="58" spans="1:17">
      <c r="A58" t="s">
        <v>7</v>
      </c>
      <c r="B58">
        <v>256</v>
      </c>
      <c r="C58">
        <v>0</v>
      </c>
      <c r="D58">
        <v>0</v>
      </c>
      <c r="E58">
        <v>0</v>
      </c>
      <c r="F58">
        <v>0</v>
      </c>
      <c r="G58">
        <v>0</v>
      </c>
      <c r="H58">
        <v>3112.64</v>
      </c>
      <c r="I58">
        <v>83.4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 t="s">
        <v>8</v>
      </c>
      <c r="B59">
        <v>270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856.92</v>
      </c>
      <c r="O59">
        <v>0</v>
      </c>
      <c r="P59">
        <v>0</v>
      </c>
      <c r="Q59">
        <v>0</v>
      </c>
    </row>
    <row r="60" spans="1:17">
      <c r="A60" t="s">
        <v>8</v>
      </c>
      <c r="B60">
        <v>309</v>
      </c>
      <c r="C60">
        <v>0</v>
      </c>
      <c r="D60">
        <v>0</v>
      </c>
      <c r="E60">
        <v>0</v>
      </c>
      <c r="F60">
        <v>0</v>
      </c>
      <c r="G60">
        <v>0</v>
      </c>
      <c r="H60">
        <v>9328.48</v>
      </c>
      <c r="I60">
        <v>1816</v>
      </c>
      <c r="J60">
        <v>0</v>
      </c>
      <c r="K60">
        <v>0</v>
      </c>
      <c r="L60">
        <v>0</v>
      </c>
      <c r="M60">
        <v>630.76</v>
      </c>
      <c r="N60">
        <v>9036.9599999999991</v>
      </c>
      <c r="O60">
        <v>63.56</v>
      </c>
      <c r="P60">
        <v>0</v>
      </c>
      <c r="Q60">
        <v>0</v>
      </c>
    </row>
    <row r="61" spans="1:17">
      <c r="A61" t="s">
        <v>8</v>
      </c>
      <c r="B61">
        <v>310</v>
      </c>
      <c r="C61">
        <v>0</v>
      </c>
      <c r="D61">
        <v>0</v>
      </c>
      <c r="E61">
        <v>0</v>
      </c>
      <c r="F61">
        <v>0</v>
      </c>
      <c r="G61">
        <v>0</v>
      </c>
      <c r="H61">
        <v>2369.3200000000002</v>
      </c>
      <c r="I61">
        <v>1926.8</v>
      </c>
      <c r="J61">
        <v>0.12</v>
      </c>
      <c r="K61">
        <v>0</v>
      </c>
      <c r="L61">
        <v>0</v>
      </c>
      <c r="M61">
        <v>0</v>
      </c>
      <c r="N61">
        <v>2876.44</v>
      </c>
      <c r="O61">
        <v>1041.28</v>
      </c>
      <c r="P61">
        <v>0</v>
      </c>
      <c r="Q61">
        <v>0</v>
      </c>
    </row>
    <row r="62" spans="1:17">
      <c r="A62" t="s">
        <v>8</v>
      </c>
      <c r="B62">
        <v>311</v>
      </c>
      <c r="C62">
        <v>0</v>
      </c>
      <c r="D62">
        <v>0</v>
      </c>
      <c r="E62">
        <v>0</v>
      </c>
      <c r="F62">
        <v>0</v>
      </c>
      <c r="G62">
        <v>0</v>
      </c>
      <c r="H62">
        <v>8154.64</v>
      </c>
      <c r="I62">
        <v>1693.84</v>
      </c>
      <c r="J62">
        <v>0</v>
      </c>
      <c r="K62">
        <v>0</v>
      </c>
      <c r="L62">
        <v>0</v>
      </c>
      <c r="M62">
        <v>6728.52</v>
      </c>
      <c r="N62">
        <v>5936.48</v>
      </c>
      <c r="O62">
        <v>4.5199999999999996</v>
      </c>
      <c r="P62">
        <v>0</v>
      </c>
      <c r="Q62">
        <v>0</v>
      </c>
    </row>
    <row r="63" spans="1:17">
      <c r="A63" t="s">
        <v>8</v>
      </c>
      <c r="B63">
        <v>312</v>
      </c>
      <c r="C63">
        <v>0</v>
      </c>
      <c r="D63">
        <v>0</v>
      </c>
      <c r="E63">
        <v>0</v>
      </c>
      <c r="F63">
        <v>0</v>
      </c>
      <c r="G63">
        <v>0</v>
      </c>
      <c r="H63">
        <v>19456.52</v>
      </c>
      <c r="I63">
        <v>0</v>
      </c>
      <c r="J63">
        <v>0</v>
      </c>
      <c r="K63">
        <v>0</v>
      </c>
      <c r="L63">
        <v>0</v>
      </c>
      <c r="M63">
        <v>14848.76</v>
      </c>
      <c r="N63">
        <v>0</v>
      </c>
      <c r="O63">
        <v>0</v>
      </c>
      <c r="P63">
        <v>0</v>
      </c>
      <c r="Q63">
        <v>0</v>
      </c>
    </row>
    <row r="64" spans="1:17">
      <c r="A64" t="s">
        <v>8</v>
      </c>
      <c r="B64">
        <v>313</v>
      </c>
      <c r="C64">
        <v>0</v>
      </c>
      <c r="D64">
        <v>0</v>
      </c>
      <c r="E64">
        <v>0</v>
      </c>
      <c r="F64">
        <v>0</v>
      </c>
      <c r="G64">
        <v>0</v>
      </c>
      <c r="H64">
        <v>3996</v>
      </c>
      <c r="I64">
        <v>683.4</v>
      </c>
      <c r="J64">
        <v>0</v>
      </c>
      <c r="K64">
        <v>0</v>
      </c>
      <c r="L64">
        <v>0</v>
      </c>
      <c r="M64">
        <v>5810.44</v>
      </c>
      <c r="N64">
        <v>35150.879999999997</v>
      </c>
      <c r="O64">
        <v>0</v>
      </c>
      <c r="P64">
        <v>0</v>
      </c>
      <c r="Q64">
        <v>0</v>
      </c>
    </row>
    <row r="65" spans="1:17">
      <c r="A65" t="s">
        <v>9</v>
      </c>
      <c r="B65">
        <v>144</v>
      </c>
      <c r="C65">
        <v>157.56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t="s">
        <v>9</v>
      </c>
      <c r="B66">
        <v>184</v>
      </c>
      <c r="C66">
        <v>114.46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t="s">
        <v>9</v>
      </c>
      <c r="B67">
        <v>185</v>
      </c>
      <c r="C67">
        <v>0.2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 t="s">
        <v>9</v>
      </c>
      <c r="B68">
        <v>189</v>
      </c>
      <c r="C68">
        <v>3.94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 t="s">
        <v>9</v>
      </c>
      <c r="B69">
        <v>199</v>
      </c>
      <c r="C69">
        <v>958.68</v>
      </c>
      <c r="D69">
        <v>14.24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t="s">
        <v>9</v>
      </c>
      <c r="B70">
        <v>200</v>
      </c>
      <c r="C70">
        <v>7251.38</v>
      </c>
      <c r="D70">
        <v>74.06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 t="s">
        <v>9</v>
      </c>
      <c r="B71">
        <v>201</v>
      </c>
      <c r="C71">
        <v>2309.6999999999998</v>
      </c>
      <c r="D71">
        <v>224.46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 t="s">
        <v>9</v>
      </c>
      <c r="B72">
        <v>202</v>
      </c>
      <c r="C72">
        <v>9844.24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t="s">
        <v>9</v>
      </c>
      <c r="B73">
        <v>203</v>
      </c>
      <c r="C73">
        <v>5430.6</v>
      </c>
      <c r="D73">
        <v>35.56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t="s">
        <v>9</v>
      </c>
      <c r="B74">
        <v>204</v>
      </c>
      <c r="C74">
        <v>850.28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 t="s">
        <v>9</v>
      </c>
      <c r="B75">
        <v>205</v>
      </c>
      <c r="C75">
        <v>6406.52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t="s">
        <v>9</v>
      </c>
      <c r="B76">
        <v>207</v>
      </c>
      <c r="C76">
        <v>1913.4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t="s">
        <v>9</v>
      </c>
      <c r="B77">
        <v>208</v>
      </c>
      <c r="C77">
        <v>4863.2</v>
      </c>
      <c r="D77">
        <v>70.38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 t="s">
        <v>9</v>
      </c>
      <c r="B78">
        <v>209</v>
      </c>
      <c r="C78">
        <v>5751.42</v>
      </c>
      <c r="D78">
        <v>3.8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 t="s">
        <v>9</v>
      </c>
      <c r="B79">
        <v>210</v>
      </c>
      <c r="C79">
        <v>9232.5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 t="s">
        <v>10</v>
      </c>
      <c r="B80">
        <v>342</v>
      </c>
      <c r="C80">
        <v>287.74</v>
      </c>
      <c r="D80">
        <v>64.319999999999993</v>
      </c>
      <c r="E80">
        <v>2.44</v>
      </c>
      <c r="F80">
        <v>0</v>
      </c>
      <c r="G80">
        <v>0</v>
      </c>
      <c r="H80">
        <v>692.6</v>
      </c>
      <c r="I80">
        <v>1610.04</v>
      </c>
      <c r="J80">
        <v>1851.28</v>
      </c>
      <c r="K80">
        <v>530.20000000000005</v>
      </c>
      <c r="L80">
        <v>0</v>
      </c>
      <c r="M80">
        <v>0.6</v>
      </c>
      <c r="N80">
        <v>500.79999999999995</v>
      </c>
      <c r="O80">
        <v>430.52</v>
      </c>
      <c r="P80">
        <v>15589.08</v>
      </c>
      <c r="Q80">
        <v>5.12</v>
      </c>
    </row>
    <row r="81" spans="1:17">
      <c r="A81" t="s">
        <v>11</v>
      </c>
      <c r="B81">
        <v>305</v>
      </c>
      <c r="C81">
        <v>0</v>
      </c>
      <c r="D81">
        <v>0</v>
      </c>
      <c r="E81">
        <v>0</v>
      </c>
      <c r="F81">
        <v>0</v>
      </c>
      <c r="G81">
        <v>0</v>
      </c>
      <c r="H81">
        <v>77.36</v>
      </c>
      <c r="I81">
        <v>238.68</v>
      </c>
      <c r="J81">
        <v>0</v>
      </c>
      <c r="K81">
        <v>0</v>
      </c>
      <c r="L81">
        <v>0</v>
      </c>
      <c r="M81">
        <v>0.88</v>
      </c>
      <c r="N81">
        <v>13.56</v>
      </c>
      <c r="O81">
        <v>0</v>
      </c>
      <c r="P81">
        <v>0</v>
      </c>
      <c r="Q81">
        <v>0</v>
      </c>
    </row>
    <row r="82" spans="1:17">
      <c r="A82" t="s">
        <v>11</v>
      </c>
      <c r="B82">
        <v>307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18</v>
      </c>
      <c r="J82">
        <v>169.28</v>
      </c>
      <c r="K82">
        <v>878.28</v>
      </c>
      <c r="L82">
        <v>0</v>
      </c>
      <c r="M82">
        <v>0</v>
      </c>
      <c r="N82">
        <v>0</v>
      </c>
      <c r="O82">
        <v>0</v>
      </c>
      <c r="P82">
        <v>1069.8</v>
      </c>
      <c r="Q82">
        <v>0</v>
      </c>
    </row>
    <row r="83" spans="1:17">
      <c r="A83" t="s">
        <v>11</v>
      </c>
      <c r="B83">
        <v>314</v>
      </c>
      <c r="C83">
        <v>132.38</v>
      </c>
      <c r="D83">
        <v>24.6</v>
      </c>
      <c r="E83">
        <v>0.4</v>
      </c>
      <c r="F83">
        <v>0</v>
      </c>
      <c r="G83">
        <v>0</v>
      </c>
      <c r="H83">
        <v>323.52</v>
      </c>
      <c r="I83">
        <v>2317.48</v>
      </c>
      <c r="J83">
        <v>3065.08</v>
      </c>
      <c r="K83">
        <v>1907.44</v>
      </c>
      <c r="L83">
        <v>0</v>
      </c>
      <c r="M83">
        <v>0</v>
      </c>
      <c r="N83">
        <v>3.04</v>
      </c>
      <c r="O83">
        <v>93.72</v>
      </c>
      <c r="P83">
        <v>5069.8</v>
      </c>
      <c r="Q83">
        <v>0</v>
      </c>
    </row>
    <row r="84" spans="1:17">
      <c r="A84" t="s">
        <v>11</v>
      </c>
      <c r="B84">
        <v>315</v>
      </c>
      <c r="C84">
        <v>101.74</v>
      </c>
      <c r="D84">
        <v>1.96</v>
      </c>
      <c r="E84">
        <v>0</v>
      </c>
      <c r="F84">
        <v>0</v>
      </c>
      <c r="G84">
        <v>0</v>
      </c>
      <c r="H84">
        <v>323.44</v>
      </c>
      <c r="I84">
        <v>1015.52</v>
      </c>
      <c r="J84">
        <v>1474.6</v>
      </c>
      <c r="K84">
        <v>254.72</v>
      </c>
      <c r="L84">
        <v>0</v>
      </c>
      <c r="M84">
        <v>0</v>
      </c>
      <c r="N84">
        <v>0.08</v>
      </c>
      <c r="O84">
        <v>278.56</v>
      </c>
      <c r="P84">
        <v>4862.4399999999996</v>
      </c>
      <c r="Q84">
        <v>0</v>
      </c>
    </row>
    <row r="85" spans="1:17">
      <c r="A85" t="s">
        <v>11</v>
      </c>
      <c r="B85">
        <v>316</v>
      </c>
      <c r="C85">
        <v>205.06</v>
      </c>
      <c r="D85">
        <v>4.68</v>
      </c>
      <c r="E85">
        <v>0</v>
      </c>
      <c r="F85">
        <v>0</v>
      </c>
      <c r="G85">
        <v>0</v>
      </c>
      <c r="H85">
        <v>718.4</v>
      </c>
      <c r="I85">
        <v>944.4</v>
      </c>
      <c r="J85">
        <v>0</v>
      </c>
      <c r="K85">
        <v>0</v>
      </c>
      <c r="L85">
        <v>0</v>
      </c>
      <c r="M85">
        <v>3.96</v>
      </c>
      <c r="N85">
        <v>14.64</v>
      </c>
      <c r="O85">
        <v>0</v>
      </c>
      <c r="P85">
        <v>0</v>
      </c>
      <c r="Q85">
        <v>0</v>
      </c>
    </row>
    <row r="86" spans="1:17">
      <c r="A86" t="s">
        <v>11</v>
      </c>
      <c r="B86">
        <v>317</v>
      </c>
      <c r="C86">
        <v>0.2</v>
      </c>
      <c r="D86">
        <v>0</v>
      </c>
      <c r="E86">
        <v>0</v>
      </c>
      <c r="F86">
        <v>0</v>
      </c>
      <c r="G86">
        <v>0</v>
      </c>
      <c r="H86">
        <v>169</v>
      </c>
      <c r="I86">
        <v>165.96</v>
      </c>
      <c r="J86">
        <v>0</v>
      </c>
      <c r="K86">
        <v>0</v>
      </c>
      <c r="L86">
        <v>0</v>
      </c>
      <c r="M86">
        <v>2.08</v>
      </c>
      <c r="N86">
        <v>1.76</v>
      </c>
      <c r="O86">
        <v>0</v>
      </c>
      <c r="P86">
        <v>0</v>
      </c>
      <c r="Q86">
        <v>0</v>
      </c>
    </row>
    <row r="87" spans="1:17">
      <c r="A87" t="s">
        <v>11</v>
      </c>
      <c r="B87">
        <v>318</v>
      </c>
      <c r="C87">
        <v>16.54</v>
      </c>
      <c r="D87">
        <v>0.04</v>
      </c>
      <c r="E87">
        <v>0</v>
      </c>
      <c r="F87">
        <v>0</v>
      </c>
      <c r="G87">
        <v>0</v>
      </c>
      <c r="H87">
        <v>277.95999999999998</v>
      </c>
      <c r="I87">
        <v>1054.76</v>
      </c>
      <c r="J87">
        <v>844.44</v>
      </c>
      <c r="K87">
        <v>132.36000000000001</v>
      </c>
      <c r="L87">
        <v>0</v>
      </c>
      <c r="M87">
        <v>0</v>
      </c>
      <c r="N87">
        <v>12.76</v>
      </c>
      <c r="O87">
        <v>208.72</v>
      </c>
      <c r="P87">
        <v>500.96</v>
      </c>
      <c r="Q87">
        <v>0</v>
      </c>
    </row>
    <row r="88" spans="1:17">
      <c r="A88" t="s">
        <v>11</v>
      </c>
      <c r="B88">
        <v>319</v>
      </c>
      <c r="C88">
        <v>0.94</v>
      </c>
      <c r="D88">
        <v>0</v>
      </c>
      <c r="E88">
        <v>0</v>
      </c>
      <c r="F88">
        <v>0</v>
      </c>
      <c r="G88">
        <v>0</v>
      </c>
      <c r="H88">
        <v>57.4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 t="s">
        <v>11</v>
      </c>
      <c r="B89">
        <v>330</v>
      </c>
      <c r="C89">
        <v>11.04</v>
      </c>
      <c r="D89">
        <v>0.42</v>
      </c>
      <c r="E89">
        <v>0</v>
      </c>
      <c r="F89">
        <v>0</v>
      </c>
      <c r="G89">
        <v>0</v>
      </c>
      <c r="H89">
        <v>399.08</v>
      </c>
      <c r="I89">
        <v>1209.1199999999999</v>
      </c>
      <c r="J89">
        <v>1472.56</v>
      </c>
      <c r="K89">
        <v>1121.76</v>
      </c>
      <c r="L89">
        <v>0</v>
      </c>
      <c r="M89">
        <v>3.88</v>
      </c>
      <c r="N89">
        <v>94.32</v>
      </c>
      <c r="O89">
        <v>457.44</v>
      </c>
      <c r="P89">
        <v>7254</v>
      </c>
      <c r="Q89">
        <v>0</v>
      </c>
    </row>
    <row r="90" spans="1:17">
      <c r="A90" t="s">
        <v>11</v>
      </c>
      <c r="B90">
        <v>331</v>
      </c>
      <c r="C90">
        <v>0.44</v>
      </c>
      <c r="D90">
        <v>0</v>
      </c>
      <c r="E90">
        <v>0</v>
      </c>
      <c r="F90">
        <v>0</v>
      </c>
      <c r="G90">
        <v>0</v>
      </c>
      <c r="H90">
        <v>40.56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t="s">
        <v>11</v>
      </c>
      <c r="B91">
        <v>332</v>
      </c>
      <c r="C91">
        <v>46.1</v>
      </c>
      <c r="D91">
        <v>2.68</v>
      </c>
      <c r="E91">
        <v>0</v>
      </c>
      <c r="F91">
        <v>0</v>
      </c>
      <c r="G91">
        <v>0</v>
      </c>
      <c r="H91">
        <v>283.36</v>
      </c>
      <c r="I91">
        <v>1187.04</v>
      </c>
      <c r="J91">
        <v>1803.24</v>
      </c>
      <c r="K91">
        <v>828.2</v>
      </c>
      <c r="L91">
        <v>0</v>
      </c>
      <c r="M91">
        <v>0</v>
      </c>
      <c r="N91">
        <v>0.04</v>
      </c>
      <c r="O91">
        <v>10.84</v>
      </c>
      <c r="P91">
        <v>3732.56</v>
      </c>
      <c r="Q91">
        <v>0</v>
      </c>
    </row>
    <row r="92" spans="1:17">
      <c r="A92" t="s">
        <v>11</v>
      </c>
      <c r="B92">
        <v>341</v>
      </c>
      <c r="C92">
        <v>0</v>
      </c>
      <c r="D92">
        <v>0</v>
      </c>
      <c r="E92">
        <v>0</v>
      </c>
      <c r="F92">
        <v>0</v>
      </c>
      <c r="G92">
        <v>0</v>
      </c>
      <c r="H92">
        <v>74.959999999999994</v>
      </c>
      <c r="I92">
        <v>10.44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 t="s">
        <v>11</v>
      </c>
      <c r="B93">
        <v>342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t="s">
        <v>12</v>
      </c>
      <c r="B94">
        <v>253</v>
      </c>
      <c r="C94">
        <v>12.76</v>
      </c>
      <c r="D94">
        <v>3.42</v>
      </c>
      <c r="E94">
        <v>0.42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t="s">
        <v>12</v>
      </c>
      <c r="B95">
        <v>305</v>
      </c>
      <c r="C95">
        <v>0</v>
      </c>
      <c r="D95">
        <v>0</v>
      </c>
      <c r="E95">
        <v>0</v>
      </c>
      <c r="F95">
        <v>0</v>
      </c>
      <c r="G95">
        <v>0</v>
      </c>
      <c r="H95">
        <v>138.88</v>
      </c>
      <c r="I95">
        <v>6.12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t="s">
        <v>12</v>
      </c>
      <c r="B96">
        <v>316</v>
      </c>
      <c r="C96">
        <v>0</v>
      </c>
      <c r="D96">
        <v>0</v>
      </c>
      <c r="E96">
        <v>0</v>
      </c>
      <c r="F96">
        <v>0</v>
      </c>
      <c r="G96">
        <v>0</v>
      </c>
      <c r="H96">
        <v>18.84</v>
      </c>
      <c r="I96">
        <v>47.72</v>
      </c>
      <c r="J96">
        <v>0</v>
      </c>
      <c r="K96">
        <v>0</v>
      </c>
      <c r="L96">
        <v>0</v>
      </c>
      <c r="M96">
        <v>0</v>
      </c>
      <c r="N96">
        <v>5.44</v>
      </c>
      <c r="O96">
        <v>0</v>
      </c>
      <c r="P96">
        <v>0</v>
      </c>
      <c r="Q96">
        <v>0</v>
      </c>
    </row>
    <row r="97" spans="1:17">
      <c r="A97" t="s">
        <v>12</v>
      </c>
      <c r="B97">
        <v>317</v>
      </c>
      <c r="C97">
        <v>0</v>
      </c>
      <c r="D97">
        <v>0</v>
      </c>
      <c r="E97">
        <v>0</v>
      </c>
      <c r="F97">
        <v>0</v>
      </c>
      <c r="G97">
        <v>0</v>
      </c>
      <c r="H97">
        <v>908.44</v>
      </c>
      <c r="I97">
        <v>132.96</v>
      </c>
      <c r="J97">
        <v>0</v>
      </c>
      <c r="K97">
        <v>0</v>
      </c>
      <c r="L97">
        <v>0</v>
      </c>
      <c r="M97">
        <v>0.48</v>
      </c>
      <c r="N97">
        <v>1.52</v>
      </c>
      <c r="O97">
        <v>0</v>
      </c>
      <c r="P97">
        <v>0</v>
      </c>
      <c r="Q97">
        <v>0</v>
      </c>
    </row>
    <row r="98" spans="1:17">
      <c r="A98" t="s">
        <v>12</v>
      </c>
      <c r="B98">
        <v>326</v>
      </c>
      <c r="C98">
        <v>0.02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 t="s">
        <v>13</v>
      </c>
      <c r="B99">
        <v>234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30.8</v>
      </c>
      <c r="K99">
        <v>5.2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 t="s">
        <v>13</v>
      </c>
      <c r="B100">
        <v>252</v>
      </c>
      <c r="C100">
        <v>52.62</v>
      </c>
      <c r="D100">
        <v>9.1999999999999993</v>
      </c>
      <c r="E100">
        <v>0.14000000000000001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13</v>
      </c>
      <c r="B101">
        <v>253</v>
      </c>
      <c r="C101">
        <v>84.72</v>
      </c>
      <c r="D101">
        <v>14.76</v>
      </c>
      <c r="E101">
        <v>2.78</v>
      </c>
      <c r="F101">
        <v>0.64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 t="s">
        <v>13</v>
      </c>
      <c r="B102">
        <v>254</v>
      </c>
      <c r="C102">
        <v>72</v>
      </c>
      <c r="D102">
        <v>26.1</v>
      </c>
      <c r="E102">
        <v>11.8</v>
      </c>
      <c r="F102">
        <v>1.22</v>
      </c>
      <c r="G102">
        <v>0.04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13</v>
      </c>
      <c r="B103">
        <v>255</v>
      </c>
      <c r="C103">
        <v>30.38</v>
      </c>
      <c r="D103">
        <v>2.98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t="s">
        <v>13</v>
      </c>
      <c r="B104">
        <v>317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91.44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t="s">
        <v>13</v>
      </c>
      <c r="B105">
        <v>320</v>
      </c>
      <c r="C105">
        <v>165.28</v>
      </c>
      <c r="D105">
        <v>7.2</v>
      </c>
      <c r="E105">
        <v>0</v>
      </c>
      <c r="F105">
        <v>0</v>
      </c>
      <c r="G105">
        <v>0</v>
      </c>
      <c r="H105">
        <v>28.56</v>
      </c>
      <c r="I105">
        <v>134.12</v>
      </c>
      <c r="J105">
        <v>1289</v>
      </c>
      <c r="K105">
        <v>0.04</v>
      </c>
      <c r="L105">
        <v>0</v>
      </c>
      <c r="M105">
        <v>0</v>
      </c>
      <c r="N105">
        <v>11.84</v>
      </c>
      <c r="O105">
        <v>522.84</v>
      </c>
      <c r="P105">
        <v>0</v>
      </c>
      <c r="Q105">
        <v>0</v>
      </c>
    </row>
    <row r="106" spans="1:17">
      <c r="A106" t="s">
        <v>13</v>
      </c>
      <c r="B106">
        <v>321</v>
      </c>
      <c r="C106">
        <v>5.0599999999999996</v>
      </c>
      <c r="D106">
        <v>0.3</v>
      </c>
      <c r="E106">
        <v>0.02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 t="s">
        <v>13</v>
      </c>
      <c r="B107">
        <v>322</v>
      </c>
      <c r="C107">
        <v>585.34</v>
      </c>
      <c r="D107">
        <v>169.06</v>
      </c>
      <c r="E107">
        <v>69.739999999999995</v>
      </c>
      <c r="F107">
        <v>12.28</v>
      </c>
      <c r="G107">
        <v>0.04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 t="s">
        <v>13</v>
      </c>
      <c r="B108">
        <v>323</v>
      </c>
      <c r="C108">
        <v>55.12</v>
      </c>
      <c r="D108">
        <v>8.98</v>
      </c>
      <c r="E108">
        <v>0.56000000000000005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 t="s">
        <v>13</v>
      </c>
      <c r="B109">
        <v>324</v>
      </c>
      <c r="C109">
        <v>58.26</v>
      </c>
      <c r="D109">
        <v>10.34</v>
      </c>
      <c r="E109">
        <v>0.9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 t="s">
        <v>13</v>
      </c>
      <c r="B110">
        <v>325</v>
      </c>
      <c r="C110">
        <v>16.059999999999999</v>
      </c>
      <c r="D110">
        <v>4.4000000000000004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 t="s">
        <v>13</v>
      </c>
      <c r="B111">
        <v>326</v>
      </c>
      <c r="C111">
        <v>35</v>
      </c>
      <c r="D111">
        <v>3.94</v>
      </c>
      <c r="E111">
        <v>0.08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 t="s">
        <v>14</v>
      </c>
      <c r="B112">
        <v>197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324</v>
      </c>
      <c r="Q112">
        <v>0</v>
      </c>
    </row>
    <row r="113" spans="1:17">
      <c r="A113" t="s">
        <v>14</v>
      </c>
      <c r="B113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378</v>
      </c>
      <c r="Q113">
        <v>0</v>
      </c>
    </row>
    <row r="114" spans="1:17">
      <c r="A114" t="s">
        <v>14</v>
      </c>
      <c r="B114">
        <v>211</v>
      </c>
      <c r="C114">
        <v>12.12</v>
      </c>
      <c r="D114">
        <v>0.6</v>
      </c>
      <c r="E114">
        <v>0</v>
      </c>
      <c r="F114">
        <v>0</v>
      </c>
      <c r="G114">
        <v>0</v>
      </c>
      <c r="H114">
        <v>958.08</v>
      </c>
      <c r="I114">
        <v>1252.56</v>
      </c>
      <c r="J114">
        <v>1227.44</v>
      </c>
      <c r="K114">
        <v>238.28</v>
      </c>
      <c r="L114">
        <v>0</v>
      </c>
      <c r="M114">
        <v>13.48</v>
      </c>
      <c r="N114">
        <v>270.08</v>
      </c>
      <c r="O114">
        <v>2685.4</v>
      </c>
      <c r="P114">
        <v>4219.28</v>
      </c>
      <c r="Q114">
        <v>0</v>
      </c>
    </row>
    <row r="115" spans="1:17">
      <c r="A115" t="s">
        <v>14</v>
      </c>
      <c r="B115">
        <v>212</v>
      </c>
      <c r="C115">
        <v>1445.94</v>
      </c>
      <c r="D115">
        <v>60.94</v>
      </c>
      <c r="E115">
        <v>4.34</v>
      </c>
      <c r="F115">
        <v>0.06</v>
      </c>
      <c r="G115">
        <v>0</v>
      </c>
      <c r="H115">
        <v>64.48</v>
      </c>
      <c r="I115">
        <v>246.56</v>
      </c>
      <c r="J115">
        <v>778.52</v>
      </c>
      <c r="K115">
        <v>838.8</v>
      </c>
      <c r="L115">
        <v>6.28</v>
      </c>
      <c r="M115">
        <v>69.56</v>
      </c>
      <c r="N115">
        <v>80.12</v>
      </c>
      <c r="O115">
        <v>386.08</v>
      </c>
      <c r="P115">
        <v>16302.16</v>
      </c>
      <c r="Q115">
        <v>44.84</v>
      </c>
    </row>
    <row r="116" spans="1:17">
      <c r="A116" t="s">
        <v>14</v>
      </c>
      <c r="B116">
        <v>213</v>
      </c>
      <c r="C116">
        <v>208.38</v>
      </c>
      <c r="D116">
        <v>0</v>
      </c>
      <c r="E116">
        <v>0</v>
      </c>
      <c r="F116">
        <v>0</v>
      </c>
      <c r="G116">
        <v>0</v>
      </c>
      <c r="H116">
        <v>4.32</v>
      </c>
      <c r="I116">
        <v>23.36</v>
      </c>
      <c r="J116">
        <v>124.32</v>
      </c>
      <c r="K116">
        <v>15.16</v>
      </c>
      <c r="L116">
        <v>0</v>
      </c>
      <c r="M116">
        <v>0</v>
      </c>
      <c r="N116">
        <v>0</v>
      </c>
      <c r="O116">
        <v>22.28</v>
      </c>
      <c r="P116">
        <v>947.56</v>
      </c>
      <c r="Q116">
        <v>0</v>
      </c>
    </row>
    <row r="117" spans="1:17">
      <c r="A117" t="s">
        <v>14</v>
      </c>
      <c r="B117">
        <v>214</v>
      </c>
      <c r="C117">
        <v>600.34</v>
      </c>
      <c r="D117">
        <v>14.68</v>
      </c>
      <c r="E117">
        <v>0.2</v>
      </c>
      <c r="F117">
        <v>0</v>
      </c>
      <c r="G117">
        <v>0</v>
      </c>
      <c r="H117">
        <v>213.4</v>
      </c>
      <c r="I117">
        <v>432.84</v>
      </c>
      <c r="J117">
        <v>900.8</v>
      </c>
      <c r="K117">
        <v>352.28</v>
      </c>
      <c r="L117">
        <v>0</v>
      </c>
      <c r="M117">
        <v>136.56</v>
      </c>
      <c r="N117">
        <v>220.36</v>
      </c>
      <c r="O117">
        <v>853.28</v>
      </c>
      <c r="P117">
        <v>877.6</v>
      </c>
      <c r="Q117">
        <v>0</v>
      </c>
    </row>
    <row r="118" spans="1:17">
      <c r="A118" t="s">
        <v>14</v>
      </c>
      <c r="B118">
        <v>215</v>
      </c>
      <c r="C118">
        <v>1046.2</v>
      </c>
      <c r="D118">
        <v>0.32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14</v>
      </c>
      <c r="B119">
        <v>216</v>
      </c>
      <c r="C119">
        <v>12.36</v>
      </c>
      <c r="D119">
        <v>1.06</v>
      </c>
      <c r="E119">
        <v>0</v>
      </c>
      <c r="F119">
        <v>0</v>
      </c>
      <c r="G119">
        <v>0</v>
      </c>
      <c r="H119">
        <v>509.28</v>
      </c>
      <c r="I119">
        <v>864.2</v>
      </c>
      <c r="J119">
        <v>847.96</v>
      </c>
      <c r="K119">
        <v>113.88</v>
      </c>
      <c r="L119">
        <v>0</v>
      </c>
      <c r="M119">
        <v>0</v>
      </c>
      <c r="N119">
        <v>130.88</v>
      </c>
      <c r="O119">
        <v>2455.3200000000002</v>
      </c>
      <c r="P119">
        <v>5701.6</v>
      </c>
      <c r="Q119">
        <v>0</v>
      </c>
    </row>
    <row r="120" spans="1:17">
      <c r="A120" t="s">
        <v>14</v>
      </c>
      <c r="B120">
        <v>217</v>
      </c>
      <c r="C120">
        <v>1571.64</v>
      </c>
      <c r="D120">
        <v>2.64</v>
      </c>
      <c r="E120">
        <v>0</v>
      </c>
      <c r="F120">
        <v>0</v>
      </c>
      <c r="G120">
        <v>0</v>
      </c>
      <c r="H120">
        <v>260.72000000000003</v>
      </c>
      <c r="I120">
        <v>434.16</v>
      </c>
      <c r="J120">
        <v>293.95999999999998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14</v>
      </c>
      <c r="B121">
        <v>218</v>
      </c>
      <c r="C121">
        <v>2943.88</v>
      </c>
      <c r="D121">
        <v>65.040000000000006</v>
      </c>
      <c r="E121">
        <v>0</v>
      </c>
      <c r="F121">
        <v>0</v>
      </c>
      <c r="G121">
        <v>0</v>
      </c>
      <c r="H121">
        <v>338.04</v>
      </c>
      <c r="I121">
        <v>582.64</v>
      </c>
      <c r="J121">
        <v>1248.52</v>
      </c>
      <c r="K121">
        <v>327.32</v>
      </c>
      <c r="L121">
        <v>0</v>
      </c>
      <c r="M121">
        <v>0</v>
      </c>
      <c r="N121">
        <v>0</v>
      </c>
      <c r="O121">
        <v>1307.72</v>
      </c>
      <c r="P121">
        <v>4535.4799999999996</v>
      </c>
      <c r="Q121">
        <v>0</v>
      </c>
    </row>
    <row r="122" spans="1:17">
      <c r="A122" t="s">
        <v>14</v>
      </c>
      <c r="B122">
        <v>219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108</v>
      </c>
      <c r="Q122">
        <v>0</v>
      </c>
    </row>
    <row r="123" spans="1:17">
      <c r="A123" t="s">
        <v>14</v>
      </c>
      <c r="B123">
        <v>227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1.08</v>
      </c>
      <c r="I123">
        <v>14.04</v>
      </c>
      <c r="J123">
        <v>29.88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 t="s">
        <v>15</v>
      </c>
      <c r="B124">
        <v>96</v>
      </c>
      <c r="C124">
        <v>37804.300000000003</v>
      </c>
      <c r="D124">
        <v>10452.120000000001</v>
      </c>
      <c r="E124">
        <v>351.34</v>
      </c>
      <c r="F124">
        <v>12.94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 s="21" t="s">
        <v>15</v>
      </c>
      <c r="B125" s="21">
        <v>97</v>
      </c>
      <c r="C125" s="21">
        <v>8447.9599999999991</v>
      </c>
      <c r="D125" s="22">
        <v>10257.120000000001</v>
      </c>
      <c r="E125">
        <v>1609.28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 t="s">
        <v>15</v>
      </c>
      <c r="B126">
        <v>98</v>
      </c>
      <c r="C126">
        <v>4102.9799999999996</v>
      </c>
      <c r="D126">
        <v>14797.2</v>
      </c>
      <c r="E126">
        <v>1449.84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 s="21" t="s">
        <v>15</v>
      </c>
      <c r="B127" s="21">
        <v>99</v>
      </c>
      <c r="C127" s="21">
        <v>39212.06</v>
      </c>
      <c r="D127" s="22">
        <v>11953.62</v>
      </c>
      <c r="E127">
        <v>1613.14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 s="21" t="s">
        <v>15</v>
      </c>
      <c r="B128" s="21">
        <v>100</v>
      </c>
      <c r="C128" s="21">
        <v>4475.8999999999996</v>
      </c>
      <c r="D128" s="22">
        <v>6806.92</v>
      </c>
      <c r="E128">
        <v>191.92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 t="s">
        <v>15</v>
      </c>
      <c r="B129">
        <v>101</v>
      </c>
      <c r="C129">
        <v>5878.34</v>
      </c>
      <c r="D129">
        <v>9424.02</v>
      </c>
      <c r="E129">
        <v>2851.84</v>
      </c>
      <c r="F129">
        <v>186.72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 s="21" t="s">
        <v>15</v>
      </c>
      <c r="B130" s="21">
        <v>102</v>
      </c>
      <c r="C130" s="21">
        <v>15239.52</v>
      </c>
      <c r="D130" s="22">
        <v>5348.34</v>
      </c>
      <c r="E130">
        <v>404.16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 t="s">
        <v>15</v>
      </c>
      <c r="B131">
        <v>103</v>
      </c>
      <c r="C131">
        <v>5347.44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 s="21" t="s">
        <v>15</v>
      </c>
      <c r="B132" s="21">
        <v>104</v>
      </c>
      <c r="C132" s="21">
        <v>3789.26</v>
      </c>
      <c r="D132" s="22">
        <v>10224.42</v>
      </c>
      <c r="E132">
        <v>4595.78</v>
      </c>
      <c r="F132">
        <v>0.48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 s="21" t="s">
        <v>15</v>
      </c>
      <c r="B133" s="21">
        <v>105</v>
      </c>
      <c r="C133" s="21">
        <v>4246.62</v>
      </c>
      <c r="D133" s="22">
        <v>5277.42</v>
      </c>
      <c r="E133">
        <v>7434.58</v>
      </c>
      <c r="F133">
        <v>202.92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 s="21" t="s">
        <v>15</v>
      </c>
      <c r="B134" s="21">
        <v>106</v>
      </c>
      <c r="C134" s="21">
        <v>2418.98</v>
      </c>
      <c r="D134" s="22">
        <v>4603.3</v>
      </c>
      <c r="E134">
        <v>6713.38</v>
      </c>
      <c r="F134">
        <v>18.239999999999998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 t="s">
        <v>15</v>
      </c>
      <c r="B135">
        <v>107</v>
      </c>
      <c r="C135">
        <v>2191.38</v>
      </c>
      <c r="D135">
        <v>3176.88</v>
      </c>
      <c r="E135">
        <v>1705.28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s="21" t="s">
        <v>15</v>
      </c>
      <c r="B136" s="21">
        <v>108</v>
      </c>
      <c r="C136" s="21">
        <v>4063.76</v>
      </c>
      <c r="D136" s="22">
        <v>3065.16</v>
      </c>
      <c r="E136">
        <v>5386.22</v>
      </c>
      <c r="F136">
        <v>435.6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 s="21" t="s">
        <v>15</v>
      </c>
      <c r="B137" s="21">
        <v>109</v>
      </c>
      <c r="C137" s="21">
        <v>11237.52</v>
      </c>
      <c r="D137" s="22">
        <v>11765.68</v>
      </c>
      <c r="E137">
        <v>2012.58</v>
      </c>
      <c r="F137">
        <v>69.599999999999994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 s="21" t="s">
        <v>15</v>
      </c>
      <c r="B138" s="21">
        <v>110</v>
      </c>
      <c r="C138" s="21">
        <v>6078.18</v>
      </c>
      <c r="D138" s="22">
        <v>4682.66</v>
      </c>
      <c r="E138">
        <v>4715.66</v>
      </c>
      <c r="F138">
        <v>863.74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 t="s">
        <v>15</v>
      </c>
      <c r="B139">
        <v>111</v>
      </c>
      <c r="C139">
        <v>3661.78</v>
      </c>
      <c r="D139">
        <v>2648.64</v>
      </c>
      <c r="E139">
        <v>1493.92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 s="21" t="s">
        <v>15</v>
      </c>
      <c r="B140" s="21">
        <v>112</v>
      </c>
      <c r="C140" s="21">
        <v>7678.9</v>
      </c>
      <c r="D140" s="22">
        <v>5082.3</v>
      </c>
      <c r="E140">
        <v>2556.3000000000002</v>
      </c>
      <c r="F140">
        <v>39.119999999999997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 s="21" t="s">
        <v>15</v>
      </c>
      <c r="B141" s="21">
        <v>113</v>
      </c>
      <c r="C141" s="21">
        <v>8689.24</v>
      </c>
      <c r="D141" s="22">
        <v>3979.38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 t="s">
        <v>15</v>
      </c>
      <c r="B142">
        <v>114</v>
      </c>
      <c r="C142">
        <v>81.72</v>
      </c>
      <c r="D142">
        <v>16.96</v>
      </c>
      <c r="E142">
        <v>0.04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s="21" t="s">
        <v>15</v>
      </c>
      <c r="B143" s="21">
        <v>115</v>
      </c>
      <c r="C143" s="21">
        <v>16764.28</v>
      </c>
      <c r="D143" s="22">
        <v>5054.3599999999997</v>
      </c>
      <c r="E143">
        <v>213.5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 s="21" t="s">
        <v>15</v>
      </c>
      <c r="B144" s="21">
        <v>116</v>
      </c>
      <c r="C144" s="21">
        <v>19861.38</v>
      </c>
      <c r="D144" s="22">
        <v>26803.74</v>
      </c>
      <c r="E144">
        <v>1889.7</v>
      </c>
      <c r="F144">
        <v>0.28000000000000003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15</v>
      </c>
      <c r="B145">
        <v>117</v>
      </c>
      <c r="C145">
        <v>22434.82</v>
      </c>
      <c r="D145">
        <v>27048.7</v>
      </c>
      <c r="E145">
        <v>331.7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 s="21" t="s">
        <v>15</v>
      </c>
      <c r="B146" s="21">
        <v>118</v>
      </c>
      <c r="C146" s="21">
        <v>9208.18</v>
      </c>
      <c r="D146" s="22">
        <v>9584.2199999999993</v>
      </c>
      <c r="E146">
        <v>944.72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 s="21" t="s">
        <v>15</v>
      </c>
      <c r="B147" s="21">
        <v>119</v>
      </c>
      <c r="C147" s="21">
        <v>11937.8</v>
      </c>
      <c r="D147" s="22">
        <v>2085.6</v>
      </c>
      <c r="E147">
        <v>4.4400000000000004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 s="21" t="s">
        <v>15</v>
      </c>
      <c r="B148" s="21">
        <v>120</v>
      </c>
      <c r="C148" s="21">
        <v>23586.32</v>
      </c>
      <c r="D148" s="22">
        <v>1251.8599999999999</v>
      </c>
      <c r="E148">
        <v>41.12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 t="s">
        <v>15</v>
      </c>
      <c r="B149">
        <v>121</v>
      </c>
      <c r="C149">
        <v>16027.04</v>
      </c>
      <c r="D149">
        <v>818.1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s="21" t="s">
        <v>15</v>
      </c>
      <c r="B150" s="21">
        <v>122</v>
      </c>
      <c r="C150" s="21">
        <v>9097.84</v>
      </c>
      <c r="D150" s="22">
        <v>245.96</v>
      </c>
      <c r="E150">
        <v>67.84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 s="21" t="s">
        <v>15</v>
      </c>
      <c r="B151" s="21">
        <v>123</v>
      </c>
      <c r="C151" s="21">
        <v>2416.14</v>
      </c>
      <c r="D151" s="22">
        <v>5378.06</v>
      </c>
      <c r="E151">
        <v>1061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>
      <c r="A152" s="21" t="s">
        <v>15</v>
      </c>
      <c r="B152" s="21">
        <v>124</v>
      </c>
      <c r="C152" s="21">
        <v>7329.6</v>
      </c>
      <c r="D152" s="22">
        <v>19.46</v>
      </c>
      <c r="E152">
        <v>0.6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>
      <c r="A153" s="21" t="s">
        <v>15</v>
      </c>
      <c r="B153" s="21">
        <v>125</v>
      </c>
      <c r="C153" s="21">
        <v>26.12</v>
      </c>
      <c r="D153" s="22">
        <v>0.06</v>
      </c>
      <c r="E153">
        <v>0</v>
      </c>
      <c r="F153">
        <v>0</v>
      </c>
      <c r="G153">
        <v>0</v>
      </c>
      <c r="H153">
        <v>70.64</v>
      </c>
      <c r="I153">
        <v>139.08000000000001</v>
      </c>
      <c r="J153">
        <v>0</v>
      </c>
      <c r="K153">
        <v>0</v>
      </c>
      <c r="L153">
        <v>0</v>
      </c>
      <c r="M153">
        <v>125.48</v>
      </c>
      <c r="N153">
        <v>3338.12</v>
      </c>
      <c r="O153">
        <v>831.76</v>
      </c>
      <c r="P153">
        <v>0</v>
      </c>
      <c r="Q153">
        <v>0</v>
      </c>
    </row>
    <row r="154" spans="1:17">
      <c r="A154" t="s">
        <v>15</v>
      </c>
      <c r="B154">
        <v>126</v>
      </c>
      <c r="C154">
        <v>2093.64</v>
      </c>
      <c r="D154">
        <v>8.0399999999999991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>
      <c r="A155" s="21" t="s">
        <v>15</v>
      </c>
      <c r="B155" s="21">
        <v>127</v>
      </c>
      <c r="C155" s="21">
        <v>1441.56</v>
      </c>
      <c r="D155" s="22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>
      <c r="A156" t="s">
        <v>15</v>
      </c>
      <c r="B156">
        <v>128</v>
      </c>
      <c r="C156">
        <v>8942.48</v>
      </c>
      <c r="D156">
        <v>0.16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>
      <c r="A157" s="21" t="s">
        <v>15</v>
      </c>
      <c r="B157" s="21">
        <v>129</v>
      </c>
      <c r="C157" s="21">
        <v>0</v>
      </c>
      <c r="D157" s="22">
        <v>0</v>
      </c>
      <c r="E157">
        <v>0</v>
      </c>
      <c r="F157">
        <v>0</v>
      </c>
      <c r="G157">
        <v>0</v>
      </c>
      <c r="H157">
        <v>328.44</v>
      </c>
      <c r="I157">
        <v>813.04</v>
      </c>
      <c r="J157">
        <v>348.2</v>
      </c>
      <c r="K157">
        <v>1.32</v>
      </c>
      <c r="L157">
        <v>0</v>
      </c>
      <c r="M157">
        <v>228</v>
      </c>
      <c r="N157">
        <v>1541.64</v>
      </c>
      <c r="O157">
        <v>2417.7199999999998</v>
      </c>
      <c r="P157">
        <v>1534.88</v>
      </c>
      <c r="Q157">
        <v>0</v>
      </c>
    </row>
    <row r="158" spans="1:17">
      <c r="A158" s="21" t="s">
        <v>15</v>
      </c>
      <c r="B158" s="21">
        <v>132</v>
      </c>
      <c r="C158" s="21">
        <v>7384.48</v>
      </c>
      <c r="D158" s="22">
        <v>24381.040000000001</v>
      </c>
      <c r="E158">
        <v>36.68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>
      <c r="A159" t="s">
        <v>15</v>
      </c>
      <c r="B159">
        <v>133</v>
      </c>
      <c r="C159">
        <v>6126.08</v>
      </c>
      <c r="D159">
        <v>15.2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>
      <c r="A160" s="21" t="s">
        <v>15</v>
      </c>
      <c r="B160" s="21">
        <v>134</v>
      </c>
      <c r="C160" s="21">
        <v>15581.78</v>
      </c>
      <c r="D160" s="22">
        <v>2572.7199999999998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>
      <c r="A161" s="21" t="s">
        <v>15</v>
      </c>
      <c r="B161" s="21">
        <v>144</v>
      </c>
      <c r="C161" s="21">
        <v>1823.6</v>
      </c>
      <c r="D161" s="22">
        <v>1.24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 s="21" t="s">
        <v>15</v>
      </c>
      <c r="B162" s="21">
        <v>176</v>
      </c>
      <c r="C162" s="21">
        <v>14052.84</v>
      </c>
      <c r="D162" s="22">
        <v>2256.62</v>
      </c>
      <c r="E162">
        <v>49.96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s="21" t="s">
        <v>15</v>
      </c>
      <c r="B163" s="21">
        <v>177</v>
      </c>
      <c r="C163" s="21">
        <v>5205.16</v>
      </c>
      <c r="D163" s="22">
        <v>0.16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>
      <c r="A164" t="s">
        <v>15</v>
      </c>
      <c r="B164">
        <v>178</v>
      </c>
      <c r="C164">
        <v>8899.84</v>
      </c>
      <c r="D164">
        <v>2013.82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>
      <c r="A165" s="21" t="s">
        <v>15</v>
      </c>
      <c r="B165" s="21">
        <v>179</v>
      </c>
      <c r="C165" s="21">
        <v>5849.7</v>
      </c>
      <c r="D165" s="22">
        <v>47.28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>
      <c r="A166" s="21" t="s">
        <v>15</v>
      </c>
      <c r="B166" s="21">
        <v>180</v>
      </c>
      <c r="C166" s="21">
        <v>11639.34</v>
      </c>
      <c r="D166" s="22">
        <v>1599.48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>
      <c r="A167" s="21" t="s">
        <v>15</v>
      </c>
      <c r="B167" s="21">
        <v>181</v>
      </c>
      <c r="C167" s="21">
        <v>694.12</v>
      </c>
      <c r="D167" s="22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>
      <c r="A168" t="s">
        <v>15</v>
      </c>
      <c r="B168">
        <v>182</v>
      </c>
      <c r="C168">
        <v>662.04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>
      <c r="A169" s="21" t="s">
        <v>15</v>
      </c>
      <c r="B169" s="21">
        <v>183</v>
      </c>
      <c r="C169" s="21">
        <v>547.24</v>
      </c>
      <c r="D169" s="22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>
      <c r="A170" s="21" t="s">
        <v>16</v>
      </c>
      <c r="B170" s="21">
        <v>342</v>
      </c>
      <c r="C170" s="21">
        <v>0</v>
      </c>
      <c r="D170" s="22">
        <v>0</v>
      </c>
      <c r="E170">
        <v>0</v>
      </c>
      <c r="F170">
        <v>0</v>
      </c>
      <c r="G170">
        <v>0</v>
      </c>
      <c r="H170">
        <v>39.200000000000003</v>
      </c>
      <c r="I170">
        <v>9</v>
      </c>
      <c r="J170">
        <v>13.24</v>
      </c>
      <c r="K170">
        <v>4.16</v>
      </c>
      <c r="L170">
        <v>0</v>
      </c>
      <c r="M170">
        <v>0</v>
      </c>
      <c r="N170">
        <v>0</v>
      </c>
      <c r="O170">
        <v>31.48</v>
      </c>
      <c r="P170">
        <v>14.12</v>
      </c>
      <c r="Q170">
        <v>0</v>
      </c>
    </row>
    <row r="171" spans="1:17">
      <c r="A171" s="21" t="s">
        <v>16</v>
      </c>
      <c r="B171" s="21">
        <v>343</v>
      </c>
      <c r="C171" s="21">
        <v>2.36</v>
      </c>
      <c r="D171" s="22">
        <v>0.24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 s="21" t="s">
        <v>16</v>
      </c>
      <c r="B172" s="21">
        <v>344</v>
      </c>
      <c r="C172" s="21">
        <v>0</v>
      </c>
      <c r="D172" s="22">
        <v>0</v>
      </c>
      <c r="E172">
        <v>0</v>
      </c>
      <c r="F172">
        <v>0</v>
      </c>
      <c r="G172">
        <v>0</v>
      </c>
      <c r="H172">
        <v>471.36</v>
      </c>
      <c r="I172">
        <v>573.20000000000005</v>
      </c>
      <c r="J172">
        <v>0</v>
      </c>
      <c r="K172">
        <v>0</v>
      </c>
      <c r="L172">
        <v>0</v>
      </c>
      <c r="M172">
        <v>12.2</v>
      </c>
      <c r="N172">
        <v>151.84</v>
      </c>
      <c r="O172">
        <v>2.68</v>
      </c>
      <c r="P172">
        <v>0</v>
      </c>
      <c r="Q172">
        <v>0</v>
      </c>
    </row>
    <row r="173" spans="1:17">
      <c r="A173" t="s">
        <v>16</v>
      </c>
      <c r="B173">
        <v>345</v>
      </c>
      <c r="C173">
        <v>0.22</v>
      </c>
      <c r="D173">
        <v>4.34</v>
      </c>
      <c r="E173">
        <v>1.1399999999999999</v>
      </c>
      <c r="F173">
        <v>0</v>
      </c>
      <c r="G173">
        <v>0</v>
      </c>
      <c r="H173">
        <v>72.88</v>
      </c>
      <c r="I173">
        <v>145.08000000000001</v>
      </c>
      <c r="J173">
        <v>98.08</v>
      </c>
      <c r="K173">
        <v>197.56</v>
      </c>
      <c r="L173">
        <v>0</v>
      </c>
      <c r="M173">
        <v>0</v>
      </c>
      <c r="N173">
        <v>134.6</v>
      </c>
      <c r="O173">
        <v>265.60000000000002</v>
      </c>
      <c r="P173">
        <v>1382.84</v>
      </c>
      <c r="Q173">
        <v>0</v>
      </c>
    </row>
    <row r="174" spans="1:17">
      <c r="A174" s="21" t="s">
        <v>16</v>
      </c>
      <c r="B174" s="21">
        <v>346</v>
      </c>
      <c r="C174" s="21">
        <v>10.66</v>
      </c>
      <c r="D174" s="22">
        <v>2.86</v>
      </c>
      <c r="E174">
        <v>0</v>
      </c>
      <c r="F174">
        <v>0</v>
      </c>
      <c r="G174">
        <v>0</v>
      </c>
      <c r="H174">
        <v>114.08</v>
      </c>
      <c r="I174">
        <v>104.84</v>
      </c>
      <c r="J174">
        <v>163.96</v>
      </c>
      <c r="K174">
        <v>0.04</v>
      </c>
      <c r="L174">
        <v>0</v>
      </c>
      <c r="M174">
        <v>9.44</v>
      </c>
      <c r="N174">
        <v>19.04</v>
      </c>
      <c r="O174">
        <v>245.16</v>
      </c>
      <c r="P174">
        <v>1068.52</v>
      </c>
      <c r="Q174">
        <v>0</v>
      </c>
    </row>
    <row r="175" spans="1:17">
      <c r="A175" s="21" t="s">
        <v>16</v>
      </c>
      <c r="B175" s="21">
        <v>347</v>
      </c>
      <c r="C175" s="21">
        <v>71.58</v>
      </c>
      <c r="D175" s="22">
        <v>22.18</v>
      </c>
      <c r="E175">
        <v>9.2799999999999994</v>
      </c>
      <c r="F175">
        <v>5.22</v>
      </c>
      <c r="G175">
        <v>3.18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>
      <c r="A176" s="21" t="s">
        <v>16</v>
      </c>
      <c r="B176" s="21">
        <v>348</v>
      </c>
      <c r="C176" s="21">
        <v>31.38</v>
      </c>
      <c r="D176" s="22">
        <v>2.2400000000000002</v>
      </c>
      <c r="E176">
        <v>0</v>
      </c>
      <c r="F176">
        <v>0</v>
      </c>
      <c r="G176">
        <v>0</v>
      </c>
      <c r="H176">
        <v>434.2</v>
      </c>
      <c r="I176">
        <v>691.68</v>
      </c>
      <c r="J176">
        <v>400</v>
      </c>
      <c r="K176">
        <v>128.4</v>
      </c>
      <c r="L176">
        <v>0</v>
      </c>
      <c r="M176">
        <v>3.8</v>
      </c>
      <c r="N176">
        <v>186.96</v>
      </c>
      <c r="O176">
        <v>1063.8</v>
      </c>
      <c r="P176">
        <v>6736.56</v>
      </c>
      <c r="Q176">
        <v>297.64</v>
      </c>
    </row>
    <row r="177" spans="1:17">
      <c r="A177" s="21" t="s">
        <v>16</v>
      </c>
      <c r="B177" s="21">
        <v>349</v>
      </c>
      <c r="C177" s="21">
        <v>210.62</v>
      </c>
      <c r="D177" s="22">
        <v>75.680000000000007</v>
      </c>
      <c r="E177">
        <v>25.56</v>
      </c>
      <c r="F177">
        <v>4.24</v>
      </c>
      <c r="G177">
        <v>0</v>
      </c>
      <c r="H177">
        <v>93.68</v>
      </c>
      <c r="I177">
        <v>514.48</v>
      </c>
      <c r="J177">
        <v>1449.52</v>
      </c>
      <c r="K177">
        <v>5399.08</v>
      </c>
      <c r="L177">
        <v>333.64</v>
      </c>
      <c r="M177">
        <v>0</v>
      </c>
      <c r="N177">
        <v>0.12</v>
      </c>
      <c r="O177">
        <v>34.32</v>
      </c>
      <c r="P177">
        <v>23034.720000000001</v>
      </c>
      <c r="Q177">
        <v>1456.2</v>
      </c>
    </row>
    <row r="178" spans="1:17">
      <c r="A178" s="21" t="s">
        <v>16</v>
      </c>
      <c r="B178" s="21">
        <v>350</v>
      </c>
      <c r="C178" s="21">
        <v>73.48</v>
      </c>
      <c r="D178" s="22">
        <v>30.62</v>
      </c>
      <c r="E178">
        <v>18.760000000000002</v>
      </c>
      <c r="F178">
        <v>14.28</v>
      </c>
      <c r="G178">
        <v>5.7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>
      <c r="A179" t="s">
        <v>16</v>
      </c>
      <c r="B179">
        <v>351</v>
      </c>
      <c r="C179">
        <v>200.06</v>
      </c>
      <c r="D179">
        <v>78.540000000000006</v>
      </c>
      <c r="E179">
        <v>38.92</v>
      </c>
      <c r="F179">
        <v>30.2</v>
      </c>
      <c r="G179">
        <v>8.68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>
      <c r="A180" s="21" t="s">
        <v>16</v>
      </c>
      <c r="B180" s="21">
        <v>352</v>
      </c>
      <c r="C180" s="21">
        <v>241.62</v>
      </c>
      <c r="D180" s="22">
        <v>101.84</v>
      </c>
      <c r="E180">
        <v>47.5</v>
      </c>
      <c r="F180">
        <v>32.06</v>
      </c>
      <c r="G180">
        <v>11.1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>
      <c r="A181" s="21" t="s">
        <v>16</v>
      </c>
      <c r="B181" s="21">
        <v>353</v>
      </c>
      <c r="C181" s="21">
        <v>226.94</v>
      </c>
      <c r="D181" s="22">
        <v>99.58</v>
      </c>
      <c r="E181">
        <v>43.96</v>
      </c>
      <c r="F181">
        <v>28.24</v>
      </c>
      <c r="G181">
        <v>6.06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>
      <c r="A182" t="s">
        <v>16</v>
      </c>
      <c r="B182">
        <v>354</v>
      </c>
      <c r="C182">
        <v>59.9</v>
      </c>
      <c r="D182">
        <v>15.68</v>
      </c>
      <c r="E182">
        <v>5.68</v>
      </c>
      <c r="F182">
        <v>4.5599999999999996</v>
      </c>
      <c r="G182">
        <v>0.4</v>
      </c>
      <c r="H182">
        <v>82.76</v>
      </c>
      <c r="I182">
        <v>45.32</v>
      </c>
      <c r="J182">
        <v>0.28000000000000003</v>
      </c>
      <c r="K182">
        <v>0</v>
      </c>
      <c r="L182">
        <v>0</v>
      </c>
      <c r="M182">
        <v>4.24</v>
      </c>
      <c r="N182">
        <v>111.52</v>
      </c>
      <c r="O182">
        <v>184.4</v>
      </c>
      <c r="P182">
        <v>259.68</v>
      </c>
      <c r="Q182">
        <v>0</v>
      </c>
    </row>
    <row r="183" spans="1:17">
      <c r="A183" s="21" t="s">
        <v>16</v>
      </c>
      <c r="B183" s="21">
        <v>355</v>
      </c>
      <c r="C183" s="21">
        <v>935.56</v>
      </c>
      <c r="D183" s="22">
        <v>315.7</v>
      </c>
      <c r="E183">
        <v>161.36000000000001</v>
      </c>
      <c r="F183">
        <v>138.86000000000001</v>
      </c>
      <c r="G183">
        <v>89.62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>
      <c r="A184" s="21" t="s">
        <v>16</v>
      </c>
      <c r="B184" s="21">
        <v>356</v>
      </c>
      <c r="C184" s="21">
        <v>103.82</v>
      </c>
      <c r="D184" s="22">
        <v>13.9</v>
      </c>
      <c r="E184">
        <v>1.24</v>
      </c>
      <c r="F184">
        <v>0.56000000000000005</v>
      </c>
      <c r="G184">
        <v>0.12</v>
      </c>
      <c r="H184">
        <v>1017.8</v>
      </c>
      <c r="I184">
        <v>1050.76</v>
      </c>
      <c r="J184">
        <v>863.72</v>
      </c>
      <c r="K184">
        <v>427.84</v>
      </c>
      <c r="L184">
        <v>0</v>
      </c>
      <c r="M184">
        <v>113.84</v>
      </c>
      <c r="N184">
        <v>1149.8399999999999</v>
      </c>
      <c r="O184">
        <v>1855.68</v>
      </c>
      <c r="P184">
        <v>26841.72</v>
      </c>
      <c r="Q184">
        <v>8.16</v>
      </c>
    </row>
    <row r="185" spans="1:17">
      <c r="A185" s="21" t="s">
        <v>17</v>
      </c>
      <c r="B185" s="21">
        <v>34</v>
      </c>
      <c r="C185" s="21">
        <v>384.74</v>
      </c>
      <c r="D185" s="22">
        <v>130.24</v>
      </c>
      <c r="E185">
        <v>59.08</v>
      </c>
      <c r="F185">
        <v>41.04</v>
      </c>
      <c r="G185">
        <v>14.54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>
      <c r="A186" t="s">
        <v>17</v>
      </c>
      <c r="B186">
        <v>35</v>
      </c>
      <c r="C186">
        <v>419.16</v>
      </c>
      <c r="D186">
        <v>143.70000000000002</v>
      </c>
      <c r="E186">
        <v>49.98</v>
      </c>
      <c r="F186">
        <v>20.100000000000001</v>
      </c>
      <c r="G186">
        <v>2.48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>
      <c r="A187" s="21" t="s">
        <v>17</v>
      </c>
      <c r="B187" s="21">
        <v>36</v>
      </c>
      <c r="C187" s="21">
        <v>987.4</v>
      </c>
      <c r="D187" s="22">
        <v>261.26</v>
      </c>
      <c r="E187">
        <v>75.199999999999989</v>
      </c>
      <c r="F187">
        <v>37.28</v>
      </c>
      <c r="G187">
        <v>10.06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>
      <c r="A188" t="s">
        <v>17</v>
      </c>
      <c r="B188">
        <v>37</v>
      </c>
      <c r="C188">
        <v>484.86</v>
      </c>
      <c r="D188">
        <v>119.34</v>
      </c>
      <c r="E188">
        <v>37.78</v>
      </c>
      <c r="F188">
        <v>20.88</v>
      </c>
      <c r="G188">
        <v>9.08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>
      <c r="A189" s="21" t="s">
        <v>17</v>
      </c>
      <c r="B189" s="21">
        <v>38</v>
      </c>
      <c r="C189" s="21">
        <v>458.38</v>
      </c>
      <c r="D189" s="22">
        <v>91.240000000000009</v>
      </c>
      <c r="E189">
        <v>22.220000000000002</v>
      </c>
      <c r="F189">
        <v>5.7</v>
      </c>
      <c r="G189">
        <v>0.24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>
      <c r="A190" s="21" t="s">
        <v>17</v>
      </c>
      <c r="B190" s="21">
        <v>39</v>
      </c>
      <c r="C190" s="21">
        <v>150.76</v>
      </c>
      <c r="D190" s="22">
        <v>32.9</v>
      </c>
      <c r="E190">
        <v>6.8</v>
      </c>
      <c r="F190">
        <v>3.14</v>
      </c>
      <c r="G190">
        <v>0.16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>
      <c r="A191" s="21" t="s">
        <v>17</v>
      </c>
      <c r="B191" s="21">
        <v>43</v>
      </c>
      <c r="C191" s="21">
        <v>220.34</v>
      </c>
      <c r="D191" s="22">
        <v>22.98</v>
      </c>
      <c r="E191">
        <v>1.1399999999999999</v>
      </c>
      <c r="F191">
        <v>0.64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 s="21" t="s">
        <v>17</v>
      </c>
      <c r="B192" s="21">
        <v>45</v>
      </c>
      <c r="C192" s="21">
        <v>14.96</v>
      </c>
      <c r="D192" s="22">
        <v>1.1200000000000001</v>
      </c>
      <c r="E192">
        <v>0.92</v>
      </c>
      <c r="F192">
        <v>2.2400000000000002</v>
      </c>
      <c r="G192">
        <v>0.48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>
      <c r="A193" s="21" t="s">
        <v>17</v>
      </c>
      <c r="B193" s="21">
        <v>46</v>
      </c>
      <c r="C193" s="21">
        <v>1049.1199999999999</v>
      </c>
      <c r="D193" s="22">
        <v>146</v>
      </c>
      <c r="E193">
        <v>34.92</v>
      </c>
      <c r="F193">
        <v>11.22</v>
      </c>
      <c r="G193">
        <v>2.2400000000000002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>
      <c r="A194" s="21" t="s">
        <v>17</v>
      </c>
      <c r="B194" s="21">
        <v>47</v>
      </c>
      <c r="C194" s="21">
        <v>655.78</v>
      </c>
      <c r="D194" s="22">
        <v>27.94</v>
      </c>
      <c r="E194">
        <v>1.68</v>
      </c>
      <c r="F194">
        <v>0.16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>
      <c r="A195" s="21" t="s">
        <v>17</v>
      </c>
      <c r="B195" s="21">
        <v>48</v>
      </c>
      <c r="C195" s="21">
        <v>2051.16</v>
      </c>
      <c r="D195" s="22">
        <v>382.86</v>
      </c>
      <c r="E195">
        <v>132.56</v>
      </c>
      <c r="F195">
        <v>55.86</v>
      </c>
      <c r="G195">
        <v>17.84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>
      <c r="A196" s="21" t="s">
        <v>17</v>
      </c>
      <c r="B196" s="21">
        <v>49</v>
      </c>
      <c r="C196" s="21">
        <v>29.22</v>
      </c>
      <c r="D196" s="22">
        <v>11.38</v>
      </c>
      <c r="E196">
        <v>5.72</v>
      </c>
      <c r="F196">
        <v>2.88</v>
      </c>
      <c r="G196">
        <v>0.48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t="s">
        <v>17</v>
      </c>
      <c r="B197">
        <v>50</v>
      </c>
      <c r="C197">
        <v>170.2</v>
      </c>
      <c r="D197">
        <v>25.46</v>
      </c>
      <c r="E197">
        <v>2.7</v>
      </c>
      <c r="F197">
        <v>1.24</v>
      </c>
      <c r="G197">
        <v>0.02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>
      <c r="A198" s="21" t="s">
        <v>17</v>
      </c>
      <c r="B198" s="21">
        <v>51</v>
      </c>
      <c r="C198" s="21">
        <v>213.3</v>
      </c>
      <c r="D198" s="22">
        <v>44.1</v>
      </c>
      <c r="E198">
        <v>13.94</v>
      </c>
      <c r="F198">
        <v>7.08</v>
      </c>
      <c r="G198">
        <v>1.38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>
      <c r="A199" s="21" t="s">
        <v>17</v>
      </c>
      <c r="B199" s="21">
        <v>52</v>
      </c>
      <c r="C199" s="21">
        <v>95.42</v>
      </c>
      <c r="D199" s="22">
        <v>35.840000000000003</v>
      </c>
      <c r="E199">
        <v>14.32</v>
      </c>
      <c r="F199">
        <v>5.48</v>
      </c>
      <c r="G199">
        <v>0.4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>
      <c r="A200" s="21" t="s">
        <v>17</v>
      </c>
      <c r="B200" s="21">
        <v>60</v>
      </c>
      <c r="C200" s="21">
        <v>41.62</v>
      </c>
      <c r="D200" s="22">
        <v>16.739999999999998</v>
      </c>
      <c r="E200">
        <v>8.4600000000000009</v>
      </c>
      <c r="F200">
        <v>7.52</v>
      </c>
      <c r="G200">
        <v>3.62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>
      <c r="A201" t="s">
        <v>17</v>
      </c>
      <c r="B201">
        <v>61</v>
      </c>
      <c r="C201">
        <v>27.14</v>
      </c>
      <c r="D201">
        <v>7.22</v>
      </c>
      <c r="E201">
        <v>2.12</v>
      </c>
      <c r="F201">
        <v>0.32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>
      <c r="A202" s="21" t="s">
        <v>17</v>
      </c>
      <c r="B202" s="21">
        <v>62</v>
      </c>
      <c r="C202" s="21">
        <v>178.86</v>
      </c>
      <c r="D202" s="22">
        <v>46.52</v>
      </c>
      <c r="E202">
        <v>14.98</v>
      </c>
      <c r="F202">
        <v>7.32</v>
      </c>
      <c r="G202">
        <v>2.54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s="21" t="s">
        <v>17</v>
      </c>
      <c r="B203" s="21">
        <v>63</v>
      </c>
      <c r="C203" s="21">
        <v>1769.02</v>
      </c>
      <c r="D203" s="22">
        <v>675.44</v>
      </c>
      <c r="E203">
        <v>230.94</v>
      </c>
      <c r="F203">
        <v>117.86</v>
      </c>
      <c r="G203">
        <v>28.28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>
      <c r="A204" s="21" t="s">
        <v>17</v>
      </c>
      <c r="B204" s="21">
        <v>64</v>
      </c>
      <c r="C204" s="21">
        <v>10170.02</v>
      </c>
      <c r="D204" s="22">
        <v>8173.9</v>
      </c>
      <c r="E204">
        <v>2942.58</v>
      </c>
      <c r="F204">
        <v>1122.18</v>
      </c>
      <c r="G204">
        <v>176.16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>
      <c r="A205" s="21" t="s">
        <v>17</v>
      </c>
      <c r="B205" s="21">
        <v>65</v>
      </c>
      <c r="C205" s="21">
        <v>22698.5</v>
      </c>
      <c r="D205" s="22">
        <v>13298.22</v>
      </c>
      <c r="E205">
        <v>2139.16</v>
      </c>
      <c r="F205">
        <v>732.36</v>
      </c>
      <c r="G205">
        <v>79.08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>
      <c r="A206" s="21" t="s">
        <v>17</v>
      </c>
      <c r="B206" s="21">
        <v>66</v>
      </c>
      <c r="C206" s="21">
        <v>16052.08</v>
      </c>
      <c r="D206" s="22">
        <v>5187.78</v>
      </c>
      <c r="E206">
        <v>878.64</v>
      </c>
      <c r="F206">
        <v>172.14</v>
      </c>
      <c r="G206">
        <v>21.46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>
      <c r="A207" t="s">
        <v>17</v>
      </c>
      <c r="B207">
        <v>67</v>
      </c>
      <c r="C207">
        <v>6709</v>
      </c>
      <c r="D207">
        <v>2902.28</v>
      </c>
      <c r="E207">
        <v>1126.5999999999999</v>
      </c>
      <c r="F207">
        <v>535.86</v>
      </c>
      <c r="G207">
        <v>90.52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>
      <c r="A208" s="21" t="s">
        <v>17</v>
      </c>
      <c r="B208" s="21">
        <v>68</v>
      </c>
      <c r="C208" s="21">
        <v>13903.2</v>
      </c>
      <c r="D208" s="22">
        <v>5238.8</v>
      </c>
      <c r="E208">
        <v>70.44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>
      <c r="A209" s="21" t="s">
        <v>17</v>
      </c>
      <c r="B209" s="21">
        <v>69</v>
      </c>
      <c r="C209" s="21">
        <v>12343.099999999999</v>
      </c>
      <c r="D209" s="22">
        <v>1436.66</v>
      </c>
      <c r="E209">
        <v>5.3</v>
      </c>
      <c r="F209">
        <v>0.16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>
      <c r="A210" s="21" t="s">
        <v>17</v>
      </c>
      <c r="B210" s="21">
        <v>70</v>
      </c>
      <c r="C210" s="21">
        <v>4932.92</v>
      </c>
      <c r="D210" s="22">
        <v>3299.76</v>
      </c>
      <c r="E210">
        <v>1398.54</v>
      </c>
      <c r="F210">
        <v>598.91999999999996</v>
      </c>
      <c r="G210">
        <v>217.42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>
      <c r="A211" t="s">
        <v>17</v>
      </c>
      <c r="B211">
        <v>71</v>
      </c>
      <c r="C211">
        <v>14561.52</v>
      </c>
      <c r="D211">
        <v>2387.84</v>
      </c>
      <c r="E211">
        <v>231.68</v>
      </c>
      <c r="F211">
        <v>86.4</v>
      </c>
      <c r="G211">
        <v>8.42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 s="21" t="s">
        <v>17</v>
      </c>
      <c r="B212" s="21">
        <v>72</v>
      </c>
      <c r="C212" s="21">
        <v>2026.68</v>
      </c>
      <c r="D212" s="22">
        <v>472.12</v>
      </c>
      <c r="E212">
        <v>223.18</v>
      </c>
      <c r="F212">
        <v>187.88</v>
      </c>
      <c r="G212">
        <v>22.16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 s="21" t="s">
        <v>17</v>
      </c>
      <c r="B213" s="21">
        <v>73</v>
      </c>
      <c r="C213" s="21">
        <v>7747.48</v>
      </c>
      <c r="D213" s="22">
        <v>2536.3599999999997</v>
      </c>
      <c r="E213">
        <v>58.24</v>
      </c>
      <c r="F213">
        <v>18.899999999999999</v>
      </c>
      <c r="G213">
        <v>4.4399999999999995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>
      <c r="A214" s="21" t="s">
        <v>17</v>
      </c>
      <c r="B214" s="21">
        <v>74</v>
      </c>
      <c r="C214" s="21">
        <v>5945.32</v>
      </c>
      <c r="D214" s="22">
        <v>3368.94</v>
      </c>
      <c r="E214">
        <v>1328.66</v>
      </c>
      <c r="F214">
        <v>779.76</v>
      </c>
      <c r="G214">
        <v>132.94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>
      <c r="A215" t="s">
        <v>18</v>
      </c>
      <c r="B215">
        <v>330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70.64</v>
      </c>
      <c r="J215">
        <v>2.48</v>
      </c>
      <c r="K215">
        <v>0</v>
      </c>
      <c r="L215">
        <v>0</v>
      </c>
      <c r="M215">
        <v>0</v>
      </c>
      <c r="N215">
        <v>52.88</v>
      </c>
      <c r="O215">
        <v>0</v>
      </c>
      <c r="P215">
        <v>0</v>
      </c>
      <c r="Q215">
        <v>0</v>
      </c>
    </row>
    <row r="216" spans="1:17">
      <c r="A216" s="21" t="s">
        <v>18</v>
      </c>
      <c r="B216" s="21">
        <v>341</v>
      </c>
      <c r="C216" s="21">
        <v>0</v>
      </c>
      <c r="D216" s="22">
        <v>0</v>
      </c>
      <c r="E216">
        <v>0</v>
      </c>
      <c r="F216">
        <v>0</v>
      </c>
      <c r="G216">
        <v>0</v>
      </c>
      <c r="H216">
        <v>92.92</v>
      </c>
      <c r="I216">
        <v>178.12</v>
      </c>
      <c r="J216">
        <v>0</v>
      </c>
      <c r="K216">
        <v>0</v>
      </c>
      <c r="L216">
        <v>0</v>
      </c>
      <c r="M216">
        <v>0</v>
      </c>
      <c r="N216">
        <v>5.08</v>
      </c>
      <c r="O216">
        <v>0</v>
      </c>
      <c r="P216">
        <v>0</v>
      </c>
      <c r="Q216">
        <v>0</v>
      </c>
    </row>
    <row r="217" spans="1:17">
      <c r="A217" s="21" t="s">
        <v>18</v>
      </c>
      <c r="B217" s="21">
        <v>342</v>
      </c>
      <c r="C217" s="21">
        <v>0</v>
      </c>
      <c r="D217" s="22">
        <v>0</v>
      </c>
      <c r="E217">
        <v>0</v>
      </c>
      <c r="F217">
        <v>0</v>
      </c>
      <c r="G217">
        <v>0</v>
      </c>
      <c r="H217">
        <v>6</v>
      </c>
      <c r="I217">
        <v>4.32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 t="s">
        <v>19</v>
      </c>
      <c r="B218">
        <v>1</v>
      </c>
      <c r="C218">
        <v>189.48</v>
      </c>
      <c r="D218">
        <v>59.8</v>
      </c>
      <c r="E218">
        <v>16.52</v>
      </c>
      <c r="F218">
        <v>8.3000000000000007</v>
      </c>
      <c r="G218">
        <v>3.76</v>
      </c>
      <c r="H218">
        <v>532.91999999999996</v>
      </c>
      <c r="I218">
        <v>1204.8</v>
      </c>
      <c r="J218">
        <v>577.48</v>
      </c>
      <c r="K218">
        <v>0</v>
      </c>
      <c r="L218">
        <v>0</v>
      </c>
      <c r="M218">
        <v>48.48</v>
      </c>
      <c r="N218">
        <v>616.52</v>
      </c>
      <c r="O218">
        <v>8589.8799999999992</v>
      </c>
      <c r="P218">
        <v>14008.24</v>
      </c>
      <c r="Q218">
        <v>0</v>
      </c>
    </row>
    <row r="219" spans="1:17">
      <c r="A219" s="21" t="s">
        <v>19</v>
      </c>
      <c r="B219" s="21">
        <v>2</v>
      </c>
      <c r="C219" s="21">
        <v>44.56</v>
      </c>
      <c r="D219" s="22">
        <v>13.8</v>
      </c>
      <c r="E219">
        <v>8.74</v>
      </c>
      <c r="F219">
        <v>8.74</v>
      </c>
      <c r="G219">
        <v>3.34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>
      <c r="A220" s="21" t="s">
        <v>19</v>
      </c>
      <c r="B220" s="21">
        <v>3</v>
      </c>
      <c r="C220" s="21">
        <v>92.82</v>
      </c>
      <c r="D220" s="22">
        <v>49.16</v>
      </c>
      <c r="E220">
        <v>25.38</v>
      </c>
      <c r="F220">
        <v>23.8</v>
      </c>
      <c r="G220">
        <v>13.52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>
      <c r="A221" s="21" t="s">
        <v>19</v>
      </c>
      <c r="B221" s="21">
        <v>4</v>
      </c>
      <c r="C221" s="21">
        <v>657.74</v>
      </c>
      <c r="D221" s="22">
        <v>422.16</v>
      </c>
      <c r="E221">
        <v>99.46</v>
      </c>
      <c r="F221">
        <v>17.54</v>
      </c>
      <c r="G221">
        <v>1.08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>
      <c r="A222" t="s">
        <v>19</v>
      </c>
      <c r="B222">
        <v>5</v>
      </c>
      <c r="C222">
        <v>2075.7399999999998</v>
      </c>
      <c r="D222">
        <v>509.82</v>
      </c>
      <c r="E222">
        <v>110.14</v>
      </c>
      <c r="F222">
        <v>53.72</v>
      </c>
      <c r="G222">
        <v>12.28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s="21" t="s">
        <v>19</v>
      </c>
      <c r="B223" s="21">
        <v>6</v>
      </c>
      <c r="C223" s="21">
        <v>13.72</v>
      </c>
      <c r="D223" s="22">
        <v>3.28</v>
      </c>
      <c r="E223">
        <v>0.48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>
      <c r="A224" s="21" t="s">
        <v>19</v>
      </c>
      <c r="B224" s="21">
        <v>7</v>
      </c>
      <c r="C224" s="21">
        <v>304.12</v>
      </c>
      <c r="D224" s="22">
        <v>37.42</v>
      </c>
      <c r="E224">
        <v>6.04</v>
      </c>
      <c r="F224">
        <v>0.76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 s="21" t="s">
        <v>19</v>
      </c>
      <c r="B225" s="21">
        <v>8</v>
      </c>
      <c r="C225" s="21">
        <v>125.36</v>
      </c>
      <c r="D225" s="22">
        <v>27.6</v>
      </c>
      <c r="E225">
        <v>11.78</v>
      </c>
      <c r="F225">
        <v>5.18</v>
      </c>
      <c r="G225">
        <v>0.46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>
      <c r="A226" s="21" t="s">
        <v>19</v>
      </c>
      <c r="B226" s="21">
        <v>9</v>
      </c>
      <c r="C226" s="21">
        <v>1480.28</v>
      </c>
      <c r="D226" s="22">
        <v>308.06</v>
      </c>
      <c r="E226">
        <v>41.72</v>
      </c>
      <c r="F226">
        <v>4.32</v>
      </c>
      <c r="G226">
        <v>0.66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>
      <c r="A227" s="21" t="s">
        <v>19</v>
      </c>
      <c r="B227" s="21">
        <v>10</v>
      </c>
      <c r="C227" s="21">
        <v>166.46</v>
      </c>
      <c r="D227" s="22">
        <v>75.959999999999994</v>
      </c>
      <c r="E227">
        <v>31.34</v>
      </c>
      <c r="F227">
        <v>17.48</v>
      </c>
      <c r="G227">
        <v>2.92</v>
      </c>
      <c r="H227">
        <v>73</v>
      </c>
      <c r="I227">
        <v>175.12</v>
      </c>
      <c r="J227">
        <v>267.04000000000002</v>
      </c>
      <c r="K227">
        <v>7.64</v>
      </c>
      <c r="L227">
        <v>0</v>
      </c>
      <c r="M227">
        <v>0</v>
      </c>
      <c r="N227">
        <v>36.119999999999997</v>
      </c>
      <c r="O227">
        <v>3064.84</v>
      </c>
      <c r="P227">
        <v>7336.16</v>
      </c>
      <c r="Q227">
        <v>0</v>
      </c>
    </row>
    <row r="228" spans="1:17">
      <c r="A228" s="21" t="s">
        <v>19</v>
      </c>
      <c r="B228" s="21">
        <v>11</v>
      </c>
      <c r="C228" s="21">
        <v>12.48</v>
      </c>
      <c r="D228" s="22">
        <v>2.14</v>
      </c>
      <c r="E228">
        <v>0.72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>
      <c r="A229" t="s">
        <v>19</v>
      </c>
      <c r="B229">
        <v>12</v>
      </c>
      <c r="C229">
        <v>92.6</v>
      </c>
      <c r="D229">
        <v>27.24</v>
      </c>
      <c r="E229">
        <v>7.96</v>
      </c>
      <c r="F229">
        <v>5.24</v>
      </c>
      <c r="G229">
        <v>1.74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>
      <c r="A230" s="21" t="s">
        <v>19</v>
      </c>
      <c r="B230" s="21">
        <v>13</v>
      </c>
      <c r="C230" s="21">
        <v>194.78</v>
      </c>
      <c r="D230" s="22">
        <v>59.34</v>
      </c>
      <c r="E230">
        <v>26.4</v>
      </c>
      <c r="F230">
        <v>13.8</v>
      </c>
      <c r="G230">
        <v>1.18</v>
      </c>
      <c r="H230">
        <v>21.6</v>
      </c>
      <c r="I230">
        <v>79.040000000000006</v>
      </c>
      <c r="J230">
        <v>199.52</v>
      </c>
      <c r="K230">
        <v>14.04</v>
      </c>
      <c r="L230">
        <v>0</v>
      </c>
      <c r="M230">
        <v>0</v>
      </c>
      <c r="N230">
        <v>0</v>
      </c>
      <c r="O230">
        <v>499</v>
      </c>
      <c r="P230">
        <v>11108.2</v>
      </c>
      <c r="Q230">
        <v>33.64</v>
      </c>
    </row>
    <row r="231" spans="1:17">
      <c r="A231" t="s">
        <v>19</v>
      </c>
      <c r="B231">
        <v>14</v>
      </c>
      <c r="C231">
        <v>206</v>
      </c>
      <c r="D231">
        <v>126</v>
      </c>
      <c r="E231">
        <v>60.26</v>
      </c>
      <c r="F231">
        <v>38.9</v>
      </c>
      <c r="G231">
        <v>7.8</v>
      </c>
      <c r="H231">
        <v>47.4</v>
      </c>
      <c r="I231">
        <v>103.84</v>
      </c>
      <c r="J231">
        <v>106.4</v>
      </c>
      <c r="K231">
        <v>163.6</v>
      </c>
      <c r="L231">
        <v>112.04</v>
      </c>
      <c r="M231">
        <v>0</v>
      </c>
      <c r="N231">
        <v>1.8</v>
      </c>
      <c r="O231">
        <v>102.72</v>
      </c>
      <c r="P231">
        <v>725.24</v>
      </c>
      <c r="Q231">
        <v>17319.2</v>
      </c>
    </row>
    <row r="232" spans="1:17">
      <c r="A232" s="21" t="s">
        <v>19</v>
      </c>
      <c r="B232" s="21">
        <v>15</v>
      </c>
      <c r="C232" s="21">
        <v>126</v>
      </c>
      <c r="D232" s="22">
        <v>50.42</v>
      </c>
      <c r="E232">
        <v>16.559999999999999</v>
      </c>
      <c r="F232">
        <v>8.3800000000000008</v>
      </c>
      <c r="G232">
        <v>2.2400000000000002</v>
      </c>
      <c r="H232">
        <v>0.28000000000000003</v>
      </c>
      <c r="I232">
        <v>24.2</v>
      </c>
      <c r="J232">
        <v>43.04</v>
      </c>
      <c r="K232">
        <v>0</v>
      </c>
      <c r="L232">
        <v>0</v>
      </c>
      <c r="M232">
        <v>0</v>
      </c>
      <c r="N232">
        <v>0</v>
      </c>
      <c r="O232">
        <v>81.08</v>
      </c>
      <c r="P232">
        <v>1179.08</v>
      </c>
      <c r="Q232">
        <v>1598.52</v>
      </c>
    </row>
    <row r="233" spans="1:17">
      <c r="A233" t="s">
        <v>19</v>
      </c>
      <c r="B233">
        <v>16</v>
      </c>
      <c r="C233">
        <v>3044.2</v>
      </c>
      <c r="D233">
        <v>657.8</v>
      </c>
      <c r="E233">
        <v>98.46</v>
      </c>
      <c r="F233">
        <v>31.94</v>
      </c>
      <c r="G233">
        <v>4.84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>
      <c r="A234" s="21" t="s">
        <v>19</v>
      </c>
      <c r="B234" s="21">
        <v>17</v>
      </c>
      <c r="C234" s="21">
        <v>284.12</v>
      </c>
      <c r="D234" s="22">
        <v>52.16</v>
      </c>
      <c r="E234">
        <v>9.2799999999999994</v>
      </c>
      <c r="F234">
        <v>5.44</v>
      </c>
      <c r="G234">
        <v>1.32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>
      <c r="A235" s="21" t="s">
        <v>19</v>
      </c>
      <c r="B235" s="21">
        <v>18</v>
      </c>
      <c r="C235" s="21">
        <v>1799.08</v>
      </c>
      <c r="D235" s="22">
        <v>225.92</v>
      </c>
      <c r="E235">
        <v>39.880000000000003</v>
      </c>
      <c r="F235">
        <v>21.38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>
      <c r="A236" s="21" t="s">
        <v>19</v>
      </c>
      <c r="B236" s="21">
        <v>19</v>
      </c>
      <c r="C236" s="21">
        <v>1334.56</v>
      </c>
      <c r="D236" s="22">
        <v>152.97999999999999</v>
      </c>
      <c r="E236">
        <v>17.440000000000001</v>
      </c>
      <c r="F236">
        <v>4.5599999999999996</v>
      </c>
      <c r="G236">
        <v>0.64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>
      <c r="A237" s="21" t="s">
        <v>19</v>
      </c>
      <c r="B237" s="21">
        <v>20</v>
      </c>
      <c r="C237" s="21">
        <v>10.14</v>
      </c>
      <c r="D237" s="22">
        <v>0.36</v>
      </c>
      <c r="E237">
        <v>0.1</v>
      </c>
      <c r="F237">
        <v>0.24</v>
      </c>
      <c r="G237">
        <v>0</v>
      </c>
      <c r="H237">
        <v>40.68</v>
      </c>
      <c r="I237">
        <v>64.36</v>
      </c>
      <c r="J237">
        <v>116.28</v>
      </c>
      <c r="K237">
        <v>18.36</v>
      </c>
      <c r="L237">
        <v>0</v>
      </c>
      <c r="M237">
        <v>192.32</v>
      </c>
      <c r="N237">
        <v>158.12</v>
      </c>
      <c r="O237">
        <v>164.92</v>
      </c>
      <c r="P237">
        <v>437.76</v>
      </c>
      <c r="Q237">
        <v>6787.12</v>
      </c>
    </row>
    <row r="238" spans="1:17">
      <c r="A238" s="21" t="s">
        <v>19</v>
      </c>
      <c r="B238" s="21">
        <v>21</v>
      </c>
      <c r="C238" s="21">
        <v>163.56</v>
      </c>
      <c r="D238" s="22">
        <v>53.16</v>
      </c>
      <c r="E238">
        <v>10.82</v>
      </c>
      <c r="F238">
        <v>7.58</v>
      </c>
      <c r="G238">
        <v>1.7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>
      <c r="A239" s="21" t="s">
        <v>19</v>
      </c>
      <c r="B239" s="21">
        <v>41</v>
      </c>
      <c r="C239" s="21">
        <v>132.62</v>
      </c>
      <c r="D239" s="22">
        <v>49.44</v>
      </c>
      <c r="E239">
        <v>21.24</v>
      </c>
      <c r="F239">
        <v>19.02</v>
      </c>
      <c r="G239">
        <v>8.1999999999999993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>
      <c r="A240" s="21" t="s">
        <v>19</v>
      </c>
      <c r="B240" s="21">
        <v>42</v>
      </c>
      <c r="C240" s="21">
        <v>230.46</v>
      </c>
      <c r="D240" s="22">
        <v>29.66</v>
      </c>
      <c r="E240">
        <v>15.66</v>
      </c>
      <c r="F240">
        <v>13.96</v>
      </c>
      <c r="G240">
        <v>3.06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>
      <c r="A241" s="21" t="s">
        <v>19</v>
      </c>
      <c r="B241" s="21">
        <v>44</v>
      </c>
      <c r="C241" s="21">
        <v>2102.08</v>
      </c>
      <c r="D241" s="22">
        <v>177.3</v>
      </c>
      <c r="E241">
        <v>44.88</v>
      </c>
      <c r="F241">
        <v>15.68</v>
      </c>
      <c r="G241">
        <v>0.76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>
      <c r="A242" s="21" t="s">
        <v>19</v>
      </c>
      <c r="B242" s="21">
        <v>45</v>
      </c>
      <c r="C242" s="21">
        <v>10.3</v>
      </c>
      <c r="D242" s="22">
        <v>1.44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s="21" t="s">
        <v>19</v>
      </c>
      <c r="B243" s="21">
        <v>46</v>
      </c>
      <c r="C243" s="21">
        <v>193.8</v>
      </c>
      <c r="D243" s="22">
        <v>18.920000000000002</v>
      </c>
      <c r="E243">
        <v>5.68</v>
      </c>
      <c r="F243">
        <v>1.6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>
      <c r="A244" t="s">
        <v>19</v>
      </c>
      <c r="B244">
        <v>60</v>
      </c>
      <c r="C244">
        <v>33.36</v>
      </c>
      <c r="D244">
        <v>10.98</v>
      </c>
      <c r="E244">
        <v>4.42</v>
      </c>
      <c r="F244">
        <v>1.96</v>
      </c>
      <c r="G244">
        <v>0.6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>
      <c r="A245" s="21" t="s">
        <v>19</v>
      </c>
      <c r="B245" s="21">
        <v>61</v>
      </c>
      <c r="C245" s="21">
        <v>38.479999999999997</v>
      </c>
      <c r="D245" s="22">
        <v>20.64</v>
      </c>
      <c r="E245">
        <v>8.94</v>
      </c>
      <c r="F245">
        <v>7.02</v>
      </c>
      <c r="G245">
        <v>4.5199999999999996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>
      <c r="A246" s="21" t="s">
        <v>20</v>
      </c>
      <c r="B246" s="21">
        <v>213</v>
      </c>
      <c r="C246" s="21">
        <v>383.44</v>
      </c>
      <c r="D246" s="22">
        <v>1.52</v>
      </c>
      <c r="E246">
        <v>0</v>
      </c>
      <c r="F246">
        <v>0</v>
      </c>
      <c r="G246">
        <v>0</v>
      </c>
      <c r="H246">
        <v>38.200000000000003</v>
      </c>
      <c r="I246">
        <v>133.96</v>
      </c>
      <c r="J246">
        <v>340.32</v>
      </c>
      <c r="K246">
        <v>0</v>
      </c>
      <c r="L246">
        <v>0</v>
      </c>
      <c r="M246">
        <v>0</v>
      </c>
      <c r="N246">
        <v>0</v>
      </c>
      <c r="O246">
        <v>443.56</v>
      </c>
      <c r="P246">
        <v>271.76</v>
      </c>
      <c r="Q246">
        <v>0</v>
      </c>
    </row>
    <row r="247" spans="1:17">
      <c r="A247" s="21" t="s">
        <v>20</v>
      </c>
      <c r="B247" s="21">
        <v>219</v>
      </c>
      <c r="C247" s="21">
        <v>76.08</v>
      </c>
      <c r="D247" s="22">
        <v>0</v>
      </c>
      <c r="E247">
        <v>0</v>
      </c>
      <c r="F247">
        <v>0</v>
      </c>
      <c r="G247">
        <v>0</v>
      </c>
      <c r="H247">
        <v>193.76</v>
      </c>
      <c r="I247">
        <v>532.91999999999996</v>
      </c>
      <c r="J247">
        <v>70.959999999999994</v>
      </c>
      <c r="K247">
        <v>0</v>
      </c>
      <c r="L247">
        <v>0</v>
      </c>
      <c r="M247">
        <v>0</v>
      </c>
      <c r="N247">
        <v>9.36</v>
      </c>
      <c r="O247">
        <v>717.96</v>
      </c>
      <c r="P247">
        <v>235.24</v>
      </c>
      <c r="Q247">
        <v>0</v>
      </c>
    </row>
    <row r="248" spans="1:17">
      <c r="A248" s="21" t="s">
        <v>20</v>
      </c>
      <c r="B248" s="21">
        <v>220</v>
      </c>
      <c r="C248" s="21">
        <v>89.32</v>
      </c>
      <c r="D248" s="22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>
      <c r="A249" s="21" t="s">
        <v>20</v>
      </c>
      <c r="B249" s="21">
        <v>221</v>
      </c>
      <c r="C249" s="21">
        <v>3500.7</v>
      </c>
      <c r="D249" s="22">
        <v>0.2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>
      <c r="A250" s="21" t="s">
        <v>20</v>
      </c>
      <c r="B250" s="21">
        <v>222</v>
      </c>
      <c r="C250" s="21">
        <v>2976.24</v>
      </c>
      <c r="D250" s="22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>
      <c r="A251" s="21" t="s">
        <v>20</v>
      </c>
      <c r="B251" s="21">
        <v>223</v>
      </c>
      <c r="C251" s="21">
        <v>238.12</v>
      </c>
      <c r="D251" s="22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>
      <c r="A252" s="21" t="s">
        <v>20</v>
      </c>
      <c r="B252" s="21">
        <v>224</v>
      </c>
      <c r="C252" s="21">
        <v>98.92</v>
      </c>
      <c r="D252" s="2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>
      <c r="A253" s="21" t="s">
        <v>20</v>
      </c>
      <c r="B253" s="21">
        <v>225</v>
      </c>
      <c r="C253" s="21">
        <v>353.66</v>
      </c>
      <c r="D253" s="22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>
      <c r="A254" s="21" t="s">
        <v>20</v>
      </c>
      <c r="B254" s="21">
        <v>226</v>
      </c>
      <c r="C254" s="21">
        <v>4468.3999999999996</v>
      </c>
      <c r="D254" s="22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>
      <c r="A255" s="21" t="s">
        <v>20</v>
      </c>
      <c r="B255" s="21">
        <v>227</v>
      </c>
      <c r="C255" s="21">
        <v>547.62</v>
      </c>
      <c r="D255" s="22">
        <v>10.06</v>
      </c>
      <c r="E255">
        <v>0</v>
      </c>
      <c r="F255">
        <v>0</v>
      </c>
      <c r="G255">
        <v>0</v>
      </c>
      <c r="H255">
        <v>184.92</v>
      </c>
      <c r="I255">
        <v>607.24</v>
      </c>
      <c r="J255">
        <v>595.88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>
      <c r="A256" s="21" t="s">
        <v>20</v>
      </c>
      <c r="B256" s="21">
        <v>228</v>
      </c>
      <c r="C256" s="21">
        <v>1218.8399999999999</v>
      </c>
      <c r="D256" s="22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>
      <c r="A257" s="21" t="s">
        <v>20</v>
      </c>
      <c r="B257" s="21">
        <v>230</v>
      </c>
      <c r="C257" s="21">
        <v>15.12</v>
      </c>
      <c r="D257" s="22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>
      <c r="A258" s="21" t="s">
        <v>20</v>
      </c>
      <c r="B258" s="21">
        <v>234</v>
      </c>
      <c r="C258" s="21">
        <v>285.76</v>
      </c>
      <c r="D258" s="22">
        <v>1.08</v>
      </c>
      <c r="E258">
        <v>0</v>
      </c>
      <c r="F258">
        <v>0</v>
      </c>
      <c r="G258">
        <v>0</v>
      </c>
      <c r="H258">
        <v>259.04000000000002</v>
      </c>
      <c r="I258">
        <v>1020.52</v>
      </c>
      <c r="J258">
        <v>4650.4399999999996</v>
      </c>
      <c r="K258">
        <v>1962.48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>
      <c r="A259" t="s">
        <v>21</v>
      </c>
      <c r="B259">
        <v>228</v>
      </c>
      <c r="C259">
        <v>1065.4000000000001</v>
      </c>
      <c r="D259">
        <v>0.32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>
      <c r="A260" s="21" t="s">
        <v>21</v>
      </c>
      <c r="B260" s="21">
        <v>229</v>
      </c>
      <c r="C260" s="21">
        <v>3.44</v>
      </c>
      <c r="D260" s="22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>
      <c r="A261" s="21" t="s">
        <v>21</v>
      </c>
      <c r="B261" s="21">
        <v>230</v>
      </c>
      <c r="C261" s="21">
        <v>20.84</v>
      </c>
      <c r="D261" s="22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>
      <c r="A262" s="21" t="s">
        <v>21</v>
      </c>
      <c r="B262" s="21">
        <v>242</v>
      </c>
      <c r="C262" s="21">
        <v>1.8131999999999999</v>
      </c>
      <c r="D262" s="22">
        <v>0.23480000000000001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s="21" t="s">
        <v>21</v>
      </c>
      <c r="B263" s="21">
        <v>243</v>
      </c>
      <c r="C263" s="21">
        <v>34.811999999999998</v>
      </c>
      <c r="D263" s="22">
        <v>15.587999999999999</v>
      </c>
      <c r="E263">
        <v>4.3600000000000003</v>
      </c>
      <c r="F263">
        <v>2.44</v>
      </c>
      <c r="G263">
        <v>0.2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>
      <c r="A264" s="21" t="s">
        <v>21</v>
      </c>
      <c r="B264" s="21">
        <v>244</v>
      </c>
      <c r="C264" s="21">
        <v>17.22</v>
      </c>
      <c r="D264" s="22">
        <v>4.38</v>
      </c>
      <c r="E264">
        <v>0.9</v>
      </c>
      <c r="F264">
        <v>1.1399999999999999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>
      <c r="A265" s="21" t="s">
        <v>21</v>
      </c>
      <c r="B265" s="21">
        <v>246</v>
      </c>
      <c r="C265" s="21">
        <v>5.74</v>
      </c>
      <c r="D265" s="22">
        <v>0.06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>
      <c r="A266" s="21" t="s">
        <v>21</v>
      </c>
      <c r="B266" s="21">
        <v>247</v>
      </c>
      <c r="C266" s="21">
        <v>5.14</v>
      </c>
      <c r="D266" s="22">
        <v>0.26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>
      <c r="A267" t="s">
        <v>21</v>
      </c>
      <c r="B267">
        <v>248</v>
      </c>
      <c r="C267">
        <v>28.78</v>
      </c>
      <c r="D267">
        <v>7.44</v>
      </c>
      <c r="E267">
        <v>1.52</v>
      </c>
      <c r="F267">
        <v>0.78</v>
      </c>
      <c r="G267">
        <v>0.08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s="21" t="s">
        <v>21</v>
      </c>
      <c r="B268" s="21">
        <v>249</v>
      </c>
      <c r="C268" s="21">
        <v>104.94</v>
      </c>
      <c r="D268" s="22">
        <v>21.98</v>
      </c>
      <c r="E268">
        <v>4.76</v>
      </c>
      <c r="F268">
        <v>3.34</v>
      </c>
      <c r="G268">
        <v>1.46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>
      <c r="A269" s="21" t="s">
        <v>21</v>
      </c>
      <c r="B269" s="21">
        <v>250</v>
      </c>
      <c r="C269" s="21">
        <v>229.2</v>
      </c>
      <c r="D269" s="22">
        <v>72</v>
      </c>
      <c r="E269">
        <v>31.6</v>
      </c>
      <c r="F269">
        <v>26.8</v>
      </c>
      <c r="G269">
        <v>8.06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>
      <c r="A270" s="21" t="s">
        <v>21</v>
      </c>
      <c r="B270" s="21">
        <v>252</v>
      </c>
      <c r="C270" s="21">
        <v>33.380000000000003</v>
      </c>
      <c r="D270" s="22">
        <v>6.86</v>
      </c>
      <c r="E270">
        <v>0.6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>
      <c r="A271" s="21" t="s">
        <v>21</v>
      </c>
      <c r="B271" s="21">
        <v>253</v>
      </c>
      <c r="C271" s="21">
        <v>18.7</v>
      </c>
      <c r="D271" s="22">
        <v>7.78</v>
      </c>
      <c r="E271">
        <v>5.14</v>
      </c>
      <c r="F271">
        <v>1.1000000000000001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>
      <c r="A272" s="21" t="s">
        <v>21</v>
      </c>
      <c r="B272" s="21">
        <v>300</v>
      </c>
      <c r="C272" s="21">
        <v>13.96</v>
      </c>
      <c r="D272" s="22">
        <v>8.6</v>
      </c>
      <c r="E272">
        <v>7.9</v>
      </c>
      <c r="F272">
        <v>10.64</v>
      </c>
      <c r="G272">
        <v>5.0199999999999996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>
      <c r="A273" s="21" t="s">
        <v>21</v>
      </c>
      <c r="B273" s="21">
        <v>301</v>
      </c>
      <c r="C273" s="21">
        <v>9.74</v>
      </c>
      <c r="D273" s="22">
        <v>3.52</v>
      </c>
      <c r="E273">
        <v>1.66</v>
      </c>
      <c r="F273">
        <v>2.48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>
      <c r="A274" s="21" t="s">
        <v>21</v>
      </c>
      <c r="B274" s="21">
        <v>308</v>
      </c>
      <c r="C274" s="21">
        <v>58.02</v>
      </c>
      <c r="D274" s="22">
        <v>29.46</v>
      </c>
      <c r="E274">
        <v>15.58</v>
      </c>
      <c r="F274">
        <v>8.1</v>
      </c>
      <c r="G274">
        <v>0.86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>
      <c r="A275" s="21" t="s">
        <v>22</v>
      </c>
      <c r="B275" s="21">
        <v>73</v>
      </c>
      <c r="C275" s="21">
        <v>2086.96</v>
      </c>
      <c r="D275" s="22">
        <v>670.1</v>
      </c>
      <c r="E275">
        <v>32.28</v>
      </c>
      <c r="F275">
        <v>4.12</v>
      </c>
      <c r="G275">
        <v>4.9800000000000004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>
      <c r="A276" s="21" t="s">
        <v>22</v>
      </c>
      <c r="B276" s="21">
        <v>74</v>
      </c>
      <c r="C276" s="21">
        <v>17945.419999999998</v>
      </c>
      <c r="D276" s="22">
        <v>15463.900000000001</v>
      </c>
      <c r="E276">
        <v>8647.56</v>
      </c>
      <c r="F276">
        <v>6657.58</v>
      </c>
      <c r="G276">
        <v>2688.84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>
      <c r="A277" s="21" t="s">
        <v>22</v>
      </c>
      <c r="B277" s="21">
        <v>75</v>
      </c>
      <c r="C277" s="21">
        <v>308.84000000000003</v>
      </c>
      <c r="D277" s="22">
        <v>89.94</v>
      </c>
      <c r="E277">
        <v>13.879999999999999</v>
      </c>
      <c r="F277">
        <v>6.4600000000000009</v>
      </c>
      <c r="G277">
        <v>2.44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>
      <c r="A278" s="21" t="s">
        <v>22</v>
      </c>
      <c r="B278" s="21">
        <v>76</v>
      </c>
      <c r="C278" s="21">
        <v>29.98</v>
      </c>
      <c r="D278" s="22">
        <v>6.16</v>
      </c>
      <c r="E278">
        <v>1.08</v>
      </c>
      <c r="F278">
        <v>0.24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>
      <c r="A279" t="s">
        <v>22</v>
      </c>
      <c r="B279">
        <v>77</v>
      </c>
      <c r="C279">
        <v>14.48</v>
      </c>
      <c r="D279">
        <v>10.08</v>
      </c>
      <c r="E279">
        <v>6.06</v>
      </c>
      <c r="F279">
        <v>5.66</v>
      </c>
      <c r="G279">
        <v>0.96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>
      <c r="A280" s="21" t="s">
        <v>22</v>
      </c>
      <c r="B280" s="21">
        <v>78</v>
      </c>
      <c r="C280" s="21">
        <v>163.86</v>
      </c>
      <c r="D280" s="22">
        <v>59.22</v>
      </c>
      <c r="E280">
        <v>31.34</v>
      </c>
      <c r="F280">
        <v>27.88</v>
      </c>
      <c r="G280">
        <v>35.04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>
      <c r="A281" s="21" t="s">
        <v>22</v>
      </c>
      <c r="B281" s="21">
        <v>79</v>
      </c>
      <c r="C281" s="21">
        <v>612.66</v>
      </c>
      <c r="D281" s="22">
        <v>367.48</v>
      </c>
      <c r="E281">
        <v>163.19999999999999</v>
      </c>
      <c r="F281">
        <v>97</v>
      </c>
      <c r="G281">
        <v>31.2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22</v>
      </c>
      <c r="B282">
        <v>80</v>
      </c>
      <c r="C282">
        <v>133.24</v>
      </c>
      <c r="D282">
        <v>59.32</v>
      </c>
      <c r="E282">
        <v>30.56</v>
      </c>
      <c r="F282">
        <v>22.56</v>
      </c>
      <c r="G282">
        <v>19.04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s="21" t="s">
        <v>22</v>
      </c>
      <c r="B283" s="21">
        <v>81</v>
      </c>
      <c r="C283" s="21">
        <v>208.06</v>
      </c>
      <c r="D283" s="22">
        <v>71.62</v>
      </c>
      <c r="E283">
        <v>28.18</v>
      </c>
      <c r="F283">
        <v>22.22</v>
      </c>
      <c r="G283">
        <v>21.92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>
      <c r="A284" s="21" t="s">
        <v>22</v>
      </c>
      <c r="B284" s="21">
        <v>82</v>
      </c>
      <c r="C284" s="21">
        <v>256.38</v>
      </c>
      <c r="D284" s="22">
        <v>44.3</v>
      </c>
      <c r="E284">
        <v>22.14</v>
      </c>
      <c r="F284">
        <v>14.18</v>
      </c>
      <c r="G284">
        <v>5.2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 s="21" t="s">
        <v>22</v>
      </c>
      <c r="B285" s="21">
        <v>83</v>
      </c>
      <c r="C285" s="21">
        <v>646.70000000000005</v>
      </c>
      <c r="D285" s="22">
        <v>16.48</v>
      </c>
      <c r="E285">
        <v>5.68</v>
      </c>
      <c r="F285">
        <v>4.5</v>
      </c>
      <c r="G285">
        <v>1.88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s="21" t="s">
        <v>22</v>
      </c>
      <c r="B286" s="21">
        <v>84</v>
      </c>
      <c r="C286" s="21">
        <v>522.22</v>
      </c>
      <c r="D286" s="22">
        <v>60.42</v>
      </c>
      <c r="E286">
        <v>17.62</v>
      </c>
      <c r="F286">
        <v>9.2200000000000006</v>
      </c>
      <c r="G286">
        <v>3.4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>
      <c r="A287" s="21" t="s">
        <v>22</v>
      </c>
      <c r="B287" s="21">
        <v>85</v>
      </c>
      <c r="C287" s="21">
        <v>15909.86</v>
      </c>
      <c r="D287" s="22">
        <v>3556.9</v>
      </c>
      <c r="E287">
        <v>142.66</v>
      </c>
      <c r="F287">
        <v>3.58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>
      <c r="A288" s="21" t="s">
        <v>22</v>
      </c>
      <c r="B288" s="21">
        <v>86</v>
      </c>
      <c r="C288" s="21">
        <v>15459.35</v>
      </c>
      <c r="D288" s="22">
        <v>2637.3900000000003</v>
      </c>
      <c r="E288">
        <v>0.2</v>
      </c>
      <c r="F288">
        <v>0.05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>
      <c r="A289" s="21" t="s">
        <v>22</v>
      </c>
      <c r="B289" s="21">
        <v>87</v>
      </c>
      <c r="C289" s="21">
        <v>7979.5450000000001</v>
      </c>
      <c r="D289" s="22">
        <v>6218.74</v>
      </c>
      <c r="E289">
        <v>118.62</v>
      </c>
      <c r="F289">
        <v>63.72</v>
      </c>
      <c r="G289">
        <v>34.6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s="21" t="s">
        <v>22</v>
      </c>
      <c r="B290" s="21">
        <v>95</v>
      </c>
      <c r="C290" s="21">
        <v>2999.64</v>
      </c>
      <c r="D290" s="22">
        <v>6839.38</v>
      </c>
      <c r="E290">
        <v>3505.5600000000004</v>
      </c>
      <c r="F290">
        <v>447.26</v>
      </c>
      <c r="G290">
        <v>291.39999999999998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s="21" t="s">
        <v>22</v>
      </c>
      <c r="B291" s="21">
        <v>105</v>
      </c>
      <c r="C291" s="21">
        <v>1261.46</v>
      </c>
      <c r="D291" s="22">
        <v>3504.9</v>
      </c>
      <c r="E291">
        <v>3372.4</v>
      </c>
      <c r="F291">
        <v>58.28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>
      <c r="A292" t="s">
        <v>22</v>
      </c>
      <c r="B292">
        <v>107</v>
      </c>
      <c r="C292">
        <v>1370.26</v>
      </c>
      <c r="D292">
        <v>1748</v>
      </c>
      <c r="E292">
        <v>609.82000000000005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>
      <c r="A293" s="21" t="s">
        <v>22</v>
      </c>
      <c r="B293" s="21">
        <v>114</v>
      </c>
      <c r="C293" s="21">
        <v>14322.599999999999</v>
      </c>
      <c r="D293" s="22">
        <v>5149.34</v>
      </c>
      <c r="E293">
        <v>136.30000000000001</v>
      </c>
      <c r="F293">
        <v>11.14</v>
      </c>
      <c r="G293">
        <v>0.04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>
      <c r="A294" s="21" t="s">
        <v>23</v>
      </c>
      <c r="B294" s="21">
        <v>40</v>
      </c>
      <c r="C294" s="21">
        <v>540.98</v>
      </c>
      <c r="D294" s="22">
        <v>46.78</v>
      </c>
      <c r="E294">
        <v>9.74</v>
      </c>
      <c r="F294">
        <v>2.3199999999999998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>
      <c r="A295" s="21" t="s">
        <v>24</v>
      </c>
      <c r="B295" s="21">
        <v>261</v>
      </c>
      <c r="C295" s="21">
        <v>0</v>
      </c>
      <c r="D295" s="22">
        <v>0</v>
      </c>
      <c r="E295">
        <v>0</v>
      </c>
      <c r="F295">
        <v>0</v>
      </c>
      <c r="G295">
        <v>0</v>
      </c>
      <c r="H295">
        <v>290.16000000000003</v>
      </c>
      <c r="I295">
        <v>0</v>
      </c>
      <c r="J295">
        <v>0</v>
      </c>
      <c r="K295">
        <v>0</v>
      </c>
      <c r="L295">
        <v>0</v>
      </c>
      <c r="M295">
        <v>298.88</v>
      </c>
      <c r="N295">
        <v>26.08</v>
      </c>
      <c r="O295">
        <v>0</v>
      </c>
      <c r="P295">
        <v>0</v>
      </c>
      <c r="Q295">
        <v>0</v>
      </c>
    </row>
    <row r="296" spans="1:17">
      <c r="A296" s="21" t="s">
        <v>24</v>
      </c>
      <c r="B296" s="21">
        <v>264</v>
      </c>
      <c r="C296" s="21">
        <v>0</v>
      </c>
      <c r="D296" s="22">
        <v>0</v>
      </c>
      <c r="E296">
        <v>0</v>
      </c>
      <c r="F296">
        <v>0</v>
      </c>
      <c r="G296">
        <v>0</v>
      </c>
      <c r="H296">
        <v>939.48</v>
      </c>
      <c r="I296">
        <v>0</v>
      </c>
      <c r="J296">
        <v>0</v>
      </c>
      <c r="K296">
        <v>0</v>
      </c>
      <c r="L296">
        <v>0</v>
      </c>
      <c r="M296">
        <v>365.16</v>
      </c>
      <c r="N296">
        <v>0</v>
      </c>
      <c r="O296">
        <v>0</v>
      </c>
      <c r="P296">
        <v>0</v>
      </c>
      <c r="Q296">
        <v>0</v>
      </c>
    </row>
    <row r="297" spans="1:17">
      <c r="A297" s="21" t="s">
        <v>24</v>
      </c>
      <c r="B297" s="21">
        <v>267</v>
      </c>
      <c r="C297" s="21">
        <v>0</v>
      </c>
      <c r="D297" s="22">
        <v>0</v>
      </c>
      <c r="E297">
        <v>0</v>
      </c>
      <c r="F297">
        <v>0</v>
      </c>
      <c r="G297">
        <v>0</v>
      </c>
      <c r="H297">
        <v>1712.8</v>
      </c>
      <c r="I297">
        <v>0.12</v>
      </c>
      <c r="J297">
        <v>0</v>
      </c>
      <c r="K297">
        <v>0</v>
      </c>
      <c r="L297">
        <v>0</v>
      </c>
      <c r="M297">
        <v>2102.3200000000002</v>
      </c>
      <c r="N297">
        <v>3653.64</v>
      </c>
      <c r="O297">
        <v>0</v>
      </c>
      <c r="P297">
        <v>0</v>
      </c>
      <c r="Q297">
        <v>0</v>
      </c>
    </row>
    <row r="298" spans="1:17">
      <c r="A298" t="s">
        <v>24</v>
      </c>
      <c r="B298">
        <v>268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405.28</v>
      </c>
      <c r="I298">
        <v>0</v>
      </c>
      <c r="J298">
        <v>0</v>
      </c>
      <c r="K298">
        <v>0</v>
      </c>
      <c r="L298">
        <v>0</v>
      </c>
      <c r="M298">
        <v>27.24</v>
      </c>
      <c r="N298">
        <v>0</v>
      </c>
      <c r="O298">
        <v>0</v>
      </c>
      <c r="P298">
        <v>0</v>
      </c>
      <c r="Q298">
        <v>0</v>
      </c>
    </row>
    <row r="299" spans="1:17">
      <c r="A299" s="21" t="s">
        <v>24</v>
      </c>
      <c r="B299" s="21">
        <v>269</v>
      </c>
      <c r="C299" s="21">
        <v>0</v>
      </c>
      <c r="D299" s="22">
        <v>0</v>
      </c>
      <c r="E299">
        <v>0</v>
      </c>
      <c r="F299">
        <v>0</v>
      </c>
      <c r="G299">
        <v>0</v>
      </c>
      <c r="H299">
        <v>790.88</v>
      </c>
      <c r="I299">
        <v>0</v>
      </c>
      <c r="J299">
        <v>0</v>
      </c>
      <c r="K299">
        <v>0</v>
      </c>
      <c r="L299">
        <v>0</v>
      </c>
      <c r="M299">
        <v>1431.08</v>
      </c>
      <c r="N299">
        <v>2597.6799999999998</v>
      </c>
      <c r="O299">
        <v>0</v>
      </c>
      <c r="P299">
        <v>0</v>
      </c>
      <c r="Q299">
        <v>0</v>
      </c>
    </row>
    <row r="300" spans="1:17">
      <c r="A300" s="21" t="s">
        <v>24</v>
      </c>
      <c r="B300" s="21">
        <v>270</v>
      </c>
      <c r="C300" s="21">
        <v>0</v>
      </c>
      <c r="D300" s="22">
        <v>0</v>
      </c>
      <c r="E300">
        <v>0</v>
      </c>
      <c r="F300">
        <v>0</v>
      </c>
      <c r="G300">
        <v>0</v>
      </c>
      <c r="H300">
        <v>629.79999999999995</v>
      </c>
      <c r="I300">
        <v>699.24</v>
      </c>
      <c r="J300">
        <v>0</v>
      </c>
      <c r="K300">
        <v>0</v>
      </c>
      <c r="L300">
        <v>0</v>
      </c>
      <c r="M300">
        <v>3629.84</v>
      </c>
      <c r="N300">
        <v>8108.24</v>
      </c>
      <c r="O300">
        <v>0</v>
      </c>
      <c r="P300">
        <v>0</v>
      </c>
      <c r="Q300">
        <v>0</v>
      </c>
    </row>
    <row r="301" spans="1:17">
      <c r="A301" s="21" t="s">
        <v>24</v>
      </c>
      <c r="B301" s="21">
        <v>271</v>
      </c>
      <c r="C301" s="21">
        <v>0</v>
      </c>
      <c r="D301" s="22">
        <v>0</v>
      </c>
      <c r="E301">
        <v>0</v>
      </c>
      <c r="F301">
        <v>0</v>
      </c>
      <c r="G301">
        <v>0</v>
      </c>
      <c r="H301">
        <v>410.64</v>
      </c>
      <c r="I301">
        <v>0</v>
      </c>
      <c r="J301">
        <v>0</v>
      </c>
      <c r="K301">
        <v>0</v>
      </c>
      <c r="L301">
        <v>0</v>
      </c>
      <c r="M301">
        <v>901</v>
      </c>
      <c r="N301">
        <v>292</v>
      </c>
      <c r="O301">
        <v>0</v>
      </c>
      <c r="P301">
        <v>0</v>
      </c>
      <c r="Q301">
        <v>0</v>
      </c>
    </row>
    <row r="302" spans="1:17">
      <c r="A302" s="21" t="s">
        <v>24</v>
      </c>
      <c r="B302" s="21">
        <v>272</v>
      </c>
      <c r="C302" s="21">
        <v>0</v>
      </c>
      <c r="D302" s="2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</v>
      </c>
      <c r="N302">
        <v>9</v>
      </c>
      <c r="O302">
        <v>0</v>
      </c>
      <c r="P302">
        <v>0</v>
      </c>
      <c r="Q302">
        <v>0</v>
      </c>
    </row>
    <row r="303" spans="1:17">
      <c r="A303" s="21" t="s">
        <v>24</v>
      </c>
      <c r="B303" s="21">
        <v>275</v>
      </c>
      <c r="C303" s="21">
        <v>0</v>
      </c>
      <c r="D303" s="22">
        <v>0</v>
      </c>
      <c r="E303">
        <v>0</v>
      </c>
      <c r="F303">
        <v>0</v>
      </c>
      <c r="G303">
        <v>0</v>
      </c>
      <c r="H303">
        <v>3157.48</v>
      </c>
      <c r="I303">
        <v>3698.36</v>
      </c>
      <c r="J303">
        <v>310.72000000000003</v>
      </c>
      <c r="K303">
        <v>0</v>
      </c>
      <c r="L303">
        <v>0</v>
      </c>
      <c r="M303">
        <v>0</v>
      </c>
      <c r="N303">
        <v>264.92</v>
      </c>
      <c r="O303">
        <v>1835.08</v>
      </c>
      <c r="P303">
        <v>0</v>
      </c>
      <c r="Q303">
        <v>0</v>
      </c>
    </row>
    <row r="304" spans="1:17">
      <c r="A304" s="21" t="s">
        <v>24</v>
      </c>
      <c r="B304" s="21">
        <v>309</v>
      </c>
      <c r="C304" s="21">
        <v>0</v>
      </c>
      <c r="D304" s="22">
        <v>0</v>
      </c>
      <c r="E304">
        <v>0</v>
      </c>
      <c r="F304">
        <v>0</v>
      </c>
      <c r="G304">
        <v>0</v>
      </c>
      <c r="H304">
        <v>17.399999999999999</v>
      </c>
      <c r="I304">
        <v>101.8</v>
      </c>
      <c r="J304">
        <v>0</v>
      </c>
      <c r="K304">
        <v>0</v>
      </c>
      <c r="L304">
        <v>0</v>
      </c>
      <c r="M304">
        <v>0</v>
      </c>
      <c r="N304">
        <v>9.56</v>
      </c>
      <c r="O304">
        <v>0</v>
      </c>
      <c r="P304">
        <v>0</v>
      </c>
      <c r="Q304">
        <v>0</v>
      </c>
    </row>
    <row r="305" spans="1:17">
      <c r="A305" s="21" t="s">
        <v>24</v>
      </c>
      <c r="B305" s="21">
        <v>310</v>
      </c>
      <c r="C305" s="21">
        <v>0</v>
      </c>
      <c r="D305" s="22">
        <v>0</v>
      </c>
      <c r="E305">
        <v>0</v>
      </c>
      <c r="F305">
        <v>0</v>
      </c>
      <c r="G305">
        <v>0</v>
      </c>
      <c r="H305">
        <v>112.36</v>
      </c>
      <c r="I305">
        <v>403.6</v>
      </c>
      <c r="J305">
        <v>0</v>
      </c>
      <c r="K305">
        <v>0</v>
      </c>
      <c r="L305">
        <v>0</v>
      </c>
      <c r="M305">
        <v>0</v>
      </c>
      <c r="N305">
        <v>93.52</v>
      </c>
      <c r="O305">
        <v>334.2</v>
      </c>
      <c r="P305">
        <v>0</v>
      </c>
      <c r="Q305">
        <v>0</v>
      </c>
    </row>
    <row r="306" spans="1:17">
      <c r="A306" s="21" t="s">
        <v>25</v>
      </c>
      <c r="B306" s="21">
        <v>135</v>
      </c>
      <c r="C306" s="21">
        <v>18344.55</v>
      </c>
      <c r="D306" s="22">
        <v>30369.857999999997</v>
      </c>
      <c r="E306">
        <v>61.671999999999997</v>
      </c>
      <c r="F306">
        <v>20.63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>
      <c r="A307" t="s">
        <v>25</v>
      </c>
      <c r="B307">
        <v>136</v>
      </c>
      <c r="C307">
        <v>24229.935000000001</v>
      </c>
      <c r="D307">
        <v>9153.68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>
      <c r="A308" s="21" t="s">
        <v>25</v>
      </c>
      <c r="B308" s="21">
        <v>137</v>
      </c>
      <c r="C308" s="21">
        <v>18056.274999999998</v>
      </c>
      <c r="D308" s="22">
        <v>797</v>
      </c>
      <c r="E308">
        <v>78.2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>
      <c r="A309" t="s">
        <v>25</v>
      </c>
      <c r="B309">
        <v>138</v>
      </c>
      <c r="C309">
        <v>9586.625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>
      <c r="A310" s="21" t="s">
        <v>25</v>
      </c>
      <c r="B310" s="21">
        <v>139</v>
      </c>
      <c r="C310" s="21">
        <v>7613.75</v>
      </c>
      <c r="D310" s="22">
        <v>1074.94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>
      <c r="A311" s="21" t="s">
        <v>25</v>
      </c>
      <c r="B311" s="21">
        <v>140</v>
      </c>
      <c r="C311" s="21">
        <v>4703.3549999999996</v>
      </c>
      <c r="D311" s="22">
        <v>182.72</v>
      </c>
      <c r="E311">
        <v>24</v>
      </c>
      <c r="F311">
        <v>0.08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s="21" t="s">
        <v>25</v>
      </c>
      <c r="B312" s="21">
        <v>141</v>
      </c>
      <c r="C312" s="21">
        <v>7353.7650000000003</v>
      </c>
      <c r="D312" s="22">
        <v>882.53399999999999</v>
      </c>
      <c r="E312">
        <v>1.1759999999999999</v>
      </c>
      <c r="F312">
        <v>0.49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>
      <c r="A313" t="s">
        <v>25</v>
      </c>
      <c r="B313">
        <v>142</v>
      </c>
      <c r="C313">
        <v>467.99</v>
      </c>
      <c r="D313">
        <v>14.04</v>
      </c>
      <c r="E313">
        <v>2.8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>
      <c r="A314" s="21" t="s">
        <v>25</v>
      </c>
      <c r="B314" s="21">
        <v>143</v>
      </c>
      <c r="C314" s="21">
        <v>99.924999999999997</v>
      </c>
      <c r="D314" s="22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>
      <c r="A315" s="21" t="s">
        <v>25</v>
      </c>
      <c r="B315" s="21">
        <v>144</v>
      </c>
      <c r="C315" s="21">
        <v>432.43</v>
      </c>
      <c r="D315" s="22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>
      <c r="A316" t="s">
        <v>26</v>
      </c>
      <c r="B316">
        <v>93</v>
      </c>
      <c r="C316">
        <v>5033.58</v>
      </c>
      <c r="D316">
        <v>4090.78</v>
      </c>
      <c r="E316">
        <v>420.7</v>
      </c>
      <c r="F316">
        <v>12.84</v>
      </c>
      <c r="G316">
        <v>1.2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>
      <c r="A317" s="21" t="s">
        <v>26</v>
      </c>
      <c r="B317" s="21">
        <v>148</v>
      </c>
      <c r="C317" s="21">
        <v>22250.100000000002</v>
      </c>
      <c r="D317" s="22">
        <v>2298.96</v>
      </c>
      <c r="E317">
        <v>395.96</v>
      </c>
      <c r="F317">
        <v>64.88000000000001</v>
      </c>
      <c r="G317">
        <v>5.68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s="21" t="s">
        <v>26</v>
      </c>
      <c r="B318" s="21">
        <v>149</v>
      </c>
      <c r="C318" s="21">
        <v>11060.86</v>
      </c>
      <c r="D318" s="22">
        <v>6059.18</v>
      </c>
      <c r="E318">
        <v>1.32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>
      <c r="A319" t="s">
        <v>26</v>
      </c>
      <c r="B319">
        <v>150</v>
      </c>
      <c r="C319">
        <v>1365.66</v>
      </c>
      <c r="D319">
        <v>47147.74</v>
      </c>
      <c r="E319">
        <v>84.74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>
      <c r="A320" s="21" t="s">
        <v>26</v>
      </c>
      <c r="B320" s="21">
        <v>152</v>
      </c>
      <c r="C320" s="21">
        <v>4283.165</v>
      </c>
      <c r="D320" s="22">
        <v>7386.2800000000007</v>
      </c>
      <c r="E320">
        <v>2844.3999999999996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 s="21" t="s">
        <v>26</v>
      </c>
      <c r="B321" s="21">
        <v>153</v>
      </c>
      <c r="C321" s="21">
        <v>15549.3</v>
      </c>
      <c r="D321" s="22">
        <v>7420.78</v>
      </c>
      <c r="E321">
        <v>2971.9799999999996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>
      <c r="A322" s="21" t="s">
        <v>26</v>
      </c>
      <c r="B322" s="21">
        <v>154</v>
      </c>
      <c r="C322" s="21">
        <v>15489</v>
      </c>
      <c r="D322" s="22">
        <v>4064.12</v>
      </c>
      <c r="E322">
        <v>588.64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 t="s">
        <v>26</v>
      </c>
      <c r="B323">
        <v>155</v>
      </c>
      <c r="C323">
        <v>6651.83</v>
      </c>
      <c r="D323">
        <v>158.72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s="21" t="s">
        <v>26</v>
      </c>
      <c r="B324" s="21">
        <v>156</v>
      </c>
      <c r="C324" s="21">
        <v>6780.82</v>
      </c>
      <c r="D324" s="22">
        <v>858.32</v>
      </c>
      <c r="E324">
        <v>33.6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s="21" t="s">
        <v>26</v>
      </c>
      <c r="B325" s="21">
        <v>157</v>
      </c>
      <c r="C325" s="21">
        <v>1056.97</v>
      </c>
      <c r="D325" s="22">
        <v>63.96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s="21" t="s">
        <v>26</v>
      </c>
      <c r="B326" s="21">
        <v>158</v>
      </c>
      <c r="C326" s="21">
        <v>636.62</v>
      </c>
      <c r="D326" s="22">
        <v>16.98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s="21" t="s">
        <v>26</v>
      </c>
      <c r="B327" s="21">
        <v>159</v>
      </c>
      <c r="C327" s="21">
        <v>15.78</v>
      </c>
      <c r="D327" s="22">
        <v>0.74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26</v>
      </c>
      <c r="B328">
        <v>160</v>
      </c>
      <c r="C328">
        <v>47.82</v>
      </c>
      <c r="D328">
        <v>6.68</v>
      </c>
      <c r="E328">
        <v>1.04</v>
      </c>
      <c r="F328">
        <v>0.14000000000000001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 s="21" t="s">
        <v>26</v>
      </c>
      <c r="B329" s="21">
        <v>165</v>
      </c>
      <c r="C329" s="21">
        <v>400.08</v>
      </c>
      <c r="D329" s="22">
        <v>2121.3000000000002</v>
      </c>
      <c r="E329">
        <v>59.8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s="21" t="s">
        <v>27</v>
      </c>
      <c r="B330" s="21">
        <v>241</v>
      </c>
      <c r="C330" s="21">
        <v>7.8263999999999996</v>
      </c>
      <c r="D330" s="22">
        <v>0.86960000000000004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 s="21" t="s">
        <v>27</v>
      </c>
      <c r="B331" s="21">
        <v>281</v>
      </c>
      <c r="C331" s="21">
        <v>74.136600000000001</v>
      </c>
      <c r="D331" s="22">
        <v>8.2373999999999992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27</v>
      </c>
      <c r="B332">
        <v>282</v>
      </c>
      <c r="C332">
        <v>3.1320000000000001</v>
      </c>
      <c r="D332">
        <v>5.2827000000000002</v>
      </c>
      <c r="E332">
        <v>0.54830000000000001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s="21" t="s">
        <v>27</v>
      </c>
      <c r="B333" s="21">
        <v>283</v>
      </c>
      <c r="C333" s="21">
        <v>0</v>
      </c>
      <c r="D333" s="22">
        <v>25.7346</v>
      </c>
      <c r="E333">
        <v>2.8593999999999999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s="21" t="s">
        <v>27</v>
      </c>
      <c r="B334" s="21">
        <v>284</v>
      </c>
      <c r="C334" s="21">
        <v>21.9099</v>
      </c>
      <c r="D334" s="22">
        <v>19.1371</v>
      </c>
      <c r="E334">
        <v>2.044</v>
      </c>
      <c r="F334">
        <v>0.87870000000000004</v>
      </c>
      <c r="G334">
        <v>8.43E-2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s="21" t="s">
        <v>27</v>
      </c>
      <c r="B335" s="21">
        <v>285</v>
      </c>
      <c r="C335" s="21">
        <v>17.558199999999999</v>
      </c>
      <c r="D335" s="22">
        <v>14.775499999999999</v>
      </c>
      <c r="E335">
        <v>15.185</v>
      </c>
      <c r="F335">
        <v>1.7253000000000001</v>
      </c>
      <c r="G335">
        <v>0.22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27</v>
      </c>
      <c r="B336">
        <v>288</v>
      </c>
      <c r="C336">
        <v>43.64</v>
      </c>
      <c r="D336">
        <v>14.36</v>
      </c>
      <c r="E336">
        <v>6.52</v>
      </c>
      <c r="F336">
        <v>5.08</v>
      </c>
      <c r="G336">
        <v>3.06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>
      <c r="A337" s="21" t="s">
        <v>28</v>
      </c>
      <c r="B337" s="21">
        <v>241</v>
      </c>
      <c r="C337" s="21">
        <v>26.947700000000001</v>
      </c>
      <c r="D337" s="22">
        <v>3.6044999999999998</v>
      </c>
      <c r="E337">
        <v>0.68</v>
      </c>
      <c r="F337">
        <v>0.2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s="21" t="s">
        <v>28</v>
      </c>
      <c r="B338" s="21">
        <v>242</v>
      </c>
      <c r="C338" s="21">
        <v>17.514199999999999</v>
      </c>
      <c r="D338" s="22">
        <v>2.2637999999999998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s="21" t="s">
        <v>29</v>
      </c>
      <c r="B339" s="21">
        <v>333</v>
      </c>
      <c r="C339" s="21">
        <v>888.72</v>
      </c>
      <c r="D339" s="22">
        <v>61.64</v>
      </c>
      <c r="E339">
        <v>0.06</v>
      </c>
      <c r="F339">
        <v>0</v>
      </c>
      <c r="G339">
        <v>0</v>
      </c>
      <c r="H339">
        <v>371.28</v>
      </c>
      <c r="I339">
        <v>450.88</v>
      </c>
      <c r="J339">
        <v>417.76</v>
      </c>
      <c r="K339">
        <v>0</v>
      </c>
      <c r="L339">
        <v>0</v>
      </c>
      <c r="M339">
        <v>20</v>
      </c>
      <c r="N339">
        <v>544.08000000000004</v>
      </c>
      <c r="O339">
        <v>2130.36</v>
      </c>
      <c r="P339">
        <v>285.83999999999997</v>
      </c>
      <c r="Q339">
        <v>0</v>
      </c>
    </row>
    <row r="340" spans="1:17">
      <c r="A340" t="s">
        <v>29</v>
      </c>
      <c r="B340">
        <v>334</v>
      </c>
      <c r="C340">
        <v>93.38</v>
      </c>
      <c r="D340">
        <v>1.52</v>
      </c>
      <c r="E340">
        <v>0</v>
      </c>
      <c r="F340">
        <v>0</v>
      </c>
      <c r="G340">
        <v>0</v>
      </c>
      <c r="H340">
        <v>278.64</v>
      </c>
      <c r="I340">
        <v>128.68</v>
      </c>
      <c r="J340">
        <v>0</v>
      </c>
      <c r="K340">
        <v>0</v>
      </c>
      <c r="L340">
        <v>0</v>
      </c>
      <c r="M340">
        <v>1.56</v>
      </c>
      <c r="N340">
        <v>633.79999999999995</v>
      </c>
      <c r="O340">
        <v>2727.6</v>
      </c>
      <c r="P340">
        <v>179</v>
      </c>
      <c r="Q340">
        <v>0</v>
      </c>
    </row>
    <row r="341" spans="1:17">
      <c r="A341" s="21" t="s">
        <v>29</v>
      </c>
      <c r="B341" s="21">
        <v>335</v>
      </c>
      <c r="C341" s="21">
        <v>137.72</v>
      </c>
      <c r="D341" s="22">
        <v>11.4</v>
      </c>
      <c r="E341">
        <v>1.58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s="21" t="s">
        <v>29</v>
      </c>
      <c r="B342" s="21">
        <v>336</v>
      </c>
      <c r="C342" s="21">
        <v>263.74</v>
      </c>
      <c r="D342" s="22">
        <v>28.22</v>
      </c>
      <c r="E342">
        <v>4.66</v>
      </c>
      <c r="F342">
        <v>0</v>
      </c>
      <c r="G342">
        <v>0</v>
      </c>
      <c r="H342">
        <v>234.2</v>
      </c>
      <c r="I342">
        <v>279.56</v>
      </c>
      <c r="J342">
        <v>241.12</v>
      </c>
      <c r="K342">
        <v>0</v>
      </c>
      <c r="L342">
        <v>0</v>
      </c>
      <c r="M342">
        <v>28.24</v>
      </c>
      <c r="N342">
        <v>327.84</v>
      </c>
      <c r="O342">
        <v>1135.24</v>
      </c>
      <c r="P342">
        <v>0</v>
      </c>
      <c r="Q342">
        <v>0</v>
      </c>
    </row>
    <row r="343" spans="1:17">
      <c r="A343" s="21" t="s">
        <v>29</v>
      </c>
      <c r="B343" s="21">
        <v>337</v>
      </c>
      <c r="C343" s="21">
        <v>120</v>
      </c>
      <c r="D343" s="22">
        <v>6.38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29</v>
      </c>
      <c r="B344">
        <v>338</v>
      </c>
      <c r="C344">
        <v>346.1</v>
      </c>
      <c r="D344">
        <v>49.52</v>
      </c>
      <c r="E344">
        <v>18.899999999999999</v>
      </c>
      <c r="F344">
        <v>5.36</v>
      </c>
      <c r="G344">
        <v>1.8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 s="21" t="s">
        <v>29</v>
      </c>
      <c r="B345" s="21">
        <v>339</v>
      </c>
      <c r="C345" s="21">
        <v>118.02</v>
      </c>
      <c r="D345" s="22">
        <v>32.68</v>
      </c>
      <c r="E345">
        <v>16.5</v>
      </c>
      <c r="F345">
        <v>6.52</v>
      </c>
      <c r="G345">
        <v>1.58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 s="21" t="s">
        <v>30</v>
      </c>
      <c r="B346" s="21">
        <v>275</v>
      </c>
      <c r="C346" s="21">
        <v>0</v>
      </c>
      <c r="D346" s="22">
        <v>0</v>
      </c>
      <c r="E346">
        <v>0</v>
      </c>
      <c r="F346">
        <v>0</v>
      </c>
      <c r="G346">
        <v>0</v>
      </c>
      <c r="H346">
        <v>178.32</v>
      </c>
      <c r="I346">
        <v>627.88</v>
      </c>
      <c r="J346">
        <v>178.36</v>
      </c>
      <c r="K346">
        <v>0</v>
      </c>
      <c r="L346">
        <v>0</v>
      </c>
      <c r="M346">
        <v>0</v>
      </c>
      <c r="N346">
        <v>0.24</v>
      </c>
      <c r="O346">
        <v>731.2</v>
      </c>
      <c r="P346">
        <v>136.80000000000001</v>
      </c>
      <c r="Q346">
        <v>0</v>
      </c>
    </row>
    <row r="347" spans="1:17">
      <c r="A347" s="21" t="s">
        <v>30</v>
      </c>
      <c r="B347" s="21">
        <v>288</v>
      </c>
      <c r="C347" s="21">
        <v>83.92</v>
      </c>
      <c r="D347" s="22">
        <v>38.945500000000003</v>
      </c>
      <c r="E347">
        <v>15.9495</v>
      </c>
      <c r="F347">
        <v>11.52</v>
      </c>
      <c r="G347">
        <v>4.4000000000000004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 s="21" t="s">
        <v>30</v>
      </c>
      <c r="B348" s="21">
        <v>289</v>
      </c>
      <c r="C348" s="21">
        <v>0.94</v>
      </c>
      <c r="D348" s="22">
        <v>0.28000000000000003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30</v>
      </c>
      <c r="B349">
        <v>292</v>
      </c>
      <c r="C349">
        <v>2.88</v>
      </c>
      <c r="D349">
        <v>0</v>
      </c>
      <c r="E349">
        <v>0</v>
      </c>
      <c r="F349">
        <v>0</v>
      </c>
      <c r="G349">
        <v>0</v>
      </c>
      <c r="H349">
        <v>226.24</v>
      </c>
      <c r="I349">
        <v>1256.1199999999999</v>
      </c>
      <c r="J349">
        <v>2171.4</v>
      </c>
      <c r="K349">
        <v>485.76</v>
      </c>
      <c r="L349">
        <v>0</v>
      </c>
      <c r="M349">
        <v>0</v>
      </c>
      <c r="N349">
        <v>0</v>
      </c>
      <c r="O349">
        <v>145.63999999999999</v>
      </c>
      <c r="P349">
        <v>2810.72</v>
      </c>
      <c r="Q349">
        <v>0</v>
      </c>
    </row>
    <row r="350" spans="1:17">
      <c r="A350" s="21" t="s">
        <v>30</v>
      </c>
      <c r="B350" s="21">
        <v>293</v>
      </c>
      <c r="C350" s="21">
        <v>2.6</v>
      </c>
      <c r="D350" s="22">
        <v>0</v>
      </c>
      <c r="E350">
        <v>0</v>
      </c>
      <c r="F350">
        <v>0</v>
      </c>
      <c r="G350">
        <v>0</v>
      </c>
      <c r="H350">
        <v>609.4</v>
      </c>
      <c r="I350">
        <v>1234.32</v>
      </c>
      <c r="J350">
        <v>4080.92</v>
      </c>
      <c r="K350">
        <v>132.72</v>
      </c>
      <c r="L350">
        <v>0</v>
      </c>
      <c r="M350">
        <v>0</v>
      </c>
      <c r="N350">
        <v>0.12</v>
      </c>
      <c r="O350">
        <v>1802.28</v>
      </c>
      <c r="P350">
        <v>1955.48</v>
      </c>
      <c r="Q350">
        <v>0</v>
      </c>
    </row>
    <row r="351" spans="1:17">
      <c r="A351" s="21" t="s">
        <v>30</v>
      </c>
      <c r="B351" s="21">
        <v>294</v>
      </c>
      <c r="C351" s="21">
        <v>95.2</v>
      </c>
      <c r="D351" s="22">
        <v>0.46</v>
      </c>
      <c r="E351">
        <v>0</v>
      </c>
      <c r="F351">
        <v>0</v>
      </c>
      <c r="G351">
        <v>0</v>
      </c>
      <c r="H351">
        <v>1291.28</v>
      </c>
      <c r="I351">
        <v>2591.12</v>
      </c>
      <c r="J351">
        <v>2094.56</v>
      </c>
      <c r="K351">
        <v>2585.08</v>
      </c>
      <c r="L351">
        <v>0</v>
      </c>
      <c r="M351">
        <v>0</v>
      </c>
      <c r="N351">
        <v>0.12</v>
      </c>
      <c r="O351">
        <v>12.96</v>
      </c>
      <c r="P351">
        <v>12399.48</v>
      </c>
      <c r="Q351">
        <v>0</v>
      </c>
    </row>
    <row r="352" spans="1:17">
      <c r="A352" s="21" t="s">
        <v>30</v>
      </c>
      <c r="B352" s="21">
        <v>295</v>
      </c>
      <c r="C352" s="21">
        <v>4.0999999999999996</v>
      </c>
      <c r="D352" s="22">
        <v>1.32</v>
      </c>
      <c r="E352">
        <v>1</v>
      </c>
      <c r="F352">
        <v>0.2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s="21" t="s">
        <v>30</v>
      </c>
      <c r="B353" s="21">
        <v>297</v>
      </c>
      <c r="C353" s="21">
        <v>0</v>
      </c>
      <c r="D353" s="22">
        <v>0</v>
      </c>
      <c r="E353">
        <v>0</v>
      </c>
      <c r="F353">
        <v>0</v>
      </c>
      <c r="G353">
        <v>0</v>
      </c>
      <c r="H353">
        <v>1233.52</v>
      </c>
      <c r="I353">
        <v>1918.12</v>
      </c>
      <c r="J353">
        <v>987</v>
      </c>
      <c r="K353">
        <v>0</v>
      </c>
      <c r="L353">
        <v>0</v>
      </c>
      <c r="M353">
        <v>0</v>
      </c>
      <c r="N353">
        <v>1.1200000000000001</v>
      </c>
      <c r="O353">
        <v>1283.4000000000001</v>
      </c>
      <c r="P353">
        <v>1118.72</v>
      </c>
      <c r="Q353">
        <v>0</v>
      </c>
    </row>
    <row r="354" spans="1:17">
      <c r="A354" t="s">
        <v>30</v>
      </c>
      <c r="B354">
        <v>298</v>
      </c>
      <c r="C354">
        <v>45.64</v>
      </c>
      <c r="D354">
        <v>0</v>
      </c>
      <c r="E354">
        <v>0</v>
      </c>
      <c r="F354">
        <v>0</v>
      </c>
      <c r="G354">
        <v>0</v>
      </c>
      <c r="H354">
        <v>1458.64</v>
      </c>
      <c r="I354">
        <v>3039.72</v>
      </c>
      <c r="J354">
        <v>2967.56</v>
      </c>
      <c r="K354">
        <v>5.72</v>
      </c>
      <c r="L354">
        <v>0</v>
      </c>
      <c r="M354">
        <v>0</v>
      </c>
      <c r="N354">
        <v>0</v>
      </c>
      <c r="O354">
        <v>1841.48</v>
      </c>
      <c r="P354">
        <v>4661.4799999999996</v>
      </c>
      <c r="Q354">
        <v>0</v>
      </c>
    </row>
    <row r="355" spans="1:17">
      <c r="A355" s="21" t="s">
        <v>30</v>
      </c>
      <c r="B355" s="21">
        <v>299</v>
      </c>
      <c r="C355" s="21">
        <v>13.12</v>
      </c>
      <c r="D355" s="22">
        <v>0</v>
      </c>
      <c r="E355">
        <v>0</v>
      </c>
      <c r="F355">
        <v>0</v>
      </c>
      <c r="G355">
        <v>0</v>
      </c>
      <c r="H355">
        <v>1231.8</v>
      </c>
      <c r="I355">
        <v>1397.12</v>
      </c>
      <c r="J355">
        <v>1229</v>
      </c>
      <c r="K355">
        <v>0</v>
      </c>
      <c r="L355">
        <v>0</v>
      </c>
      <c r="M355">
        <v>0</v>
      </c>
      <c r="N355">
        <v>0</v>
      </c>
      <c r="O355">
        <v>719.4</v>
      </c>
      <c r="P355">
        <v>603.91999999999996</v>
      </c>
      <c r="Q355">
        <v>0</v>
      </c>
    </row>
    <row r="356" spans="1:17">
      <c r="A356" t="s">
        <v>31</v>
      </c>
      <c r="B356">
        <v>244</v>
      </c>
      <c r="C356">
        <v>2.66</v>
      </c>
      <c r="D356">
        <v>1.22</v>
      </c>
      <c r="E356">
        <v>0.76</v>
      </c>
      <c r="F356">
        <v>0.9</v>
      </c>
      <c r="G356">
        <v>0.76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 s="21" t="s">
        <v>31</v>
      </c>
      <c r="B357" s="21">
        <v>245</v>
      </c>
      <c r="C357" s="21">
        <v>9.24</v>
      </c>
      <c r="D357" s="22">
        <v>6.76</v>
      </c>
      <c r="E357">
        <v>4.5199999999999996</v>
      </c>
      <c r="F357">
        <v>2.94</v>
      </c>
      <c r="G357">
        <v>0.08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 s="21" t="s">
        <v>31</v>
      </c>
      <c r="B358" s="21">
        <v>294</v>
      </c>
      <c r="C358" s="21">
        <v>43.18</v>
      </c>
      <c r="D358" s="22">
        <v>3.2</v>
      </c>
      <c r="E358">
        <v>0</v>
      </c>
      <c r="F358">
        <v>0</v>
      </c>
      <c r="G358">
        <v>0</v>
      </c>
      <c r="H358">
        <v>1119.4000000000001</v>
      </c>
      <c r="I358">
        <v>2135.52</v>
      </c>
      <c r="J358">
        <v>3198.48</v>
      </c>
      <c r="K358">
        <v>2675.04</v>
      </c>
      <c r="L358">
        <v>0</v>
      </c>
      <c r="M358">
        <v>0</v>
      </c>
      <c r="N358">
        <v>0</v>
      </c>
      <c r="O358">
        <v>151.08000000000001</v>
      </c>
      <c r="P358">
        <v>15896.2</v>
      </c>
      <c r="Q358">
        <v>0</v>
      </c>
    </row>
    <row r="359" spans="1:17">
      <c r="A359" s="21" t="s">
        <v>31</v>
      </c>
      <c r="B359" s="21">
        <v>300</v>
      </c>
      <c r="C359" s="21">
        <v>21.14</v>
      </c>
      <c r="D359" s="22">
        <v>12.24</v>
      </c>
      <c r="E359">
        <v>6.46</v>
      </c>
      <c r="F359">
        <v>6.24</v>
      </c>
      <c r="G359">
        <v>3.36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 s="21" t="s">
        <v>31</v>
      </c>
      <c r="B360" s="21">
        <v>301</v>
      </c>
      <c r="C360" s="21">
        <v>5.58</v>
      </c>
      <c r="D360" s="22">
        <v>1.94</v>
      </c>
      <c r="E360">
        <v>0.28000000000000003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31</v>
      </c>
      <c r="B361">
        <v>302</v>
      </c>
      <c r="C361">
        <v>8.9</v>
      </c>
      <c r="D361">
        <v>3.76</v>
      </c>
      <c r="E361">
        <v>1.58</v>
      </c>
      <c r="F361">
        <v>1.1000000000000001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 s="21" t="s">
        <v>31</v>
      </c>
      <c r="B362" s="21">
        <v>305</v>
      </c>
      <c r="C362" s="21">
        <v>0</v>
      </c>
      <c r="D362" s="22">
        <v>0</v>
      </c>
      <c r="E362">
        <v>0</v>
      </c>
      <c r="F362">
        <v>0</v>
      </c>
      <c r="G362">
        <v>0</v>
      </c>
      <c r="H362">
        <v>456.68</v>
      </c>
      <c r="I362">
        <v>533.48</v>
      </c>
      <c r="J362">
        <v>0</v>
      </c>
      <c r="K362">
        <v>0</v>
      </c>
      <c r="L362">
        <v>0</v>
      </c>
      <c r="M362">
        <v>0</v>
      </c>
      <c r="N362">
        <v>0.04</v>
      </c>
      <c r="O362">
        <v>0</v>
      </c>
      <c r="P362">
        <v>0</v>
      </c>
      <c r="Q362">
        <v>0</v>
      </c>
    </row>
    <row r="363" spans="1:17">
      <c r="A363" s="21" t="s">
        <v>31</v>
      </c>
      <c r="B363" s="21">
        <v>307</v>
      </c>
      <c r="C363" s="21">
        <v>28.6</v>
      </c>
      <c r="D363" s="22">
        <v>0</v>
      </c>
      <c r="E363">
        <v>0</v>
      </c>
      <c r="F363">
        <v>0</v>
      </c>
      <c r="G363">
        <v>0</v>
      </c>
      <c r="H363">
        <v>404.44</v>
      </c>
      <c r="I363">
        <v>676.56</v>
      </c>
      <c r="J363">
        <v>655.52</v>
      </c>
      <c r="K363">
        <v>985.36</v>
      </c>
      <c r="L363">
        <v>0</v>
      </c>
      <c r="M363">
        <v>0</v>
      </c>
      <c r="N363">
        <v>0.2</v>
      </c>
      <c r="O363">
        <v>0</v>
      </c>
      <c r="P363">
        <v>253.64</v>
      </c>
      <c r="Q363">
        <v>0</v>
      </c>
    </row>
    <row r="364" spans="1:17">
      <c r="A364" s="21" t="s">
        <v>31</v>
      </c>
      <c r="B364" s="21">
        <v>317</v>
      </c>
      <c r="C364" s="21">
        <v>0</v>
      </c>
      <c r="D364" s="22">
        <v>0</v>
      </c>
      <c r="E364">
        <v>0</v>
      </c>
      <c r="F364">
        <v>0</v>
      </c>
      <c r="G364">
        <v>0</v>
      </c>
      <c r="H364">
        <v>9.92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s="21" t="s">
        <v>32</v>
      </c>
      <c r="B365" s="21">
        <v>125</v>
      </c>
      <c r="C365" s="21">
        <v>0</v>
      </c>
      <c r="D365" s="22">
        <v>0</v>
      </c>
      <c r="E365">
        <v>0</v>
      </c>
      <c r="F365">
        <v>0</v>
      </c>
      <c r="G365">
        <v>0</v>
      </c>
      <c r="H365">
        <v>0.4</v>
      </c>
      <c r="I365">
        <v>1.4</v>
      </c>
      <c r="J365">
        <v>0</v>
      </c>
      <c r="K365">
        <v>0</v>
      </c>
      <c r="L365">
        <v>0</v>
      </c>
      <c r="M365">
        <v>19.48</v>
      </c>
      <c r="N365">
        <v>306.68</v>
      </c>
      <c r="O365">
        <v>0</v>
      </c>
      <c r="P365">
        <v>0</v>
      </c>
      <c r="Q365">
        <v>0</v>
      </c>
    </row>
    <row r="366" spans="1:17">
      <c r="A366" t="s">
        <v>32</v>
      </c>
      <c r="B366">
        <v>129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7.16</v>
      </c>
      <c r="I366">
        <v>17.96</v>
      </c>
      <c r="J366">
        <v>0</v>
      </c>
      <c r="K366">
        <v>0</v>
      </c>
      <c r="L366">
        <v>0</v>
      </c>
      <c r="M366">
        <v>0</v>
      </c>
      <c r="N366">
        <v>135.32</v>
      </c>
      <c r="O366">
        <v>321.72000000000003</v>
      </c>
      <c r="P366">
        <v>521.96</v>
      </c>
      <c r="Q366">
        <v>0</v>
      </c>
    </row>
    <row r="367" spans="1:17">
      <c r="A367" s="21" t="s">
        <v>32</v>
      </c>
      <c r="B367" s="21">
        <v>177</v>
      </c>
      <c r="C367" s="21">
        <v>352.96</v>
      </c>
      <c r="D367" s="22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s="21" t="s">
        <v>32</v>
      </c>
      <c r="B368" s="21">
        <v>183</v>
      </c>
      <c r="C368" s="21">
        <v>290.77999999999997</v>
      </c>
      <c r="D368" s="22">
        <v>0.8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 s="21" t="s">
        <v>32</v>
      </c>
      <c r="B369" s="21">
        <v>191</v>
      </c>
      <c r="C369" s="21">
        <v>552.24</v>
      </c>
      <c r="D369" s="22">
        <v>50.16</v>
      </c>
      <c r="E369">
        <v>8.2799999999999994</v>
      </c>
      <c r="F369">
        <v>0.04</v>
      </c>
      <c r="G369">
        <v>0</v>
      </c>
      <c r="H369">
        <v>975.72</v>
      </c>
      <c r="I369">
        <v>1288.1199999999999</v>
      </c>
      <c r="J369">
        <v>1024.72</v>
      </c>
      <c r="K369">
        <v>408.44</v>
      </c>
      <c r="L369">
        <v>0</v>
      </c>
      <c r="M369">
        <v>331</v>
      </c>
      <c r="N369">
        <v>2050.2399999999998</v>
      </c>
      <c r="O369">
        <v>5237.08</v>
      </c>
      <c r="P369">
        <v>26857.8</v>
      </c>
      <c r="Q369">
        <v>0</v>
      </c>
    </row>
    <row r="370" spans="1:17">
      <c r="A370" s="21" t="s">
        <v>32</v>
      </c>
      <c r="B370" s="21">
        <v>192</v>
      </c>
      <c r="C370" s="21">
        <v>6246.7</v>
      </c>
      <c r="D370" s="22">
        <v>0</v>
      </c>
      <c r="E370">
        <v>0</v>
      </c>
      <c r="F370">
        <v>0</v>
      </c>
      <c r="G370">
        <v>0</v>
      </c>
      <c r="H370">
        <v>318.68</v>
      </c>
      <c r="I370">
        <v>218.04</v>
      </c>
      <c r="J370">
        <v>0.88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32</v>
      </c>
      <c r="B371">
        <v>193</v>
      </c>
      <c r="C371">
        <v>9285.06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s="21" t="s">
        <v>32</v>
      </c>
      <c r="B372" s="21">
        <v>194</v>
      </c>
      <c r="C372" s="21">
        <v>44.9</v>
      </c>
      <c r="D372" s="2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s="21" t="s">
        <v>32</v>
      </c>
      <c r="B373" s="21">
        <v>195</v>
      </c>
      <c r="C373" s="21">
        <v>1.24</v>
      </c>
      <c r="D373" s="22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s="21" t="s">
        <v>32</v>
      </c>
      <c r="B374" s="21">
        <v>196</v>
      </c>
      <c r="C374" s="21">
        <v>2916.74</v>
      </c>
      <c r="D374" s="22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32</v>
      </c>
      <c r="B375">
        <v>197</v>
      </c>
      <c r="C375">
        <v>4088.5</v>
      </c>
      <c r="D375">
        <v>0</v>
      </c>
      <c r="E375">
        <v>0</v>
      </c>
      <c r="F375">
        <v>0</v>
      </c>
      <c r="G375">
        <v>0</v>
      </c>
      <c r="H375">
        <v>627.12</v>
      </c>
      <c r="I375">
        <v>743.56</v>
      </c>
      <c r="J375">
        <v>780.04</v>
      </c>
      <c r="K375">
        <v>267.64</v>
      </c>
      <c r="L375">
        <v>0</v>
      </c>
      <c r="M375">
        <v>6.48</v>
      </c>
      <c r="N375">
        <v>235.6</v>
      </c>
      <c r="O375">
        <v>873.4</v>
      </c>
      <c r="P375">
        <v>5646.8</v>
      </c>
      <c r="Q375">
        <v>0</v>
      </c>
    </row>
    <row r="376" spans="1:17">
      <c r="A376" s="21" t="s">
        <v>32</v>
      </c>
      <c r="B376" s="21">
        <v>198</v>
      </c>
      <c r="C376" s="21">
        <v>2416.12</v>
      </c>
      <c r="D376" s="22">
        <v>0</v>
      </c>
      <c r="E376">
        <v>0</v>
      </c>
      <c r="F376">
        <v>0</v>
      </c>
      <c r="G376">
        <v>0</v>
      </c>
      <c r="H376">
        <v>339.12</v>
      </c>
      <c r="I376">
        <v>630.32000000000005</v>
      </c>
      <c r="J376">
        <v>10.24</v>
      </c>
      <c r="K376">
        <v>0</v>
      </c>
      <c r="L376">
        <v>0</v>
      </c>
      <c r="M376">
        <v>38.04</v>
      </c>
      <c r="N376">
        <v>805.08</v>
      </c>
      <c r="O376">
        <v>1627</v>
      </c>
      <c r="P376">
        <v>5055.4799999999996</v>
      </c>
      <c r="Q376">
        <v>0</v>
      </c>
    </row>
    <row r="377" spans="1:17">
      <c r="A377" s="21" t="s">
        <v>32</v>
      </c>
      <c r="B377" s="21">
        <v>206</v>
      </c>
      <c r="C377" s="21">
        <v>0</v>
      </c>
      <c r="D377" s="22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144</v>
      </c>
      <c r="Q377">
        <v>0</v>
      </c>
    </row>
    <row r="378" spans="1:17">
      <c r="A378" s="21" t="s">
        <v>32</v>
      </c>
      <c r="B378" s="21">
        <v>211</v>
      </c>
      <c r="C378" s="21">
        <v>0</v>
      </c>
      <c r="D378" s="22">
        <v>0</v>
      </c>
      <c r="E378">
        <v>0</v>
      </c>
      <c r="F378">
        <v>0</v>
      </c>
      <c r="G378">
        <v>0</v>
      </c>
      <c r="H378">
        <v>3.88</v>
      </c>
      <c r="I378">
        <v>2.84</v>
      </c>
      <c r="J378">
        <v>15.92</v>
      </c>
      <c r="K378">
        <v>3.84</v>
      </c>
      <c r="L378">
        <v>0</v>
      </c>
      <c r="M378">
        <v>0</v>
      </c>
      <c r="N378">
        <v>0</v>
      </c>
      <c r="O378">
        <v>4.28</v>
      </c>
      <c r="P378">
        <v>419.28</v>
      </c>
      <c r="Q378">
        <v>0</v>
      </c>
    </row>
    <row r="379" spans="1:17">
      <c r="A379" s="21" t="s">
        <v>32</v>
      </c>
      <c r="B379" s="21">
        <v>212</v>
      </c>
      <c r="C379" s="21">
        <v>0</v>
      </c>
      <c r="D379" s="22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396</v>
      </c>
      <c r="Q379">
        <v>0</v>
      </c>
    </row>
    <row r="380" spans="1:17">
      <c r="A380" t="s">
        <v>32</v>
      </c>
      <c r="B380">
        <v>219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18</v>
      </c>
      <c r="Q380">
        <v>0</v>
      </c>
    </row>
  </sheetData>
  <sortState ref="A2:Q1887">
    <sortCondition ref="A2:A1887"/>
    <sortCondition ref="B2:B188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14"/>
  <sheetViews>
    <sheetView workbookViewId="0"/>
  </sheetViews>
  <sheetFormatPr defaultRowHeight="15" outlineLevelRow="2"/>
  <cols>
    <col min="1" max="1" width="13.140625" style="21" customWidth="1"/>
    <col min="2" max="2" width="9.5703125" style="21" customWidth="1"/>
    <col min="3" max="3" width="8.28515625" style="21" customWidth="1"/>
    <col min="4" max="4" width="12.28515625" style="22" customWidth="1"/>
  </cols>
  <sheetData>
    <row r="1" spans="1:33">
      <c r="S1" t="s">
        <v>88</v>
      </c>
    </row>
    <row r="2" spans="1:33" ht="60">
      <c r="A2" s="6" t="s">
        <v>0</v>
      </c>
      <c r="B2" s="6" t="s">
        <v>33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89</v>
      </c>
      <c r="N2" s="8" t="s">
        <v>90</v>
      </c>
      <c r="O2" s="8" t="s">
        <v>91</v>
      </c>
      <c r="P2" s="8" t="s">
        <v>92</v>
      </c>
      <c r="Q2" s="8" t="s">
        <v>93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89</v>
      </c>
      <c r="AD2" s="8" t="s">
        <v>90</v>
      </c>
      <c r="AE2" s="8" t="s">
        <v>91</v>
      </c>
      <c r="AF2" s="8" t="s">
        <v>92</v>
      </c>
      <c r="AG2" s="8" t="s">
        <v>93</v>
      </c>
    </row>
    <row r="3" spans="1:33" outlineLevel="2">
      <c r="A3" t="s">
        <v>1</v>
      </c>
      <c r="B3">
        <v>33</v>
      </c>
      <c r="C3">
        <v>535.54</v>
      </c>
      <c r="D3">
        <v>61.38</v>
      </c>
      <c r="E3">
        <v>16.12</v>
      </c>
      <c r="F3">
        <v>11.98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 s="19">
        <f>IF(C$19&gt;0, C3/C$19, 0)</f>
        <v>2.0882774304290964E-2</v>
      </c>
      <c r="T3" s="19">
        <f t="shared" ref="T3:AF3" si="0">IF(D$19&gt;0, D3/D$19, 0)</f>
        <v>8.9898501691638485E-3</v>
      </c>
      <c r="U3" s="19">
        <f t="shared" si="0"/>
        <v>1.3430647203892556E-2</v>
      </c>
      <c r="V3" s="19">
        <f t="shared" si="0"/>
        <v>4.1701475912002232E-2</v>
      </c>
      <c r="W3" s="19">
        <f t="shared" si="0"/>
        <v>0</v>
      </c>
      <c r="X3" s="19">
        <f t="shared" si="0"/>
        <v>0</v>
      </c>
      <c r="Y3" s="19">
        <f t="shared" si="0"/>
        <v>0</v>
      </c>
      <c r="Z3" s="19">
        <f t="shared" si="0"/>
        <v>0</v>
      </c>
      <c r="AA3" s="19">
        <f t="shared" si="0"/>
        <v>0</v>
      </c>
      <c r="AB3" s="19">
        <f t="shared" si="0"/>
        <v>0</v>
      </c>
      <c r="AC3" s="19">
        <f t="shared" si="0"/>
        <v>0</v>
      </c>
      <c r="AD3" s="19">
        <f t="shared" si="0"/>
        <v>0</v>
      </c>
      <c r="AE3" s="19">
        <f t="shared" si="0"/>
        <v>0</v>
      </c>
      <c r="AF3" s="19">
        <f t="shared" si="0"/>
        <v>0</v>
      </c>
      <c r="AG3" s="19">
        <f>IF(Q$19&gt;0, Q3/Q$19, 0)</f>
        <v>0</v>
      </c>
    </row>
    <row r="4" spans="1:33" outlineLevel="2">
      <c r="A4" t="s">
        <v>1</v>
      </c>
      <c r="B4">
        <v>53</v>
      </c>
      <c r="C4">
        <v>425.74</v>
      </c>
      <c r="D4">
        <v>57.84</v>
      </c>
      <c r="E4">
        <v>10.799999999999999</v>
      </c>
      <c r="F4">
        <v>2</v>
      </c>
      <c r="G4">
        <v>0.28000000000000003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 s="19">
        <f>IF(C$19&gt;0, C4/C$19, 0)</f>
        <v>1.6601247959646032E-2</v>
      </c>
      <c r="T4" s="19">
        <f t="shared" ref="T4:T18" si="1">IF(D$19&gt;0, D4/D$19, 0)</f>
        <v>8.4713739619491201E-3</v>
      </c>
      <c r="U4" s="19">
        <f t="shared" ref="U4:U18" si="2">IF(E$19&gt;0, E4/E$19, 0)</f>
        <v>8.9982003599280141E-3</v>
      </c>
      <c r="V4" s="19">
        <f t="shared" ref="V4:V18" si="3">IF(F$19&gt;0, F4/F$19, 0)</f>
        <v>6.9618490671122255E-3</v>
      </c>
      <c r="W4" s="19">
        <f t="shared" ref="W4:W18" si="4">IF(G$19&gt;0, G4/G$19, 0)</f>
        <v>3.3420864168059207E-3</v>
      </c>
      <c r="X4" s="19">
        <f t="shared" ref="X4:X18" si="5">IF(H$19&gt;0, H4/H$19, 0)</f>
        <v>0</v>
      </c>
      <c r="Y4" s="19">
        <f t="shared" ref="Y4:Y18" si="6">IF(I$19&gt;0, I4/I$19, 0)</f>
        <v>0</v>
      </c>
      <c r="Z4" s="19">
        <f t="shared" ref="Z4:Z18" si="7">IF(J$19&gt;0, J4/J$19, 0)</f>
        <v>0</v>
      </c>
      <c r="AA4" s="19">
        <f t="shared" ref="AA4:AA18" si="8">IF(K$19&gt;0, K4/K$19, 0)</f>
        <v>0</v>
      </c>
      <c r="AB4" s="19">
        <f t="shared" ref="AB4:AB18" si="9">IF(L$19&gt;0, L4/L$19, 0)</f>
        <v>0</v>
      </c>
      <c r="AC4" s="19">
        <f t="shared" ref="AC4:AC18" si="10">IF(M$19&gt;0, M4/M$19, 0)</f>
        <v>0</v>
      </c>
      <c r="AD4" s="19">
        <f t="shared" ref="AD4:AD18" si="11">IF(N$19&gt;0, N4/N$19, 0)</f>
        <v>0</v>
      </c>
      <c r="AE4" s="19">
        <f t="shared" ref="AE4:AE18" si="12">IF(O$19&gt;0, O4/O$19, 0)</f>
        <v>0</v>
      </c>
      <c r="AF4" s="19">
        <f t="shared" ref="AF4:AF18" si="13">IF(P$19&gt;0, P4/P$19, 0)</f>
        <v>0</v>
      </c>
      <c r="AG4" s="19">
        <f t="shared" ref="AG4:AG18" si="14">IF(Q$19&gt;0, Q4/Q$19, 0)</f>
        <v>0</v>
      </c>
    </row>
    <row r="5" spans="1:33" outlineLevel="2">
      <c r="A5" t="s">
        <v>1</v>
      </c>
      <c r="B5">
        <v>54</v>
      </c>
      <c r="C5">
        <v>2551.1799999999998</v>
      </c>
      <c r="D5">
        <v>116.86</v>
      </c>
      <c r="E5">
        <v>48.06</v>
      </c>
      <c r="F5">
        <v>20.82</v>
      </c>
      <c r="G5">
        <v>2.4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 s="19">
        <f t="shared" ref="S5:S18" si="15">IF(C$19&gt;0, C5/C$19, 0)</f>
        <v>9.9480367758936816E-2</v>
      </c>
      <c r="T5" s="19">
        <f t="shared" si="1"/>
        <v>1.711557332630315E-2</v>
      </c>
      <c r="U5" s="19">
        <f t="shared" si="2"/>
        <v>4.0041991601679663E-2</v>
      </c>
      <c r="V5" s="19">
        <f t="shared" si="3"/>
        <v>7.2472848788638272E-2</v>
      </c>
      <c r="W5" s="19">
        <f t="shared" si="4"/>
        <v>2.8646455001193602E-2</v>
      </c>
      <c r="X5" s="19">
        <f t="shared" si="5"/>
        <v>0</v>
      </c>
      <c r="Y5" s="19">
        <f t="shared" si="6"/>
        <v>0</v>
      </c>
      <c r="Z5" s="19">
        <f t="shared" si="7"/>
        <v>0</v>
      </c>
      <c r="AA5" s="19">
        <f t="shared" si="8"/>
        <v>0</v>
      </c>
      <c r="AB5" s="19">
        <f t="shared" si="9"/>
        <v>0</v>
      </c>
      <c r="AC5" s="19">
        <f t="shared" si="10"/>
        <v>0</v>
      </c>
      <c r="AD5" s="19">
        <f t="shared" si="11"/>
        <v>0</v>
      </c>
      <c r="AE5" s="19">
        <f t="shared" si="12"/>
        <v>0</v>
      </c>
      <c r="AF5" s="19">
        <f t="shared" si="13"/>
        <v>0</v>
      </c>
      <c r="AG5" s="19">
        <f t="shared" si="14"/>
        <v>0</v>
      </c>
    </row>
    <row r="6" spans="1:33" outlineLevel="2">
      <c r="A6" t="s">
        <v>1</v>
      </c>
      <c r="B6">
        <v>55</v>
      </c>
      <c r="C6">
        <v>675.28</v>
      </c>
      <c r="D6">
        <v>81.3</v>
      </c>
      <c r="E6">
        <v>12.42</v>
      </c>
      <c r="F6">
        <v>3.6</v>
      </c>
      <c r="G6">
        <v>0.12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 s="19">
        <f t="shared" si="15"/>
        <v>2.6331776958213395E-2</v>
      </c>
      <c r="T6" s="19">
        <f t="shared" si="1"/>
        <v>1.1907377301287405E-2</v>
      </c>
      <c r="U6" s="19">
        <f t="shared" si="2"/>
        <v>1.0347930413917216E-2</v>
      </c>
      <c r="V6" s="19">
        <f t="shared" si="3"/>
        <v>1.2531328320802006E-2</v>
      </c>
      <c r="W6" s="19">
        <f t="shared" si="4"/>
        <v>1.4323227500596801E-3</v>
      </c>
      <c r="X6" s="19">
        <f t="shared" si="5"/>
        <v>0</v>
      </c>
      <c r="Y6" s="19">
        <f t="shared" si="6"/>
        <v>0</v>
      </c>
      <c r="Z6" s="19">
        <f t="shared" si="7"/>
        <v>0</v>
      </c>
      <c r="AA6" s="19">
        <f t="shared" si="8"/>
        <v>0</v>
      </c>
      <c r="AB6" s="19">
        <f t="shared" si="9"/>
        <v>0</v>
      </c>
      <c r="AC6" s="19">
        <f t="shared" si="10"/>
        <v>0</v>
      </c>
      <c r="AD6" s="19">
        <f t="shared" si="11"/>
        <v>0</v>
      </c>
      <c r="AE6" s="19">
        <f t="shared" si="12"/>
        <v>0</v>
      </c>
      <c r="AF6" s="19">
        <f t="shared" si="13"/>
        <v>0</v>
      </c>
      <c r="AG6" s="19">
        <f t="shared" si="14"/>
        <v>0</v>
      </c>
    </row>
    <row r="7" spans="1:33" outlineLevel="2">
      <c r="A7" t="s">
        <v>1</v>
      </c>
      <c r="B7">
        <v>56</v>
      </c>
      <c r="C7">
        <v>25.72</v>
      </c>
      <c r="D7">
        <v>4.32</v>
      </c>
      <c r="E7">
        <v>0.42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 s="19">
        <f t="shared" si="15"/>
        <v>1.0029222002210173E-3</v>
      </c>
      <c r="T7" s="19">
        <f t="shared" si="1"/>
        <v>6.3271672744848206E-4</v>
      </c>
      <c r="U7" s="19">
        <f t="shared" si="2"/>
        <v>3.4993001399720057E-4</v>
      </c>
      <c r="V7" s="19">
        <f t="shared" si="3"/>
        <v>0</v>
      </c>
      <c r="W7" s="19">
        <f t="shared" si="4"/>
        <v>0</v>
      </c>
      <c r="X7" s="19">
        <f t="shared" si="5"/>
        <v>0</v>
      </c>
      <c r="Y7" s="19">
        <f t="shared" si="6"/>
        <v>0</v>
      </c>
      <c r="Z7" s="19">
        <f t="shared" si="7"/>
        <v>0</v>
      </c>
      <c r="AA7" s="19">
        <f t="shared" si="8"/>
        <v>0</v>
      </c>
      <c r="AB7" s="19">
        <f t="shared" si="9"/>
        <v>0</v>
      </c>
      <c r="AC7" s="19">
        <f t="shared" si="10"/>
        <v>0</v>
      </c>
      <c r="AD7" s="19">
        <f t="shared" si="11"/>
        <v>0</v>
      </c>
      <c r="AE7" s="19">
        <f t="shared" si="12"/>
        <v>0</v>
      </c>
      <c r="AF7" s="19">
        <f t="shared" si="13"/>
        <v>0</v>
      </c>
      <c r="AG7" s="19">
        <f t="shared" si="14"/>
        <v>0</v>
      </c>
    </row>
    <row r="8" spans="1:33" outlineLevel="2">
      <c r="A8" t="s">
        <v>1</v>
      </c>
      <c r="B8">
        <v>57</v>
      </c>
      <c r="C8">
        <v>142.47999999999999</v>
      </c>
      <c r="D8">
        <v>23.04</v>
      </c>
      <c r="E8">
        <v>6.62</v>
      </c>
      <c r="F8">
        <v>3.26</v>
      </c>
      <c r="G8">
        <v>0.32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 s="19">
        <f t="shared" si="15"/>
        <v>5.5558458432150284E-3</v>
      </c>
      <c r="T8" s="19">
        <f t="shared" si="1"/>
        <v>3.3744892130585708E-3</v>
      </c>
      <c r="U8" s="19">
        <f t="shared" si="2"/>
        <v>5.5155635539558753E-3</v>
      </c>
      <c r="V8" s="19">
        <f t="shared" si="3"/>
        <v>1.1347813979392928E-2</v>
      </c>
      <c r="W8" s="19">
        <f t="shared" si="4"/>
        <v>3.8195273334924802E-3</v>
      </c>
      <c r="X8" s="19">
        <f t="shared" si="5"/>
        <v>0</v>
      </c>
      <c r="Y8" s="19">
        <f t="shared" si="6"/>
        <v>0</v>
      </c>
      <c r="Z8" s="19">
        <f t="shared" si="7"/>
        <v>0</v>
      </c>
      <c r="AA8" s="19">
        <f t="shared" si="8"/>
        <v>0</v>
      </c>
      <c r="AB8" s="19">
        <f t="shared" si="9"/>
        <v>0</v>
      </c>
      <c r="AC8" s="19">
        <f t="shared" si="10"/>
        <v>0</v>
      </c>
      <c r="AD8" s="19">
        <f t="shared" si="11"/>
        <v>0</v>
      </c>
      <c r="AE8" s="19">
        <f t="shared" si="12"/>
        <v>0</v>
      </c>
      <c r="AF8" s="19">
        <f t="shared" si="13"/>
        <v>0</v>
      </c>
      <c r="AG8" s="19">
        <f t="shared" si="14"/>
        <v>0</v>
      </c>
    </row>
    <row r="9" spans="1:33" outlineLevel="2">
      <c r="A9" t="s">
        <v>1</v>
      </c>
      <c r="B9">
        <v>58</v>
      </c>
      <c r="C9">
        <v>38.799999999999997</v>
      </c>
      <c r="D9">
        <v>11.96</v>
      </c>
      <c r="E9">
        <v>2.34</v>
      </c>
      <c r="F9">
        <v>0.36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 s="19">
        <f t="shared" si="15"/>
        <v>1.5129619505666978E-3</v>
      </c>
      <c r="T9" s="19">
        <f t="shared" si="1"/>
        <v>1.7516879769175569E-3</v>
      </c>
      <c r="U9" s="19">
        <f t="shared" si="2"/>
        <v>1.9496100779844031E-3</v>
      </c>
      <c r="V9" s="19">
        <f t="shared" si="3"/>
        <v>1.2531328320802006E-3</v>
      </c>
      <c r="W9" s="19">
        <f t="shared" si="4"/>
        <v>0</v>
      </c>
      <c r="X9" s="19">
        <f t="shared" si="5"/>
        <v>0</v>
      </c>
      <c r="Y9" s="19">
        <f t="shared" si="6"/>
        <v>0</v>
      </c>
      <c r="Z9" s="19">
        <f t="shared" si="7"/>
        <v>0</v>
      </c>
      <c r="AA9" s="19">
        <f t="shared" si="8"/>
        <v>0</v>
      </c>
      <c r="AB9" s="19">
        <f t="shared" si="9"/>
        <v>0</v>
      </c>
      <c r="AC9" s="19">
        <f t="shared" si="10"/>
        <v>0</v>
      </c>
      <c r="AD9" s="19">
        <f t="shared" si="11"/>
        <v>0</v>
      </c>
      <c r="AE9" s="19">
        <f t="shared" si="12"/>
        <v>0</v>
      </c>
      <c r="AF9" s="19">
        <f t="shared" si="13"/>
        <v>0</v>
      </c>
      <c r="AG9" s="19">
        <f t="shared" si="14"/>
        <v>0</v>
      </c>
    </row>
    <row r="10" spans="1:33" outlineLevel="2">
      <c r="A10" t="s">
        <v>1</v>
      </c>
      <c r="B10">
        <v>59</v>
      </c>
      <c r="C10">
        <v>264.10000000000002</v>
      </c>
      <c r="D10">
        <v>73.98</v>
      </c>
      <c r="E10">
        <v>24.54</v>
      </c>
      <c r="F10">
        <v>10.6</v>
      </c>
      <c r="G10">
        <v>0.84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 s="19">
        <f t="shared" si="15"/>
        <v>1.0298279668676932E-2</v>
      </c>
      <c r="T10" s="19">
        <f t="shared" si="1"/>
        <v>1.0835273957555255E-2</v>
      </c>
      <c r="U10" s="19">
        <f t="shared" si="2"/>
        <v>2.0445910817836432E-2</v>
      </c>
      <c r="V10" s="19">
        <f t="shared" si="3"/>
        <v>3.6897800055694797E-2</v>
      </c>
      <c r="W10" s="19">
        <f t="shared" si="4"/>
        <v>1.002625925041776E-2</v>
      </c>
      <c r="X10" s="19">
        <f t="shared" si="5"/>
        <v>0</v>
      </c>
      <c r="Y10" s="19">
        <f t="shared" si="6"/>
        <v>0</v>
      </c>
      <c r="Z10" s="19">
        <f t="shared" si="7"/>
        <v>0</v>
      </c>
      <c r="AA10" s="19">
        <f t="shared" si="8"/>
        <v>0</v>
      </c>
      <c r="AB10" s="19">
        <f t="shared" si="9"/>
        <v>0</v>
      </c>
      <c r="AC10" s="19">
        <f t="shared" si="10"/>
        <v>0</v>
      </c>
      <c r="AD10" s="19">
        <f t="shared" si="11"/>
        <v>0</v>
      </c>
      <c r="AE10" s="19">
        <f t="shared" si="12"/>
        <v>0</v>
      </c>
      <c r="AF10" s="19">
        <f t="shared" si="13"/>
        <v>0</v>
      </c>
      <c r="AG10" s="19">
        <f t="shared" si="14"/>
        <v>0</v>
      </c>
    </row>
    <row r="11" spans="1:33" outlineLevel="2">
      <c r="A11" t="s">
        <v>1</v>
      </c>
      <c r="B11">
        <v>88</v>
      </c>
      <c r="C11">
        <v>578.12</v>
      </c>
      <c r="D11">
        <v>150.26</v>
      </c>
      <c r="E11">
        <v>38.82</v>
      </c>
      <c r="F11">
        <v>15.08</v>
      </c>
      <c r="G11">
        <v>0.82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 s="19">
        <f t="shared" si="15"/>
        <v>2.2543133063443799E-2</v>
      </c>
      <c r="T11" s="19">
        <f t="shared" si="1"/>
        <v>2.2007410987594653E-2</v>
      </c>
      <c r="U11" s="19">
        <f t="shared" si="2"/>
        <v>3.2343531293741248E-2</v>
      </c>
      <c r="V11" s="19">
        <f t="shared" si="3"/>
        <v>5.2492341966026181E-2</v>
      </c>
      <c r="W11" s="19">
        <f t="shared" si="4"/>
        <v>9.7875387920744808E-3</v>
      </c>
      <c r="X11" s="19">
        <f t="shared" si="5"/>
        <v>0</v>
      </c>
      <c r="Y11" s="19">
        <f t="shared" si="6"/>
        <v>0</v>
      </c>
      <c r="Z11" s="19">
        <f t="shared" si="7"/>
        <v>0</v>
      </c>
      <c r="AA11" s="19">
        <f t="shared" si="8"/>
        <v>0</v>
      </c>
      <c r="AB11" s="19">
        <f t="shared" si="9"/>
        <v>0</v>
      </c>
      <c r="AC11" s="19">
        <f t="shared" si="10"/>
        <v>0</v>
      </c>
      <c r="AD11" s="19">
        <f t="shared" si="11"/>
        <v>0</v>
      </c>
      <c r="AE11" s="19">
        <f t="shared" si="12"/>
        <v>0</v>
      </c>
      <c r="AF11" s="19">
        <f t="shared" si="13"/>
        <v>0</v>
      </c>
      <c r="AG11" s="19">
        <f t="shared" si="14"/>
        <v>0</v>
      </c>
    </row>
    <row r="12" spans="1:33" outlineLevel="2">
      <c r="A12" t="s">
        <v>1</v>
      </c>
      <c r="B12">
        <v>89</v>
      </c>
      <c r="C12">
        <v>113.12</v>
      </c>
      <c r="D12">
        <v>14.24</v>
      </c>
      <c r="E12">
        <v>5.7</v>
      </c>
      <c r="F12">
        <v>1.4</v>
      </c>
      <c r="G12">
        <v>0.04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 s="19">
        <f t="shared" si="15"/>
        <v>4.4109859754666208E-3</v>
      </c>
      <c r="T12" s="19">
        <f t="shared" si="1"/>
        <v>2.0856218052931444E-3</v>
      </c>
      <c r="U12" s="19">
        <f t="shared" si="2"/>
        <v>4.7490501899620074E-3</v>
      </c>
      <c r="V12" s="19">
        <f t="shared" si="3"/>
        <v>4.8732943469785572E-3</v>
      </c>
      <c r="W12" s="19">
        <f t="shared" si="4"/>
        <v>4.7744091668656003E-4</v>
      </c>
      <c r="X12" s="19">
        <f t="shared" si="5"/>
        <v>0</v>
      </c>
      <c r="Y12" s="19">
        <f t="shared" si="6"/>
        <v>0</v>
      </c>
      <c r="Z12" s="19">
        <f t="shared" si="7"/>
        <v>0</v>
      </c>
      <c r="AA12" s="19">
        <f t="shared" si="8"/>
        <v>0</v>
      </c>
      <c r="AB12" s="19">
        <f t="shared" si="9"/>
        <v>0</v>
      </c>
      <c r="AC12" s="19">
        <f t="shared" si="10"/>
        <v>0</v>
      </c>
      <c r="AD12" s="19">
        <f t="shared" si="11"/>
        <v>0</v>
      </c>
      <c r="AE12" s="19">
        <f t="shared" si="12"/>
        <v>0</v>
      </c>
      <c r="AF12" s="19">
        <f t="shared" si="13"/>
        <v>0</v>
      </c>
      <c r="AG12" s="19">
        <f t="shared" si="14"/>
        <v>0</v>
      </c>
    </row>
    <row r="13" spans="1:33" outlineLevel="2">
      <c r="A13" t="s">
        <v>1</v>
      </c>
      <c r="B13">
        <v>90</v>
      </c>
      <c r="C13">
        <v>1415.48</v>
      </c>
      <c r="D13">
        <v>253.8</v>
      </c>
      <c r="E13">
        <v>88.88</v>
      </c>
      <c r="F13">
        <v>42.66</v>
      </c>
      <c r="G13">
        <v>9.8800000000000008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s="19">
        <f t="shared" si="15"/>
        <v>5.5195035613096639E-2</v>
      </c>
      <c r="T13" s="19">
        <f t="shared" si="1"/>
        <v>3.7172107737598319E-2</v>
      </c>
      <c r="U13" s="19">
        <f t="shared" si="2"/>
        <v>7.4051856295407587E-2</v>
      </c>
      <c r="V13" s="19">
        <f t="shared" si="3"/>
        <v>0.14849624060150377</v>
      </c>
      <c r="W13" s="19">
        <f t="shared" si="4"/>
        <v>0.11792790642158034</v>
      </c>
      <c r="X13" s="19">
        <f t="shared" si="5"/>
        <v>0</v>
      </c>
      <c r="Y13" s="19">
        <f t="shared" si="6"/>
        <v>0</v>
      </c>
      <c r="Z13" s="19">
        <f t="shared" si="7"/>
        <v>0</v>
      </c>
      <c r="AA13" s="19">
        <f t="shared" si="8"/>
        <v>0</v>
      </c>
      <c r="AB13" s="19">
        <f t="shared" si="9"/>
        <v>0</v>
      </c>
      <c r="AC13" s="19">
        <f t="shared" si="10"/>
        <v>0</v>
      </c>
      <c r="AD13" s="19">
        <f t="shared" si="11"/>
        <v>0</v>
      </c>
      <c r="AE13" s="19">
        <f t="shared" si="12"/>
        <v>0</v>
      </c>
      <c r="AF13" s="19">
        <f t="shared" si="13"/>
        <v>0</v>
      </c>
      <c r="AG13" s="19">
        <f t="shared" si="14"/>
        <v>0</v>
      </c>
    </row>
    <row r="14" spans="1:33" outlineLevel="2">
      <c r="A14" t="s">
        <v>1</v>
      </c>
      <c r="B14">
        <v>91</v>
      </c>
      <c r="C14">
        <v>875.71999999999991</v>
      </c>
      <c r="D14">
        <v>69.3</v>
      </c>
      <c r="E14">
        <v>30.900000000000002</v>
      </c>
      <c r="F14">
        <v>31.060000000000002</v>
      </c>
      <c r="G14">
        <v>30.34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s="19">
        <f t="shared" si="15"/>
        <v>3.4147707199749189E-2</v>
      </c>
      <c r="T14" s="19">
        <f t="shared" si="1"/>
        <v>1.0149830836152732E-2</v>
      </c>
      <c r="U14" s="19">
        <f t="shared" si="2"/>
        <v>2.5744851029794041E-2</v>
      </c>
      <c r="V14" s="19">
        <f t="shared" si="3"/>
        <v>0.10811751601225288</v>
      </c>
      <c r="W14" s="19">
        <f t="shared" si="4"/>
        <v>0.36213893530675578</v>
      </c>
      <c r="X14" s="19">
        <f t="shared" si="5"/>
        <v>0</v>
      </c>
      <c r="Y14" s="19">
        <f t="shared" si="6"/>
        <v>0</v>
      </c>
      <c r="Z14" s="19">
        <f t="shared" si="7"/>
        <v>0</v>
      </c>
      <c r="AA14" s="19">
        <f t="shared" si="8"/>
        <v>0</v>
      </c>
      <c r="AB14" s="19">
        <f t="shared" si="9"/>
        <v>0</v>
      </c>
      <c r="AC14" s="19">
        <f t="shared" si="10"/>
        <v>0</v>
      </c>
      <c r="AD14" s="19">
        <f t="shared" si="11"/>
        <v>0</v>
      </c>
      <c r="AE14" s="19">
        <f t="shared" si="12"/>
        <v>0</v>
      </c>
      <c r="AF14" s="19">
        <f t="shared" si="13"/>
        <v>0</v>
      </c>
      <c r="AG14" s="19">
        <f t="shared" si="14"/>
        <v>0</v>
      </c>
    </row>
    <row r="15" spans="1:33" outlineLevel="2">
      <c r="A15" t="s">
        <v>1</v>
      </c>
      <c r="B15">
        <v>92</v>
      </c>
      <c r="C15">
        <v>6679.98</v>
      </c>
      <c r="D15">
        <v>4083.74</v>
      </c>
      <c r="E15">
        <v>670.66</v>
      </c>
      <c r="F15">
        <v>70.5</v>
      </c>
      <c r="G15">
        <v>2.1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 s="19">
        <f t="shared" si="15"/>
        <v>0.26047823635429201</v>
      </c>
      <c r="T15" s="19">
        <f t="shared" si="1"/>
        <v>0.59811356679408889</v>
      </c>
      <c r="U15" s="19">
        <f t="shared" si="2"/>
        <v>0.55877157901752983</v>
      </c>
      <c r="V15" s="19">
        <f t="shared" si="3"/>
        <v>0.24540517961570596</v>
      </c>
      <c r="W15" s="19">
        <f t="shared" si="4"/>
        <v>2.5065648126044403E-2</v>
      </c>
      <c r="X15" s="19">
        <f t="shared" si="5"/>
        <v>0</v>
      </c>
      <c r="Y15" s="19">
        <f t="shared" si="6"/>
        <v>0</v>
      </c>
      <c r="Z15" s="19">
        <f t="shared" si="7"/>
        <v>0</v>
      </c>
      <c r="AA15" s="19">
        <f t="shared" si="8"/>
        <v>0</v>
      </c>
      <c r="AB15" s="19">
        <f t="shared" si="9"/>
        <v>0</v>
      </c>
      <c r="AC15" s="19">
        <f t="shared" si="10"/>
        <v>0</v>
      </c>
      <c r="AD15" s="19">
        <f t="shared" si="11"/>
        <v>0</v>
      </c>
      <c r="AE15" s="19">
        <f t="shared" si="12"/>
        <v>0</v>
      </c>
      <c r="AF15" s="19">
        <f t="shared" si="13"/>
        <v>0</v>
      </c>
      <c r="AG15" s="19">
        <f t="shared" si="14"/>
        <v>0</v>
      </c>
    </row>
    <row r="16" spans="1:33" outlineLevel="2">
      <c r="A16" t="s">
        <v>1</v>
      </c>
      <c r="B16">
        <v>93</v>
      </c>
      <c r="C16">
        <v>11142.34</v>
      </c>
      <c r="D16">
        <v>1597.24</v>
      </c>
      <c r="E16">
        <v>180.68</v>
      </c>
      <c r="F16">
        <v>71.679999999999993</v>
      </c>
      <c r="G16">
        <v>36.639999999999993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 s="19">
        <f t="shared" si="15"/>
        <v>0.43448289846075622</v>
      </c>
      <c r="T16" s="19">
        <f t="shared" si="1"/>
        <v>0.23393529299764199</v>
      </c>
      <c r="U16" s="19">
        <f t="shared" si="2"/>
        <v>0.15053655935479571</v>
      </c>
      <c r="V16" s="19">
        <f t="shared" si="3"/>
        <v>0.24951267056530213</v>
      </c>
      <c r="W16" s="19">
        <f t="shared" si="4"/>
        <v>0.43733587968488891</v>
      </c>
      <c r="X16" s="19">
        <f t="shared" si="5"/>
        <v>0</v>
      </c>
      <c r="Y16" s="19">
        <f t="shared" si="6"/>
        <v>0</v>
      </c>
      <c r="Z16" s="19">
        <f t="shared" si="7"/>
        <v>0</v>
      </c>
      <c r="AA16" s="19">
        <f t="shared" si="8"/>
        <v>0</v>
      </c>
      <c r="AB16" s="19">
        <f t="shared" si="9"/>
        <v>0</v>
      </c>
      <c r="AC16" s="19">
        <f t="shared" si="10"/>
        <v>0</v>
      </c>
      <c r="AD16" s="19">
        <f t="shared" si="11"/>
        <v>0</v>
      </c>
      <c r="AE16" s="19">
        <f t="shared" si="12"/>
        <v>0</v>
      </c>
      <c r="AF16" s="19">
        <f t="shared" si="13"/>
        <v>0</v>
      </c>
      <c r="AG16" s="19">
        <f t="shared" si="14"/>
        <v>0</v>
      </c>
    </row>
    <row r="17" spans="1:33" outlineLevel="2">
      <c r="A17" t="s">
        <v>1</v>
      </c>
      <c r="B17">
        <v>94</v>
      </c>
      <c r="C17">
        <v>0.62</v>
      </c>
      <c r="D17">
        <v>0.08</v>
      </c>
      <c r="E17">
        <v>0.04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 s="19">
        <f t="shared" si="15"/>
        <v>2.4176196117302906E-5</v>
      </c>
      <c r="T17" s="19">
        <f t="shared" si="1"/>
        <v>1.1716976434231148E-5</v>
      </c>
      <c r="U17" s="19">
        <f t="shared" si="2"/>
        <v>3.3326667999733388E-5</v>
      </c>
      <c r="V17" s="19">
        <f t="shared" si="3"/>
        <v>0</v>
      </c>
      <c r="W17" s="19">
        <f t="shared" si="4"/>
        <v>0</v>
      </c>
      <c r="X17" s="19">
        <f t="shared" si="5"/>
        <v>0</v>
      </c>
      <c r="Y17" s="19">
        <f t="shared" si="6"/>
        <v>0</v>
      </c>
      <c r="Z17" s="19">
        <f t="shared" si="7"/>
        <v>0</v>
      </c>
      <c r="AA17" s="19">
        <f t="shared" si="8"/>
        <v>0</v>
      </c>
      <c r="AB17" s="19">
        <f t="shared" si="9"/>
        <v>0</v>
      </c>
      <c r="AC17" s="19">
        <f t="shared" si="10"/>
        <v>0</v>
      </c>
      <c r="AD17" s="19">
        <f t="shared" si="11"/>
        <v>0</v>
      </c>
      <c r="AE17" s="19">
        <f t="shared" si="12"/>
        <v>0</v>
      </c>
      <c r="AF17" s="19">
        <f t="shared" si="13"/>
        <v>0</v>
      </c>
      <c r="AG17" s="19">
        <f t="shared" si="14"/>
        <v>0</v>
      </c>
    </row>
    <row r="18" spans="1:33" outlineLevel="2">
      <c r="A18" t="s">
        <v>1</v>
      </c>
      <c r="B18">
        <v>163</v>
      </c>
      <c r="C18">
        <v>180.84</v>
      </c>
      <c r="D18">
        <v>228.36</v>
      </c>
      <c r="E18">
        <v>63.24</v>
      </c>
      <c r="F18">
        <v>2.2799999999999998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 s="19">
        <f t="shared" si="15"/>
        <v>7.0516504933113835E-3</v>
      </c>
      <c r="T18" s="19">
        <f t="shared" si="1"/>
        <v>3.3446109231512818E-2</v>
      </c>
      <c r="U18" s="19">
        <f t="shared" si="2"/>
        <v>5.2689462107578487E-2</v>
      </c>
      <c r="V18" s="19">
        <f t="shared" si="3"/>
        <v>7.9365079365079361E-3</v>
      </c>
      <c r="W18" s="19">
        <f t="shared" si="4"/>
        <v>0</v>
      </c>
      <c r="X18" s="19">
        <f t="shared" si="5"/>
        <v>0</v>
      </c>
      <c r="Y18" s="19">
        <f t="shared" si="6"/>
        <v>0</v>
      </c>
      <c r="Z18" s="19">
        <f t="shared" si="7"/>
        <v>0</v>
      </c>
      <c r="AA18" s="19">
        <f t="shared" si="8"/>
        <v>0</v>
      </c>
      <c r="AB18" s="19">
        <f t="shared" si="9"/>
        <v>0</v>
      </c>
      <c r="AC18" s="19">
        <f t="shared" si="10"/>
        <v>0</v>
      </c>
      <c r="AD18" s="19">
        <f t="shared" si="11"/>
        <v>0</v>
      </c>
      <c r="AE18" s="19">
        <f t="shared" si="12"/>
        <v>0</v>
      </c>
      <c r="AF18" s="19">
        <f t="shared" si="13"/>
        <v>0</v>
      </c>
      <c r="AG18" s="19">
        <f t="shared" si="14"/>
        <v>0</v>
      </c>
    </row>
    <row r="19" spans="1:33" outlineLevel="1">
      <c r="A19" s="17" t="s">
        <v>55</v>
      </c>
      <c r="B19"/>
      <c r="C19">
        <f t="shared" ref="C19:Q19" si="16">SUBTOTAL(9,C3:C18)</f>
        <v>25645.059999999998</v>
      </c>
      <c r="D19">
        <f t="shared" si="16"/>
        <v>6827.6999999999989</v>
      </c>
      <c r="E19">
        <f t="shared" si="16"/>
        <v>1200.24</v>
      </c>
      <c r="F19">
        <f t="shared" si="16"/>
        <v>287.27999999999997</v>
      </c>
      <c r="G19">
        <f t="shared" si="16"/>
        <v>83.78</v>
      </c>
      <c r="H19">
        <f t="shared" si="16"/>
        <v>0</v>
      </c>
      <c r="I19">
        <f t="shared" si="16"/>
        <v>0</v>
      </c>
      <c r="J19">
        <f t="shared" si="16"/>
        <v>0</v>
      </c>
      <c r="K19">
        <f t="shared" si="16"/>
        <v>0</v>
      </c>
      <c r="L19">
        <f t="shared" si="16"/>
        <v>0</v>
      </c>
      <c r="M19">
        <f t="shared" si="16"/>
        <v>0</v>
      </c>
      <c r="N19">
        <f t="shared" si="16"/>
        <v>0</v>
      </c>
      <c r="O19">
        <f t="shared" si="16"/>
        <v>0</v>
      </c>
      <c r="P19">
        <f t="shared" si="16"/>
        <v>0</v>
      </c>
      <c r="Q19">
        <f t="shared" si="16"/>
        <v>0</v>
      </c>
    </row>
    <row r="20" spans="1:33" outlineLevel="2">
      <c r="A20" t="s">
        <v>2</v>
      </c>
      <c r="B20">
        <v>20</v>
      </c>
      <c r="C20">
        <v>271.2</v>
      </c>
      <c r="D20">
        <v>84.36</v>
      </c>
      <c r="E20">
        <v>32.020000000000003</v>
      </c>
      <c r="F20">
        <v>24.4</v>
      </c>
      <c r="G20">
        <v>10.54</v>
      </c>
      <c r="H20">
        <v>167.64</v>
      </c>
      <c r="I20">
        <v>56.44</v>
      </c>
      <c r="J20">
        <v>24.32</v>
      </c>
      <c r="K20">
        <v>21.44</v>
      </c>
      <c r="L20">
        <v>1.4</v>
      </c>
      <c r="M20">
        <v>765.84</v>
      </c>
      <c r="N20">
        <v>1074.6400000000001</v>
      </c>
      <c r="O20">
        <v>1182.08</v>
      </c>
      <c r="P20">
        <v>9708.8799999999992</v>
      </c>
      <c r="Q20">
        <v>19013.439999999999</v>
      </c>
      <c r="S20" s="19">
        <f>IF(C$31&gt;0, C20/C$31, 0)</f>
        <v>0.13675972244634499</v>
      </c>
      <c r="T20" s="19">
        <f t="shared" ref="T20:T30" si="17">IF(D$31&gt;0, D20/D$31, 0)</f>
        <v>9.0817095489288402E-2</v>
      </c>
      <c r="U20" s="19">
        <f t="shared" ref="U20:U30" si="18">IF(E$31&gt;0, E20/E$31, 0)</f>
        <v>7.2100878180589967E-2</v>
      </c>
      <c r="V20" s="19">
        <f t="shared" ref="V20:V30" si="19">IF(F$31&gt;0, F20/F$31, 0)</f>
        <v>6.6985120518311098E-2</v>
      </c>
      <c r="W20" s="19">
        <f t="shared" ref="W20:W30" si="20">IF(G$31&gt;0, G20/G$31, 0)</f>
        <v>6.906041147949156E-2</v>
      </c>
      <c r="X20" s="19">
        <f t="shared" ref="X20:X30" si="21">IF(H$31&gt;0, H20/H$31, 0)</f>
        <v>0.3371410184216877</v>
      </c>
      <c r="Y20" s="19">
        <f t="shared" ref="Y20:Y30" si="22">IF(I$31&gt;0, I20/I$31, 0)</f>
        <v>0.20114041339985747</v>
      </c>
      <c r="Z20" s="19">
        <f t="shared" ref="Z20:Z30" si="23">IF(J$31&gt;0, J20/J$31, 0)</f>
        <v>0.56875584658559408</v>
      </c>
      <c r="AA20" s="19">
        <f t="shared" ref="AA20:AA30" si="24">IF(K$31&gt;0, K20/K$31, 0)</f>
        <v>0.73024523160762944</v>
      </c>
      <c r="AB20" s="19">
        <f t="shared" ref="AB20:AB30" si="25">IF(L$31&gt;0, L20/L$31, 0)</f>
        <v>1</v>
      </c>
      <c r="AC20" s="19">
        <f t="shared" ref="AC20:AC30" si="26">IF(M$31&gt;0, M20/M$31, 0)</f>
        <v>0.1896244354647017</v>
      </c>
      <c r="AD20" s="19">
        <f t="shared" ref="AD20:AD30" si="27">IF(N$31&gt;0, N20/N$31, 0)</f>
        <v>4.1577937352977594E-2</v>
      </c>
      <c r="AE20" s="19">
        <f t="shared" ref="AE20:AE30" si="28">IF(O$31&gt;0, O20/O$31, 0)</f>
        <v>0.11883736267271468</v>
      </c>
      <c r="AF20" s="19">
        <f t="shared" ref="AF20:AF30" si="29">IF(P$31&gt;0, P20/P$31, 0)</f>
        <v>0.4561920531668362</v>
      </c>
      <c r="AG20" s="19">
        <f t="shared" ref="AG20:AG30" si="30">IF(Q$31&gt;0, Q20/Q$31, 0)</f>
        <v>0.98422827894225728</v>
      </c>
    </row>
    <row r="21" spans="1:33" outlineLevel="2">
      <c r="A21" t="s">
        <v>2</v>
      </c>
      <c r="B21">
        <v>21</v>
      </c>
      <c r="C21">
        <v>124.14</v>
      </c>
      <c r="D21">
        <v>30.02</v>
      </c>
      <c r="E21">
        <v>10.64</v>
      </c>
      <c r="F21">
        <v>6.94</v>
      </c>
      <c r="G21">
        <v>3.88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s="19">
        <f t="shared" ref="S21:S30" si="31">IF(C$31&gt;0, C21/C$31, 0)</f>
        <v>6.2600855252541554E-2</v>
      </c>
      <c r="T21" s="19">
        <f t="shared" si="17"/>
        <v>3.2317795241683711E-2</v>
      </c>
      <c r="U21" s="19">
        <f t="shared" si="18"/>
        <v>2.395856789011484E-2</v>
      </c>
      <c r="V21" s="19">
        <f t="shared" si="19"/>
        <v>1.905232526217537E-2</v>
      </c>
      <c r="W21" s="19">
        <f t="shared" si="20"/>
        <v>2.5422618267592716E-2</v>
      </c>
      <c r="X21" s="19">
        <f t="shared" si="21"/>
        <v>0</v>
      </c>
      <c r="Y21" s="19">
        <f t="shared" si="22"/>
        <v>0</v>
      </c>
      <c r="Z21" s="19">
        <f t="shared" si="23"/>
        <v>0</v>
      </c>
      <c r="AA21" s="19">
        <f t="shared" si="24"/>
        <v>0</v>
      </c>
      <c r="AB21" s="19">
        <f t="shared" si="25"/>
        <v>0</v>
      </c>
      <c r="AC21" s="19">
        <f t="shared" si="26"/>
        <v>0</v>
      </c>
      <c r="AD21" s="19">
        <f t="shared" si="27"/>
        <v>0</v>
      </c>
      <c r="AE21" s="19">
        <f t="shared" si="28"/>
        <v>0</v>
      </c>
      <c r="AF21" s="19">
        <f t="shared" si="29"/>
        <v>0</v>
      </c>
      <c r="AG21" s="19">
        <f t="shared" si="30"/>
        <v>0</v>
      </c>
    </row>
    <row r="22" spans="1:33" outlineLevel="2">
      <c r="A22" t="s">
        <v>2</v>
      </c>
      <c r="B22">
        <v>22</v>
      </c>
      <c r="C22">
        <v>57.48</v>
      </c>
      <c r="D22">
        <v>10.16</v>
      </c>
      <c r="E22">
        <v>2.1</v>
      </c>
      <c r="F22">
        <v>0.36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s="19">
        <f t="shared" si="31"/>
        <v>2.8985799580442149E-2</v>
      </c>
      <c r="T22" s="19">
        <f t="shared" si="17"/>
        <v>1.093766820971041E-2</v>
      </c>
      <c r="U22" s="19">
        <f t="shared" si="18"/>
        <v>4.7286647151542445E-3</v>
      </c>
      <c r="V22" s="19">
        <f t="shared" si="19"/>
        <v>9.8830505682754081E-4</v>
      </c>
      <c r="W22" s="19">
        <f t="shared" si="20"/>
        <v>0</v>
      </c>
      <c r="X22" s="19">
        <f t="shared" si="21"/>
        <v>0</v>
      </c>
      <c r="Y22" s="19">
        <f t="shared" si="22"/>
        <v>0</v>
      </c>
      <c r="Z22" s="19">
        <f t="shared" si="23"/>
        <v>0</v>
      </c>
      <c r="AA22" s="19">
        <f t="shared" si="24"/>
        <v>0</v>
      </c>
      <c r="AB22" s="19">
        <f t="shared" si="25"/>
        <v>0</v>
      </c>
      <c r="AC22" s="19">
        <f t="shared" si="26"/>
        <v>0</v>
      </c>
      <c r="AD22" s="19">
        <f t="shared" si="27"/>
        <v>0</v>
      </c>
      <c r="AE22" s="19">
        <f t="shared" si="28"/>
        <v>0</v>
      </c>
      <c r="AF22" s="19">
        <f t="shared" si="29"/>
        <v>0</v>
      </c>
      <c r="AG22" s="19">
        <f t="shared" si="30"/>
        <v>0</v>
      </c>
    </row>
    <row r="23" spans="1:33" outlineLevel="2">
      <c r="A23" t="s">
        <v>2</v>
      </c>
      <c r="B23">
        <v>23</v>
      </c>
      <c r="C23">
        <v>23.46</v>
      </c>
      <c r="D23">
        <v>4.0199999999999996</v>
      </c>
      <c r="E23">
        <v>0.8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s="19">
        <f t="shared" si="31"/>
        <v>1.1830321123124094E-2</v>
      </c>
      <c r="T23" s="19">
        <f t="shared" si="17"/>
        <v>4.3276994294326613E-3</v>
      </c>
      <c r="U23" s="19">
        <f t="shared" si="18"/>
        <v>1.8013960819635217E-3</v>
      </c>
      <c r="V23" s="19">
        <f t="shared" si="19"/>
        <v>0</v>
      </c>
      <c r="W23" s="19">
        <f t="shared" si="20"/>
        <v>0</v>
      </c>
      <c r="X23" s="19">
        <f t="shared" si="21"/>
        <v>0</v>
      </c>
      <c r="Y23" s="19">
        <f t="shared" si="22"/>
        <v>0</v>
      </c>
      <c r="Z23" s="19">
        <f t="shared" si="23"/>
        <v>0</v>
      </c>
      <c r="AA23" s="19">
        <f t="shared" si="24"/>
        <v>0</v>
      </c>
      <c r="AB23" s="19">
        <f t="shared" si="25"/>
        <v>0</v>
      </c>
      <c r="AC23" s="19">
        <f t="shared" si="26"/>
        <v>0</v>
      </c>
      <c r="AD23" s="19">
        <f t="shared" si="27"/>
        <v>0</v>
      </c>
      <c r="AE23" s="19">
        <f t="shared" si="28"/>
        <v>0</v>
      </c>
      <c r="AF23" s="19">
        <f t="shared" si="29"/>
        <v>0</v>
      </c>
      <c r="AG23" s="19">
        <f t="shared" si="30"/>
        <v>0</v>
      </c>
    </row>
    <row r="24" spans="1:33" outlineLevel="2">
      <c r="A24" t="s">
        <v>2</v>
      </c>
      <c r="B24">
        <v>24</v>
      </c>
      <c r="C24">
        <v>69.08</v>
      </c>
      <c r="D24">
        <v>23.36</v>
      </c>
      <c r="E24">
        <v>8.98</v>
      </c>
      <c r="F24">
        <v>4.78</v>
      </c>
      <c r="G24">
        <v>1.5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s="19">
        <f t="shared" si="31"/>
        <v>3.4835404227852189E-2</v>
      </c>
      <c r="T24" s="19">
        <f t="shared" si="17"/>
        <v>2.5148024545160939E-2</v>
      </c>
      <c r="U24" s="19">
        <f t="shared" si="18"/>
        <v>2.0220671020040531E-2</v>
      </c>
      <c r="V24" s="19">
        <f t="shared" si="19"/>
        <v>1.3122494921210126E-2</v>
      </c>
      <c r="W24" s="19">
        <f t="shared" si="20"/>
        <v>9.82833180448172E-3</v>
      </c>
      <c r="X24" s="19">
        <f t="shared" si="21"/>
        <v>0</v>
      </c>
      <c r="Y24" s="19">
        <f t="shared" si="22"/>
        <v>0</v>
      </c>
      <c r="Z24" s="19">
        <f t="shared" si="23"/>
        <v>0</v>
      </c>
      <c r="AA24" s="19">
        <f t="shared" si="24"/>
        <v>0</v>
      </c>
      <c r="AB24" s="19">
        <f t="shared" si="25"/>
        <v>0</v>
      </c>
      <c r="AC24" s="19">
        <f t="shared" si="26"/>
        <v>0</v>
      </c>
      <c r="AD24" s="19">
        <f t="shared" si="27"/>
        <v>0</v>
      </c>
      <c r="AE24" s="19">
        <f t="shared" si="28"/>
        <v>0</v>
      </c>
      <c r="AF24" s="19">
        <f t="shared" si="29"/>
        <v>0</v>
      </c>
      <c r="AG24" s="19">
        <f t="shared" si="30"/>
        <v>0</v>
      </c>
    </row>
    <row r="25" spans="1:33" outlineLevel="2">
      <c r="A25" t="s">
        <v>2</v>
      </c>
      <c r="B25">
        <v>25</v>
      </c>
      <c r="C25">
        <v>512.78</v>
      </c>
      <c r="D25">
        <v>227.66</v>
      </c>
      <c r="E25">
        <v>19.760000000000002</v>
      </c>
      <c r="F25">
        <v>3.48</v>
      </c>
      <c r="G25">
        <v>0</v>
      </c>
      <c r="H25">
        <v>282.36</v>
      </c>
      <c r="I25">
        <v>217.48</v>
      </c>
      <c r="J25">
        <v>10.199999999999999</v>
      </c>
      <c r="K25">
        <v>0</v>
      </c>
      <c r="L25">
        <v>0</v>
      </c>
      <c r="M25">
        <v>1961.32</v>
      </c>
      <c r="N25">
        <v>8768.7199999999993</v>
      </c>
      <c r="O25">
        <v>4705.72</v>
      </c>
      <c r="P25">
        <v>10609.96</v>
      </c>
      <c r="Q25">
        <v>229.24</v>
      </c>
      <c r="S25" s="19">
        <f t="shared" si="31"/>
        <v>0.25858278199128609</v>
      </c>
      <c r="T25" s="19">
        <f t="shared" si="17"/>
        <v>0.24508558510065667</v>
      </c>
      <c r="U25" s="19">
        <f t="shared" si="18"/>
        <v>4.449448322449899E-2</v>
      </c>
      <c r="V25" s="19">
        <f t="shared" si="19"/>
        <v>9.5536155493328948E-3</v>
      </c>
      <c r="W25" s="19">
        <f t="shared" si="20"/>
        <v>0</v>
      </c>
      <c r="X25" s="19">
        <f t="shared" si="21"/>
        <v>0.56785455715549837</v>
      </c>
      <c r="Y25" s="19">
        <f t="shared" si="22"/>
        <v>0.77505345687811833</v>
      </c>
      <c r="Z25" s="19">
        <f t="shared" si="23"/>
        <v>0.23854069223573432</v>
      </c>
      <c r="AA25" s="19">
        <f t="shared" si="24"/>
        <v>0</v>
      </c>
      <c r="AB25" s="19">
        <f t="shared" si="25"/>
        <v>0</v>
      </c>
      <c r="AC25" s="19">
        <f t="shared" si="26"/>
        <v>0.48562911021313682</v>
      </c>
      <c r="AD25" s="19">
        <f t="shared" si="27"/>
        <v>0.33926272130741608</v>
      </c>
      <c r="AE25" s="19">
        <f t="shared" si="28"/>
        <v>0.47307741800575848</v>
      </c>
      <c r="AF25" s="19">
        <f t="shared" si="29"/>
        <v>0.49853118345452879</v>
      </c>
      <c r="AG25" s="19">
        <f t="shared" si="30"/>
        <v>1.1866579149523868E-2</v>
      </c>
    </row>
    <row r="26" spans="1:33" outlineLevel="2">
      <c r="A26" t="s">
        <v>2</v>
      </c>
      <c r="B26">
        <v>26</v>
      </c>
      <c r="C26">
        <v>82.66</v>
      </c>
      <c r="D26">
        <v>21.4</v>
      </c>
      <c r="E26">
        <v>5.8</v>
      </c>
      <c r="F26">
        <v>0.9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s="19">
        <f t="shared" si="31"/>
        <v>4.1683475875423592E-2</v>
      </c>
      <c r="T26" s="19">
        <f t="shared" si="17"/>
        <v>2.3038001937775859E-2</v>
      </c>
      <c r="U26" s="19">
        <f t="shared" si="18"/>
        <v>1.3060121594235531E-2</v>
      </c>
      <c r="V26" s="19">
        <f t="shared" si="19"/>
        <v>2.4707626420688521E-3</v>
      </c>
      <c r="W26" s="19">
        <f t="shared" si="20"/>
        <v>0</v>
      </c>
      <c r="X26" s="19">
        <f t="shared" si="21"/>
        <v>0</v>
      </c>
      <c r="Y26" s="19">
        <f t="shared" si="22"/>
        <v>0</v>
      </c>
      <c r="Z26" s="19">
        <f t="shared" si="23"/>
        <v>0</v>
      </c>
      <c r="AA26" s="19">
        <f t="shared" si="24"/>
        <v>0</v>
      </c>
      <c r="AB26" s="19">
        <f t="shared" si="25"/>
        <v>0</v>
      </c>
      <c r="AC26" s="19">
        <f t="shared" si="26"/>
        <v>0</v>
      </c>
      <c r="AD26" s="19">
        <f t="shared" si="27"/>
        <v>0</v>
      </c>
      <c r="AE26" s="19">
        <f t="shared" si="28"/>
        <v>0</v>
      </c>
      <c r="AF26" s="19">
        <f t="shared" si="29"/>
        <v>0</v>
      </c>
      <c r="AG26" s="19">
        <f t="shared" si="30"/>
        <v>0</v>
      </c>
    </row>
    <row r="27" spans="1:33" outlineLevel="2">
      <c r="A27" t="s">
        <v>2</v>
      </c>
      <c r="B27">
        <v>27</v>
      </c>
      <c r="C27">
        <v>17.18</v>
      </c>
      <c r="D27">
        <v>3.32</v>
      </c>
      <c r="E27">
        <v>0.38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s="19">
        <f t="shared" si="31"/>
        <v>8.6634661933193483E-3</v>
      </c>
      <c r="T27" s="19">
        <f t="shared" si="17"/>
        <v>3.5741199267951334E-3</v>
      </c>
      <c r="U27" s="19">
        <f t="shared" si="18"/>
        <v>8.5566313893267276E-4</v>
      </c>
      <c r="V27" s="19">
        <f t="shared" si="19"/>
        <v>0</v>
      </c>
      <c r="W27" s="19">
        <f t="shared" si="20"/>
        <v>0</v>
      </c>
      <c r="X27" s="19">
        <f t="shared" si="21"/>
        <v>0</v>
      </c>
      <c r="Y27" s="19">
        <f t="shared" si="22"/>
        <v>0</v>
      </c>
      <c r="Z27" s="19">
        <f t="shared" si="23"/>
        <v>0</v>
      </c>
      <c r="AA27" s="19">
        <f t="shared" si="24"/>
        <v>0</v>
      </c>
      <c r="AB27" s="19">
        <f t="shared" si="25"/>
        <v>0</v>
      </c>
      <c r="AC27" s="19">
        <f t="shared" si="26"/>
        <v>0</v>
      </c>
      <c r="AD27" s="19">
        <f t="shared" si="27"/>
        <v>0</v>
      </c>
      <c r="AE27" s="19">
        <f t="shared" si="28"/>
        <v>0</v>
      </c>
      <c r="AF27" s="19">
        <f t="shared" si="29"/>
        <v>0</v>
      </c>
      <c r="AG27" s="19">
        <f t="shared" si="30"/>
        <v>0</v>
      </c>
    </row>
    <row r="28" spans="1:33" outlineLevel="2">
      <c r="A28" t="s">
        <v>2</v>
      </c>
      <c r="B28">
        <v>28</v>
      </c>
      <c r="C28">
        <v>5</v>
      </c>
      <c r="D28">
        <v>13.74</v>
      </c>
      <c r="E28">
        <v>0.68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 s="19">
        <f t="shared" si="31"/>
        <v>2.5213813135388091E-3</v>
      </c>
      <c r="T28" s="19">
        <f t="shared" si="17"/>
        <v>1.4791689094628054E-2</v>
      </c>
      <c r="U28" s="19">
        <f t="shared" si="18"/>
        <v>1.5311866696689936E-3</v>
      </c>
      <c r="V28" s="19">
        <f t="shared" si="19"/>
        <v>0</v>
      </c>
      <c r="W28" s="19">
        <f t="shared" si="20"/>
        <v>0</v>
      </c>
      <c r="X28" s="19">
        <f t="shared" si="21"/>
        <v>0</v>
      </c>
      <c r="Y28" s="19">
        <f t="shared" si="22"/>
        <v>0</v>
      </c>
      <c r="Z28" s="19">
        <f t="shared" si="23"/>
        <v>0</v>
      </c>
      <c r="AA28" s="19">
        <f t="shared" si="24"/>
        <v>0</v>
      </c>
      <c r="AB28" s="19">
        <f t="shared" si="25"/>
        <v>0</v>
      </c>
      <c r="AC28" s="19">
        <f t="shared" si="26"/>
        <v>0</v>
      </c>
      <c r="AD28" s="19">
        <f t="shared" si="27"/>
        <v>0</v>
      </c>
      <c r="AE28" s="19">
        <f t="shared" si="28"/>
        <v>0</v>
      </c>
      <c r="AF28" s="19">
        <f t="shared" si="29"/>
        <v>0</v>
      </c>
      <c r="AG28" s="19">
        <f t="shared" si="30"/>
        <v>0</v>
      </c>
    </row>
    <row r="29" spans="1:33" outlineLevel="2">
      <c r="A29" t="s">
        <v>2</v>
      </c>
      <c r="B29">
        <v>29</v>
      </c>
      <c r="C29">
        <v>33.44</v>
      </c>
      <c r="D29">
        <v>7.48</v>
      </c>
      <c r="E29">
        <v>1.18</v>
      </c>
      <c r="F29">
        <v>0.06</v>
      </c>
      <c r="G29">
        <v>0</v>
      </c>
      <c r="H29">
        <v>47.24</v>
      </c>
      <c r="I29">
        <v>6.68</v>
      </c>
      <c r="J29">
        <v>8.24</v>
      </c>
      <c r="K29">
        <v>7.92</v>
      </c>
      <c r="L29">
        <v>0</v>
      </c>
      <c r="M29">
        <v>1311.56</v>
      </c>
      <c r="N29">
        <v>16003.04</v>
      </c>
      <c r="O29">
        <v>4059.24</v>
      </c>
      <c r="P29">
        <v>963.6</v>
      </c>
      <c r="Q29">
        <v>75.44</v>
      </c>
      <c r="S29" s="19">
        <f t="shared" si="31"/>
        <v>1.6862998224947554E-2</v>
      </c>
      <c r="T29" s="19">
        <f t="shared" si="17"/>
        <v>8.0525352567553023E-3</v>
      </c>
      <c r="U29" s="19">
        <f t="shared" si="18"/>
        <v>2.6570592208961944E-3</v>
      </c>
      <c r="V29" s="19">
        <f t="shared" si="19"/>
        <v>1.6471750947125678E-4</v>
      </c>
      <c r="W29" s="19">
        <f t="shared" si="20"/>
        <v>0</v>
      </c>
      <c r="X29" s="19">
        <f t="shared" si="21"/>
        <v>9.5004424422813941E-2</v>
      </c>
      <c r="Y29" s="19">
        <f t="shared" si="22"/>
        <v>2.3806129722024234E-2</v>
      </c>
      <c r="Z29" s="19">
        <f t="shared" si="23"/>
        <v>0.19270346117867168</v>
      </c>
      <c r="AA29" s="19">
        <f t="shared" si="24"/>
        <v>0.26975476839237056</v>
      </c>
      <c r="AB29" s="19">
        <f t="shared" si="25"/>
        <v>0</v>
      </c>
      <c r="AC29" s="19">
        <f t="shared" si="26"/>
        <v>0.32474645432216148</v>
      </c>
      <c r="AD29" s="19">
        <f t="shared" si="27"/>
        <v>0.61915934133960626</v>
      </c>
      <c r="AE29" s="19">
        <f t="shared" si="28"/>
        <v>0.40808521932152675</v>
      </c>
      <c r="AF29" s="19">
        <f t="shared" si="29"/>
        <v>4.5276763378635169E-2</v>
      </c>
      <c r="AG29" s="19">
        <f t="shared" si="30"/>
        <v>3.9051419082188122E-3</v>
      </c>
    </row>
    <row r="30" spans="1:33" outlineLevel="2">
      <c r="A30" t="s">
        <v>2</v>
      </c>
      <c r="B30">
        <v>30</v>
      </c>
      <c r="C30">
        <v>786.62</v>
      </c>
      <c r="D30">
        <v>503.38</v>
      </c>
      <c r="E30">
        <v>361.76</v>
      </c>
      <c r="F30">
        <v>323.33999999999997</v>
      </c>
      <c r="G30">
        <v>136.69999999999999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s="19">
        <f t="shared" si="31"/>
        <v>0.39667379377117962</v>
      </c>
      <c r="T30" s="19">
        <f t="shared" si="17"/>
        <v>0.54190978576811277</v>
      </c>
      <c r="U30" s="19">
        <f t="shared" si="18"/>
        <v>0.81459130826390447</v>
      </c>
      <c r="V30" s="19">
        <f t="shared" si="19"/>
        <v>0.88766265854060278</v>
      </c>
      <c r="W30" s="19">
        <f t="shared" si="20"/>
        <v>0.89568863844843405</v>
      </c>
      <c r="X30" s="19">
        <f t="shared" si="21"/>
        <v>0</v>
      </c>
      <c r="Y30" s="19">
        <f t="shared" si="22"/>
        <v>0</v>
      </c>
      <c r="Z30" s="19">
        <f t="shared" si="23"/>
        <v>0</v>
      </c>
      <c r="AA30" s="19">
        <f t="shared" si="24"/>
        <v>0</v>
      </c>
      <c r="AB30" s="19">
        <f t="shared" si="25"/>
        <v>0</v>
      </c>
      <c r="AC30" s="19">
        <f t="shared" si="26"/>
        <v>0</v>
      </c>
      <c r="AD30" s="19">
        <f t="shared" si="27"/>
        <v>0</v>
      </c>
      <c r="AE30" s="19">
        <f t="shared" si="28"/>
        <v>0</v>
      </c>
      <c r="AF30" s="19">
        <f t="shared" si="29"/>
        <v>0</v>
      </c>
      <c r="AG30" s="19">
        <f t="shared" si="30"/>
        <v>0</v>
      </c>
    </row>
    <row r="31" spans="1:33" outlineLevel="1">
      <c r="A31" s="24" t="s">
        <v>56</v>
      </c>
      <c r="B31"/>
      <c r="C31">
        <f t="shared" ref="C31:Q31" si="32">SUBTOTAL(9,C20:C30)</f>
        <v>1983.04</v>
      </c>
      <c r="D31">
        <f t="shared" si="32"/>
        <v>928.90000000000009</v>
      </c>
      <c r="E31">
        <f t="shared" si="32"/>
        <v>444.1</v>
      </c>
      <c r="F31">
        <f t="shared" si="32"/>
        <v>364.26</v>
      </c>
      <c r="G31">
        <f t="shared" si="32"/>
        <v>152.61999999999998</v>
      </c>
      <c r="H31">
        <f t="shared" si="32"/>
        <v>497.24</v>
      </c>
      <c r="I31">
        <f t="shared" si="32"/>
        <v>280.59999999999997</v>
      </c>
      <c r="J31">
        <f t="shared" si="32"/>
        <v>42.76</v>
      </c>
      <c r="K31">
        <f t="shared" si="32"/>
        <v>29.36</v>
      </c>
      <c r="L31">
        <f t="shared" si="32"/>
        <v>1.4</v>
      </c>
      <c r="M31">
        <f t="shared" si="32"/>
        <v>4038.72</v>
      </c>
      <c r="N31">
        <f t="shared" si="32"/>
        <v>25846.400000000001</v>
      </c>
      <c r="O31">
        <f t="shared" si="32"/>
        <v>9947.0400000000009</v>
      </c>
      <c r="P31">
        <f t="shared" si="32"/>
        <v>21282.439999999995</v>
      </c>
      <c r="Q31">
        <f t="shared" si="32"/>
        <v>19318.12</v>
      </c>
    </row>
    <row r="32" spans="1:33" outlineLevel="2">
      <c r="A32" t="s">
        <v>3</v>
      </c>
      <c r="B32">
        <v>28</v>
      </c>
      <c r="C32">
        <v>341.14</v>
      </c>
      <c r="D32">
        <v>95.08</v>
      </c>
      <c r="E32">
        <v>38.6</v>
      </c>
      <c r="F32">
        <v>12.68</v>
      </c>
      <c r="G32">
        <v>2.48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s="19">
        <f>IF(C$38&gt;0, C32/C$38, 0)</f>
        <v>8.6753299595656475E-2</v>
      </c>
      <c r="T32" s="19">
        <f t="shared" ref="T32:T37" si="33">IF(D$38&gt;0, D32/D$38, 0)</f>
        <v>7.0809377699663376E-2</v>
      </c>
      <c r="U32" s="19">
        <f t="shared" ref="U32:U37" si="34">IF(E$38&gt;0, E32/E$38, 0)</f>
        <v>7.7970347028642986E-2</v>
      </c>
      <c r="V32" s="19">
        <f t="shared" ref="V32:V37" si="35">IF(F$38&gt;0, F32/F$38, 0)</f>
        <v>5.7989572852830878E-2</v>
      </c>
      <c r="W32" s="19">
        <f t="shared" ref="W32:W37" si="36">IF(G$38&gt;0, G32/G$38, 0)</f>
        <v>2.4337585868498525E-2</v>
      </c>
      <c r="X32" s="19">
        <f t="shared" ref="X32:X37" si="37">IF(H$38&gt;0, H32/H$38, 0)</f>
        <v>0</v>
      </c>
      <c r="Y32" s="19">
        <f t="shared" ref="Y32:Y37" si="38">IF(I$38&gt;0, I32/I$38, 0)</f>
        <v>0</v>
      </c>
      <c r="Z32" s="19">
        <f t="shared" ref="Z32:Z37" si="39">IF(J$38&gt;0, J32/J$38, 0)</f>
        <v>0</v>
      </c>
      <c r="AA32" s="19">
        <f t="shared" ref="AA32:AA37" si="40">IF(K$38&gt;0, K32/K$38, 0)</f>
        <v>0</v>
      </c>
      <c r="AB32" s="19">
        <f t="shared" ref="AB32:AB37" si="41">IF(L$38&gt;0, L32/L$38, 0)</f>
        <v>0</v>
      </c>
      <c r="AC32" s="19">
        <f t="shared" ref="AC32:AC37" si="42">IF(M$38&gt;0, M32/M$38, 0)</f>
        <v>0</v>
      </c>
      <c r="AD32" s="19">
        <f t="shared" ref="AD32:AD37" si="43">IF(N$38&gt;0, N32/N$38, 0)</f>
        <v>0</v>
      </c>
      <c r="AE32" s="19">
        <f t="shared" ref="AE32:AE37" si="44">IF(O$38&gt;0, O32/O$38, 0)</f>
        <v>0</v>
      </c>
      <c r="AF32" s="19">
        <f t="shared" ref="AF32:AF37" si="45">IF(P$38&gt;0, P32/P$38, 0)</f>
        <v>0</v>
      </c>
      <c r="AG32" s="19">
        <f t="shared" ref="AG32:AG37" si="46">IF(Q$38&gt;0, Q32/Q$38, 0)</f>
        <v>0</v>
      </c>
    </row>
    <row r="33" spans="1:33" outlineLevel="2">
      <c r="A33" t="s">
        <v>3</v>
      </c>
      <c r="B33">
        <v>29</v>
      </c>
      <c r="C33">
        <v>67.22</v>
      </c>
      <c r="D33">
        <v>26.28</v>
      </c>
      <c r="E33">
        <v>10.02</v>
      </c>
      <c r="F33">
        <v>5.78</v>
      </c>
      <c r="G33">
        <v>1.2</v>
      </c>
      <c r="H33">
        <v>172.16</v>
      </c>
      <c r="I33">
        <v>81.760000000000005</v>
      </c>
      <c r="J33">
        <v>114.64</v>
      </c>
      <c r="K33">
        <v>113.92</v>
      </c>
      <c r="L33">
        <v>1.4</v>
      </c>
      <c r="M33">
        <v>1143.3599999999999</v>
      </c>
      <c r="N33">
        <v>2552.3200000000002</v>
      </c>
      <c r="O33">
        <v>9308.9599999999991</v>
      </c>
      <c r="P33">
        <v>9612.4</v>
      </c>
      <c r="Q33">
        <v>22.6</v>
      </c>
      <c r="S33" s="19">
        <f t="shared" ref="S33:S37" si="47">IF(C$38&gt;0, C33/C$38, 0)</f>
        <v>1.7094321389517584E-2</v>
      </c>
      <c r="T33" s="19">
        <f t="shared" si="33"/>
        <v>1.9571628585897703E-2</v>
      </c>
      <c r="U33" s="19">
        <f t="shared" si="34"/>
        <v>2.0239970912616648E-2</v>
      </c>
      <c r="V33" s="19">
        <f t="shared" si="35"/>
        <v>2.643373273575414E-2</v>
      </c>
      <c r="W33" s="19">
        <f t="shared" si="36"/>
        <v>1.1776251226692834E-2</v>
      </c>
      <c r="X33" s="19">
        <f t="shared" si="37"/>
        <v>0.61494499214173448</v>
      </c>
      <c r="Y33" s="19">
        <f t="shared" si="38"/>
        <v>0.58972879399884592</v>
      </c>
      <c r="Z33" s="19">
        <f t="shared" si="39"/>
        <v>0.82569864592336506</v>
      </c>
      <c r="AA33" s="19">
        <f t="shared" si="40"/>
        <v>1</v>
      </c>
      <c r="AB33" s="19">
        <f t="shared" si="41"/>
        <v>1</v>
      </c>
      <c r="AC33" s="19">
        <f t="shared" si="42"/>
        <v>0.10665074715967389</v>
      </c>
      <c r="AD33" s="19">
        <f t="shared" si="43"/>
        <v>0.27601361727161439</v>
      </c>
      <c r="AE33" s="19">
        <f t="shared" si="44"/>
        <v>0.6463496260335112</v>
      </c>
      <c r="AF33" s="19">
        <f t="shared" si="45"/>
        <v>0.94797218134982786</v>
      </c>
      <c r="AG33" s="19">
        <f t="shared" si="46"/>
        <v>0.13353817064523757</v>
      </c>
    </row>
    <row r="34" spans="1:33" outlineLevel="2">
      <c r="A34" t="s">
        <v>3</v>
      </c>
      <c r="B34">
        <v>30</v>
      </c>
      <c r="C34">
        <v>25.92</v>
      </c>
      <c r="D34">
        <v>12.76</v>
      </c>
      <c r="E34">
        <v>1.92</v>
      </c>
      <c r="F34">
        <v>0.52</v>
      </c>
      <c r="G34">
        <v>0.04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s="19">
        <f t="shared" si="47"/>
        <v>6.591562190066882E-3</v>
      </c>
      <c r="T34" s="19">
        <f t="shared" si="33"/>
        <v>9.5028150972623557E-3</v>
      </c>
      <c r="U34" s="19">
        <f t="shared" si="34"/>
        <v>3.8783177796630707E-3</v>
      </c>
      <c r="V34" s="19">
        <f t="shared" si="35"/>
        <v>2.3781212841854937E-3</v>
      </c>
      <c r="W34" s="19">
        <f t="shared" si="36"/>
        <v>3.9254170755642783E-4</v>
      </c>
      <c r="X34" s="19">
        <f t="shared" si="37"/>
        <v>0</v>
      </c>
      <c r="Y34" s="19">
        <f t="shared" si="38"/>
        <v>0</v>
      </c>
      <c r="Z34" s="19">
        <f t="shared" si="39"/>
        <v>0</v>
      </c>
      <c r="AA34" s="19">
        <f t="shared" si="40"/>
        <v>0</v>
      </c>
      <c r="AB34" s="19">
        <f t="shared" si="41"/>
        <v>0</v>
      </c>
      <c r="AC34" s="19">
        <f t="shared" si="42"/>
        <v>0</v>
      </c>
      <c r="AD34" s="19">
        <f t="shared" si="43"/>
        <v>0</v>
      </c>
      <c r="AE34" s="19">
        <f t="shared" si="44"/>
        <v>0</v>
      </c>
      <c r="AF34" s="19">
        <f t="shared" si="45"/>
        <v>0</v>
      </c>
      <c r="AG34" s="19">
        <f t="shared" si="46"/>
        <v>0</v>
      </c>
    </row>
    <row r="35" spans="1:33" outlineLevel="2">
      <c r="A35" t="s">
        <v>3</v>
      </c>
      <c r="B35">
        <v>31</v>
      </c>
      <c r="C35">
        <v>735.78</v>
      </c>
      <c r="D35">
        <v>384.18</v>
      </c>
      <c r="E35">
        <v>193.96</v>
      </c>
      <c r="F35">
        <v>55.26</v>
      </c>
      <c r="G35">
        <v>9.56</v>
      </c>
      <c r="H35">
        <v>105.44</v>
      </c>
      <c r="I35">
        <v>56.88</v>
      </c>
      <c r="J35">
        <v>24.2</v>
      </c>
      <c r="K35">
        <v>0</v>
      </c>
      <c r="L35">
        <v>0</v>
      </c>
      <c r="M35">
        <v>9577.24</v>
      </c>
      <c r="N35">
        <v>6694.76</v>
      </c>
      <c r="O35">
        <v>5093.3999999999996</v>
      </c>
      <c r="P35">
        <v>527.55999999999995</v>
      </c>
      <c r="Q35">
        <v>146.63999999999999</v>
      </c>
      <c r="S35" s="19">
        <f t="shared" si="47"/>
        <v>0.18711186837219945</v>
      </c>
      <c r="T35" s="19">
        <f t="shared" si="33"/>
        <v>0.28611218683904793</v>
      </c>
      <c r="U35" s="19">
        <f t="shared" si="34"/>
        <v>0.39179089403304646</v>
      </c>
      <c r="V35" s="19">
        <f t="shared" si="35"/>
        <v>0.25272111954632764</v>
      </c>
      <c r="W35" s="19">
        <f t="shared" si="36"/>
        <v>9.3817468105986263E-2</v>
      </c>
      <c r="X35" s="19">
        <f t="shared" si="37"/>
        <v>0.37662523217602512</v>
      </c>
      <c r="Y35" s="19">
        <f t="shared" si="38"/>
        <v>0.41027120600115402</v>
      </c>
      <c r="Z35" s="19">
        <f t="shared" si="39"/>
        <v>0.17430135407663497</v>
      </c>
      <c r="AA35" s="19">
        <f t="shared" si="40"/>
        <v>0</v>
      </c>
      <c r="AB35" s="19">
        <f t="shared" si="41"/>
        <v>0</v>
      </c>
      <c r="AC35" s="19">
        <f t="shared" si="42"/>
        <v>0.89334925284032607</v>
      </c>
      <c r="AD35" s="19">
        <f t="shared" si="43"/>
        <v>0.72398638272838567</v>
      </c>
      <c r="AE35" s="19">
        <f t="shared" si="44"/>
        <v>0.35365037396648885</v>
      </c>
      <c r="AF35" s="19">
        <f t="shared" si="45"/>
        <v>5.202781865017219E-2</v>
      </c>
      <c r="AG35" s="19">
        <f t="shared" si="46"/>
        <v>0.86646182935476246</v>
      </c>
    </row>
    <row r="36" spans="1:33" outlineLevel="2">
      <c r="A36" t="s">
        <v>3</v>
      </c>
      <c r="B36">
        <v>32</v>
      </c>
      <c r="C36">
        <v>252.4</v>
      </c>
      <c r="D36">
        <v>106.12</v>
      </c>
      <c r="E36">
        <v>31.54</v>
      </c>
      <c r="F36">
        <v>17.02</v>
      </c>
      <c r="G36">
        <v>8.48</v>
      </c>
      <c r="H36">
        <v>2.36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 s="19">
        <f t="shared" si="47"/>
        <v>6.4186354042163621E-2</v>
      </c>
      <c r="T36" s="19">
        <f t="shared" si="33"/>
        <v>7.9031249069081599E-2</v>
      </c>
      <c r="U36" s="19">
        <f t="shared" si="34"/>
        <v>6.370944935967357E-2</v>
      </c>
      <c r="V36" s="19">
        <f t="shared" si="35"/>
        <v>7.7837738955455954E-2</v>
      </c>
      <c r="W36" s="19">
        <f t="shared" si="36"/>
        <v>8.3218842001962709E-2</v>
      </c>
      <c r="X36" s="19">
        <f t="shared" si="37"/>
        <v>8.4297756822403185E-3</v>
      </c>
      <c r="Y36" s="19">
        <f t="shared" si="38"/>
        <v>0</v>
      </c>
      <c r="Z36" s="19">
        <f t="shared" si="39"/>
        <v>0</v>
      </c>
      <c r="AA36" s="19">
        <f t="shared" si="40"/>
        <v>0</v>
      </c>
      <c r="AB36" s="19">
        <f t="shared" si="41"/>
        <v>0</v>
      </c>
      <c r="AC36" s="19">
        <f t="shared" si="42"/>
        <v>0</v>
      </c>
      <c r="AD36" s="19">
        <f t="shared" si="43"/>
        <v>0</v>
      </c>
      <c r="AE36" s="19">
        <f t="shared" si="44"/>
        <v>0</v>
      </c>
      <c r="AF36" s="19">
        <f t="shared" si="45"/>
        <v>0</v>
      </c>
      <c r="AG36" s="19">
        <f t="shared" si="46"/>
        <v>0</v>
      </c>
    </row>
    <row r="37" spans="1:33" outlineLevel="2">
      <c r="A37" t="s">
        <v>3</v>
      </c>
      <c r="B37">
        <v>33</v>
      </c>
      <c r="C37">
        <v>2509.84</v>
      </c>
      <c r="D37">
        <v>718.34</v>
      </c>
      <c r="E37">
        <v>219.02</v>
      </c>
      <c r="F37">
        <v>127.4</v>
      </c>
      <c r="G37">
        <v>80.14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 s="19">
        <f t="shared" si="47"/>
        <v>0.63826259441039601</v>
      </c>
      <c r="T37" s="19">
        <f t="shared" si="33"/>
        <v>0.53497274270904704</v>
      </c>
      <c r="U37" s="19">
        <f t="shared" si="34"/>
        <v>0.4424110208863572</v>
      </c>
      <c r="V37" s="19">
        <f t="shared" si="35"/>
        <v>0.58263971462544595</v>
      </c>
      <c r="W37" s="19">
        <f t="shared" si="36"/>
        <v>0.78645731108930317</v>
      </c>
      <c r="X37" s="19">
        <f t="shared" si="37"/>
        <v>0</v>
      </c>
      <c r="Y37" s="19">
        <f t="shared" si="38"/>
        <v>0</v>
      </c>
      <c r="Z37" s="19">
        <f t="shared" si="39"/>
        <v>0</v>
      </c>
      <c r="AA37" s="19">
        <f t="shared" si="40"/>
        <v>0</v>
      </c>
      <c r="AB37" s="19">
        <f t="shared" si="41"/>
        <v>0</v>
      </c>
      <c r="AC37" s="19">
        <f t="shared" si="42"/>
        <v>0</v>
      </c>
      <c r="AD37" s="19">
        <f t="shared" si="43"/>
        <v>0</v>
      </c>
      <c r="AE37" s="19">
        <f t="shared" si="44"/>
        <v>0</v>
      </c>
      <c r="AF37" s="19">
        <f t="shared" si="45"/>
        <v>0</v>
      </c>
      <c r="AG37" s="19">
        <f t="shared" si="46"/>
        <v>0</v>
      </c>
    </row>
    <row r="38" spans="1:33" outlineLevel="1">
      <c r="A38" s="24" t="s">
        <v>57</v>
      </c>
      <c r="B38"/>
      <c r="C38">
        <f t="shared" ref="C38:Q38" si="48">SUBTOTAL(9,C32:C37)</f>
        <v>3932.3</v>
      </c>
      <c r="D38">
        <f t="shared" si="48"/>
        <v>1342.76</v>
      </c>
      <c r="E38">
        <f t="shared" si="48"/>
        <v>495.06000000000006</v>
      </c>
      <c r="F38">
        <f t="shared" si="48"/>
        <v>218.66</v>
      </c>
      <c r="G38">
        <f t="shared" si="48"/>
        <v>101.9</v>
      </c>
      <c r="H38">
        <f t="shared" si="48"/>
        <v>279.96000000000004</v>
      </c>
      <c r="I38">
        <f t="shared" si="48"/>
        <v>138.64000000000001</v>
      </c>
      <c r="J38">
        <f t="shared" si="48"/>
        <v>138.84</v>
      </c>
      <c r="K38">
        <f t="shared" si="48"/>
        <v>113.92</v>
      </c>
      <c r="L38">
        <f t="shared" si="48"/>
        <v>1.4</v>
      </c>
      <c r="M38">
        <f t="shared" si="48"/>
        <v>10720.6</v>
      </c>
      <c r="N38">
        <f t="shared" si="48"/>
        <v>9247.08</v>
      </c>
      <c r="O38">
        <f t="shared" si="48"/>
        <v>14402.359999999999</v>
      </c>
      <c r="P38">
        <f t="shared" si="48"/>
        <v>10139.959999999999</v>
      </c>
      <c r="Q38">
        <f t="shared" si="48"/>
        <v>169.23999999999998</v>
      </c>
    </row>
    <row r="39" spans="1:33" outlineLevel="2">
      <c r="A39" t="s">
        <v>4</v>
      </c>
      <c r="B39">
        <v>199</v>
      </c>
      <c r="C39">
        <v>4923.5</v>
      </c>
      <c r="D39">
        <v>97.72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s="19">
        <f>IF(C$43&gt;0, C39/C$43, 0)</f>
        <v>0.3938050195242826</v>
      </c>
      <c r="T39" s="19">
        <f t="shared" ref="T39:T42" si="49">IF(D$43&gt;0, D39/D$43, 0)</f>
        <v>0.8278549644188411</v>
      </c>
      <c r="U39" s="19">
        <f t="shared" ref="U39:U42" si="50">IF(E$43&gt;0, E39/E$43, 0)</f>
        <v>0</v>
      </c>
      <c r="V39" s="19">
        <f t="shared" ref="V39:V42" si="51">IF(F$43&gt;0, F39/F$43, 0)</f>
        <v>0</v>
      </c>
      <c r="W39" s="19">
        <f t="shared" ref="W39:W42" si="52">IF(G$43&gt;0, G39/G$43, 0)</f>
        <v>0</v>
      </c>
      <c r="X39" s="19">
        <f t="shared" ref="X39:X42" si="53">IF(H$43&gt;0, H39/H$43, 0)</f>
        <v>0</v>
      </c>
      <c r="Y39" s="19">
        <f t="shared" ref="Y39:Y42" si="54">IF(I$43&gt;0, I39/I$43, 0)</f>
        <v>0</v>
      </c>
      <c r="Z39" s="19">
        <f t="shared" ref="Z39:Z42" si="55">IF(J$43&gt;0, J39/J$43, 0)</f>
        <v>0</v>
      </c>
      <c r="AA39" s="19">
        <f t="shared" ref="AA39:AA42" si="56">IF(K$43&gt;0, K39/K$43, 0)</f>
        <v>0</v>
      </c>
      <c r="AB39" s="19">
        <f t="shared" ref="AB39:AB42" si="57">IF(L$43&gt;0, L39/L$43, 0)</f>
        <v>0</v>
      </c>
      <c r="AC39" s="19">
        <f t="shared" ref="AC39:AC42" si="58">IF(M$43&gt;0, M39/M$43, 0)</f>
        <v>0</v>
      </c>
      <c r="AD39" s="19">
        <f t="shared" ref="AD39:AD42" si="59">IF(N$43&gt;0, N39/N$43, 0)</f>
        <v>0</v>
      </c>
      <c r="AE39" s="19">
        <f t="shared" ref="AE39:AE42" si="60">IF(O$43&gt;0, O39/O$43, 0)</f>
        <v>0</v>
      </c>
      <c r="AF39" s="19">
        <f t="shared" ref="AF39:AF42" si="61">IF(P$43&gt;0, P39/P$43, 0)</f>
        <v>0</v>
      </c>
      <c r="AG39" s="19">
        <f t="shared" ref="AG39:AG42" si="62">IF(Q$43&gt;0, Q39/Q$43, 0)</f>
        <v>0</v>
      </c>
    </row>
    <row r="40" spans="1:33" outlineLevel="2">
      <c r="A40" t="s">
        <v>4</v>
      </c>
      <c r="B40">
        <v>206</v>
      </c>
      <c r="C40">
        <v>2149.64</v>
      </c>
      <c r="D40">
        <v>17.8</v>
      </c>
      <c r="E40">
        <v>0</v>
      </c>
      <c r="F40">
        <v>0</v>
      </c>
      <c r="G40">
        <v>0</v>
      </c>
      <c r="H40">
        <v>378</v>
      </c>
      <c r="I40">
        <v>970.6</v>
      </c>
      <c r="J40">
        <v>0.72</v>
      </c>
      <c r="K40">
        <v>0</v>
      </c>
      <c r="L40">
        <v>0</v>
      </c>
      <c r="M40">
        <v>0</v>
      </c>
      <c r="N40">
        <v>1001.6800000000001</v>
      </c>
      <c r="O40">
        <v>1100.1600000000001</v>
      </c>
      <c r="P40">
        <v>949.84</v>
      </c>
      <c r="Q40">
        <v>0</v>
      </c>
      <c r="S40" s="19">
        <f t="shared" ref="S40:S42" si="63">IF(C$43&gt;0, C40/C$43, 0)</f>
        <v>0.17193846291666068</v>
      </c>
      <c r="T40" s="19">
        <f t="shared" si="49"/>
        <v>0.15079634022365301</v>
      </c>
      <c r="U40" s="19">
        <f t="shared" si="50"/>
        <v>0</v>
      </c>
      <c r="V40" s="19">
        <f t="shared" si="51"/>
        <v>0</v>
      </c>
      <c r="W40" s="19">
        <f t="shared" si="52"/>
        <v>0</v>
      </c>
      <c r="X40" s="19">
        <f t="shared" si="53"/>
        <v>1</v>
      </c>
      <c r="Y40" s="19">
        <f t="shared" si="54"/>
        <v>1</v>
      </c>
      <c r="Z40" s="19">
        <f t="shared" si="55"/>
        <v>1</v>
      </c>
      <c r="AA40" s="19">
        <f t="shared" si="56"/>
        <v>0</v>
      </c>
      <c r="AB40" s="19">
        <f t="shared" si="57"/>
        <v>0</v>
      </c>
      <c r="AC40" s="19">
        <f t="shared" si="58"/>
        <v>0</v>
      </c>
      <c r="AD40" s="19">
        <f t="shared" si="59"/>
        <v>1</v>
      </c>
      <c r="AE40" s="19">
        <f t="shared" si="60"/>
        <v>1</v>
      </c>
      <c r="AF40" s="19">
        <f t="shared" si="61"/>
        <v>1</v>
      </c>
      <c r="AG40" s="19">
        <f t="shared" si="62"/>
        <v>0</v>
      </c>
    </row>
    <row r="41" spans="1:33" outlineLevel="2">
      <c r="A41" t="s">
        <v>4</v>
      </c>
      <c r="B41">
        <v>207</v>
      </c>
      <c r="C41">
        <v>3602.14</v>
      </c>
      <c r="D41">
        <v>2.52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s="19">
        <f t="shared" si="63"/>
        <v>0.28811634264835978</v>
      </c>
      <c r="T41" s="19">
        <f t="shared" si="49"/>
        <v>2.1348695357505932E-2</v>
      </c>
      <c r="U41" s="19">
        <f t="shared" si="50"/>
        <v>0</v>
      </c>
      <c r="V41" s="19">
        <f t="shared" si="51"/>
        <v>0</v>
      </c>
      <c r="W41" s="19">
        <f t="shared" si="52"/>
        <v>0</v>
      </c>
      <c r="X41" s="19">
        <f t="shared" si="53"/>
        <v>0</v>
      </c>
      <c r="Y41" s="19">
        <f t="shared" si="54"/>
        <v>0</v>
      </c>
      <c r="Z41" s="19">
        <f t="shared" si="55"/>
        <v>0</v>
      </c>
      <c r="AA41" s="19">
        <f t="shared" si="56"/>
        <v>0</v>
      </c>
      <c r="AB41" s="19">
        <f t="shared" si="57"/>
        <v>0</v>
      </c>
      <c r="AC41" s="19">
        <f t="shared" si="58"/>
        <v>0</v>
      </c>
      <c r="AD41" s="19">
        <f t="shared" si="59"/>
        <v>0</v>
      </c>
      <c r="AE41" s="19">
        <f t="shared" si="60"/>
        <v>0</v>
      </c>
      <c r="AF41" s="19">
        <f t="shared" si="61"/>
        <v>0</v>
      </c>
      <c r="AG41" s="19">
        <f t="shared" si="62"/>
        <v>0</v>
      </c>
    </row>
    <row r="42" spans="1:33" outlineLevel="2">
      <c r="A42" t="s">
        <v>4</v>
      </c>
      <c r="B42">
        <v>209</v>
      </c>
      <c r="C42">
        <v>1827.1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 s="19">
        <f t="shared" si="63"/>
        <v>0.146140174910697</v>
      </c>
      <c r="T42" s="19">
        <f t="shared" si="49"/>
        <v>0</v>
      </c>
      <c r="U42" s="19">
        <f t="shared" si="50"/>
        <v>0</v>
      </c>
      <c r="V42" s="19">
        <f t="shared" si="51"/>
        <v>0</v>
      </c>
      <c r="W42" s="19">
        <f t="shared" si="52"/>
        <v>0</v>
      </c>
      <c r="X42" s="19">
        <f t="shared" si="53"/>
        <v>0</v>
      </c>
      <c r="Y42" s="19">
        <f t="shared" si="54"/>
        <v>0</v>
      </c>
      <c r="Z42" s="19">
        <f t="shared" si="55"/>
        <v>0</v>
      </c>
      <c r="AA42" s="19">
        <f t="shared" si="56"/>
        <v>0</v>
      </c>
      <c r="AB42" s="19">
        <f t="shared" si="57"/>
        <v>0</v>
      </c>
      <c r="AC42" s="19">
        <f t="shared" si="58"/>
        <v>0</v>
      </c>
      <c r="AD42" s="19">
        <f t="shared" si="59"/>
        <v>0</v>
      </c>
      <c r="AE42" s="19">
        <f t="shared" si="60"/>
        <v>0</v>
      </c>
      <c r="AF42" s="19">
        <f t="shared" si="61"/>
        <v>0</v>
      </c>
      <c r="AG42" s="19">
        <f t="shared" si="62"/>
        <v>0</v>
      </c>
    </row>
    <row r="43" spans="1:33" outlineLevel="1">
      <c r="A43" s="24" t="s">
        <v>58</v>
      </c>
      <c r="B43"/>
      <c r="C43">
        <f t="shared" ref="C43:Q43" si="64">SUBTOTAL(9,C39:C42)</f>
        <v>12502.38</v>
      </c>
      <c r="D43">
        <f t="shared" si="64"/>
        <v>118.03999999999999</v>
      </c>
      <c r="E43">
        <f t="shared" si="64"/>
        <v>0</v>
      </c>
      <c r="F43">
        <f t="shared" si="64"/>
        <v>0</v>
      </c>
      <c r="G43">
        <f t="shared" si="64"/>
        <v>0</v>
      </c>
      <c r="H43">
        <f t="shared" si="64"/>
        <v>378</v>
      </c>
      <c r="I43">
        <f t="shared" si="64"/>
        <v>970.6</v>
      </c>
      <c r="J43">
        <f t="shared" si="64"/>
        <v>0.72</v>
      </c>
      <c r="K43">
        <f t="shared" si="64"/>
        <v>0</v>
      </c>
      <c r="L43">
        <f t="shared" si="64"/>
        <v>0</v>
      </c>
      <c r="M43">
        <f t="shared" si="64"/>
        <v>0</v>
      </c>
      <c r="N43">
        <f t="shared" si="64"/>
        <v>1001.6800000000001</v>
      </c>
      <c r="O43">
        <f t="shared" si="64"/>
        <v>1100.1600000000001</v>
      </c>
      <c r="P43">
        <f t="shared" si="64"/>
        <v>949.84</v>
      </c>
      <c r="Q43">
        <f t="shared" si="64"/>
        <v>0</v>
      </c>
    </row>
    <row r="44" spans="1:33" outlineLevel="2">
      <c r="A44" t="s">
        <v>5</v>
      </c>
      <c r="B44">
        <v>338</v>
      </c>
      <c r="C44">
        <v>62.96</v>
      </c>
      <c r="D44">
        <v>20.46</v>
      </c>
      <c r="E44">
        <v>10.78</v>
      </c>
      <c r="F44">
        <v>4.04</v>
      </c>
      <c r="G44">
        <v>1.1200000000000001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s="19">
        <f>IF(C$48&gt;0, C44/C$48, 0)</f>
        <v>0.21720830745877323</v>
      </c>
      <c r="T44" s="19">
        <f t="shared" ref="T44:T47" si="65">IF(D$48&gt;0, D44/D$48, 0)</f>
        <v>0.31988742964352723</v>
      </c>
      <c r="U44" s="19">
        <f t="shared" ref="U44:U47" si="66">IF(E$48&gt;0, E44/E$48, 0)</f>
        <v>0.37430555555555556</v>
      </c>
      <c r="V44" s="19">
        <f t="shared" ref="V44:V47" si="67">IF(F$48&gt;0, F44/F$48, 0)</f>
        <v>0.34237288135593225</v>
      </c>
      <c r="W44" s="19">
        <f t="shared" ref="W44:W47" si="68">IF(G$48&gt;0, G44/G$48, 0)</f>
        <v>0.19047619047619049</v>
      </c>
      <c r="X44" s="19">
        <f t="shared" ref="X44:X47" si="69">IF(H$48&gt;0, H44/H$48, 0)</f>
        <v>0</v>
      </c>
      <c r="Y44" s="19">
        <f t="shared" ref="Y44:Y47" si="70">IF(I$48&gt;0, I44/I$48, 0)</f>
        <v>0</v>
      </c>
      <c r="Z44" s="19">
        <f t="shared" ref="Z44:Z47" si="71">IF(J$48&gt;0, J44/J$48, 0)</f>
        <v>0</v>
      </c>
      <c r="AA44" s="19">
        <f t="shared" ref="AA44:AA47" si="72">IF(K$48&gt;0, K44/K$48, 0)</f>
        <v>0</v>
      </c>
      <c r="AB44" s="19">
        <f t="shared" ref="AB44:AB47" si="73">IF(L$48&gt;0, L44/L$48, 0)</f>
        <v>0</v>
      </c>
      <c r="AC44" s="19">
        <f t="shared" ref="AC44:AC47" si="74">IF(M$48&gt;0, M44/M$48, 0)</f>
        <v>0</v>
      </c>
      <c r="AD44" s="19">
        <f t="shared" ref="AD44:AD47" si="75">IF(N$48&gt;0, N44/N$48, 0)</f>
        <v>0</v>
      </c>
      <c r="AE44" s="19">
        <f t="shared" ref="AE44:AE47" si="76">IF(O$48&gt;0, O44/O$48, 0)</f>
        <v>0</v>
      </c>
      <c r="AF44" s="19">
        <f t="shared" ref="AF44:AF47" si="77">IF(P$48&gt;0, P44/P$48, 0)</f>
        <v>0</v>
      </c>
      <c r="AG44" s="19">
        <f t="shared" ref="AG44:AG47" si="78">IF(Q$48&gt;0, Q44/Q$48, 0)</f>
        <v>0</v>
      </c>
    </row>
    <row r="45" spans="1:33" outlineLevel="2">
      <c r="A45" t="s">
        <v>5</v>
      </c>
      <c r="B45">
        <v>339</v>
      </c>
      <c r="C45">
        <v>175.98</v>
      </c>
      <c r="D45">
        <v>36.28</v>
      </c>
      <c r="E45">
        <v>16.66</v>
      </c>
      <c r="F45">
        <v>7.5</v>
      </c>
      <c r="G45">
        <v>4.76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 s="19">
        <f t="shared" ref="S45:S47" si="79">IF(C$48&gt;0, C45/C$48, 0)</f>
        <v>0.60712067894845789</v>
      </c>
      <c r="T45" s="19">
        <f t="shared" si="65"/>
        <v>0.56722951844903069</v>
      </c>
      <c r="U45" s="19">
        <f t="shared" si="66"/>
        <v>0.57847222222222228</v>
      </c>
      <c r="V45" s="19">
        <f t="shared" si="67"/>
        <v>0.63559322033898313</v>
      </c>
      <c r="W45" s="19">
        <f t="shared" si="68"/>
        <v>0.80952380952380953</v>
      </c>
      <c r="X45" s="19">
        <f t="shared" si="69"/>
        <v>0</v>
      </c>
      <c r="Y45" s="19">
        <f t="shared" si="70"/>
        <v>0</v>
      </c>
      <c r="Z45" s="19">
        <f t="shared" si="71"/>
        <v>0</v>
      </c>
      <c r="AA45" s="19">
        <f t="shared" si="72"/>
        <v>0</v>
      </c>
      <c r="AB45" s="19">
        <f t="shared" si="73"/>
        <v>0</v>
      </c>
      <c r="AC45" s="19">
        <f t="shared" si="74"/>
        <v>0</v>
      </c>
      <c r="AD45" s="19">
        <f t="shared" si="75"/>
        <v>0</v>
      </c>
      <c r="AE45" s="19">
        <f t="shared" si="76"/>
        <v>0</v>
      </c>
      <c r="AF45" s="19">
        <f t="shared" si="77"/>
        <v>0</v>
      </c>
      <c r="AG45" s="19">
        <f t="shared" si="78"/>
        <v>0</v>
      </c>
    </row>
    <row r="46" spans="1:33" outlineLevel="2">
      <c r="A46" t="s">
        <v>5</v>
      </c>
      <c r="B46">
        <v>340</v>
      </c>
      <c r="C46">
        <v>50.9</v>
      </c>
      <c r="D46">
        <v>7.22</v>
      </c>
      <c r="E46">
        <v>1.36</v>
      </c>
      <c r="F46">
        <v>0.26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s="19">
        <f t="shared" si="79"/>
        <v>0.17560201476574899</v>
      </c>
      <c r="T46" s="19">
        <f t="shared" si="65"/>
        <v>0.11288305190744215</v>
      </c>
      <c r="U46" s="19">
        <f t="shared" si="66"/>
        <v>4.7222222222222228E-2</v>
      </c>
      <c r="V46" s="19">
        <f t="shared" si="67"/>
        <v>2.2033898305084749E-2</v>
      </c>
      <c r="W46" s="19">
        <f t="shared" si="68"/>
        <v>0</v>
      </c>
      <c r="X46" s="19">
        <f t="shared" si="69"/>
        <v>0</v>
      </c>
      <c r="Y46" s="19">
        <f t="shared" si="70"/>
        <v>0</v>
      </c>
      <c r="Z46" s="19">
        <f t="shared" si="71"/>
        <v>0</v>
      </c>
      <c r="AA46" s="19">
        <f t="shared" si="72"/>
        <v>0</v>
      </c>
      <c r="AB46" s="19">
        <f t="shared" si="73"/>
        <v>0</v>
      </c>
      <c r="AC46" s="19">
        <f t="shared" si="74"/>
        <v>0</v>
      </c>
      <c r="AD46" s="19">
        <f t="shared" si="75"/>
        <v>0</v>
      </c>
      <c r="AE46" s="19">
        <f t="shared" si="76"/>
        <v>0</v>
      </c>
      <c r="AF46" s="19">
        <f t="shared" si="77"/>
        <v>0</v>
      </c>
      <c r="AG46" s="19">
        <f t="shared" si="78"/>
        <v>0</v>
      </c>
    </row>
    <row r="47" spans="1:33" outlineLevel="2">
      <c r="A47" t="s">
        <v>5</v>
      </c>
      <c r="B47">
        <v>341</v>
      </c>
      <c r="C47">
        <v>0.02</v>
      </c>
      <c r="D47">
        <v>0</v>
      </c>
      <c r="E47">
        <v>0</v>
      </c>
      <c r="F47">
        <v>0</v>
      </c>
      <c r="G47">
        <v>0</v>
      </c>
      <c r="H47">
        <v>9.8000000000000007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s="19">
        <f t="shared" si="79"/>
        <v>6.8998827019940668E-5</v>
      </c>
      <c r="T47" s="19">
        <f t="shared" si="65"/>
        <v>0</v>
      </c>
      <c r="U47" s="19">
        <f t="shared" si="66"/>
        <v>0</v>
      </c>
      <c r="V47" s="19">
        <f t="shared" si="67"/>
        <v>0</v>
      </c>
      <c r="W47" s="19">
        <f t="shared" si="68"/>
        <v>0</v>
      </c>
      <c r="X47" s="19">
        <f t="shared" si="69"/>
        <v>1</v>
      </c>
      <c r="Y47" s="19">
        <f t="shared" si="70"/>
        <v>0</v>
      </c>
      <c r="Z47" s="19">
        <f t="shared" si="71"/>
        <v>0</v>
      </c>
      <c r="AA47" s="19">
        <f t="shared" si="72"/>
        <v>0</v>
      </c>
      <c r="AB47" s="19">
        <f t="shared" si="73"/>
        <v>0</v>
      </c>
      <c r="AC47" s="19">
        <f t="shared" si="74"/>
        <v>0</v>
      </c>
      <c r="AD47" s="19">
        <f t="shared" si="75"/>
        <v>0</v>
      </c>
      <c r="AE47" s="19">
        <f t="shared" si="76"/>
        <v>0</v>
      </c>
      <c r="AF47" s="19">
        <f t="shared" si="77"/>
        <v>0</v>
      </c>
      <c r="AG47" s="19">
        <f t="shared" si="78"/>
        <v>0</v>
      </c>
    </row>
    <row r="48" spans="1:33" outlineLevel="1">
      <c r="A48" s="24" t="s">
        <v>59</v>
      </c>
      <c r="B48"/>
      <c r="C48">
        <f t="shared" ref="C48:Q48" si="80">SUBTOTAL(9,C44:C47)</f>
        <v>289.85999999999996</v>
      </c>
      <c r="D48">
        <f t="shared" si="80"/>
        <v>63.96</v>
      </c>
      <c r="E48">
        <f t="shared" si="80"/>
        <v>28.799999999999997</v>
      </c>
      <c r="F48">
        <f t="shared" si="80"/>
        <v>11.799999999999999</v>
      </c>
      <c r="G48">
        <f t="shared" si="80"/>
        <v>5.88</v>
      </c>
      <c r="H48">
        <f t="shared" si="80"/>
        <v>9.8000000000000007</v>
      </c>
      <c r="I48">
        <f t="shared" si="80"/>
        <v>0</v>
      </c>
      <c r="J48">
        <f t="shared" si="80"/>
        <v>0</v>
      </c>
      <c r="K48">
        <f t="shared" si="80"/>
        <v>0</v>
      </c>
      <c r="L48">
        <f t="shared" si="80"/>
        <v>0</v>
      </c>
      <c r="M48">
        <f t="shared" si="80"/>
        <v>0</v>
      </c>
      <c r="N48">
        <f t="shared" si="80"/>
        <v>0</v>
      </c>
      <c r="O48">
        <f t="shared" si="80"/>
        <v>0</v>
      </c>
      <c r="P48">
        <f t="shared" si="80"/>
        <v>0</v>
      </c>
      <c r="Q48">
        <f t="shared" si="80"/>
        <v>0</v>
      </c>
    </row>
    <row r="49" spans="1:33" outlineLevel="2">
      <c r="A49" t="s">
        <v>6</v>
      </c>
      <c r="B49">
        <v>160</v>
      </c>
      <c r="C49">
        <v>0.38</v>
      </c>
      <c r="D49">
        <v>0.02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s="19">
        <f>IF(C$54&gt;0, C49/C$54, 0)</f>
        <v>1</v>
      </c>
      <c r="T49" s="19">
        <f t="shared" ref="T49:T53" si="81">IF(D$54&gt;0, D49/D$54, 0)</f>
        <v>1</v>
      </c>
      <c r="U49" s="19">
        <f t="shared" ref="U49:U53" si="82">IF(E$54&gt;0, E49/E$54, 0)</f>
        <v>0</v>
      </c>
      <c r="V49" s="19">
        <f t="shared" ref="V49:V53" si="83">IF(F$54&gt;0, F49/F$54, 0)</f>
        <v>0</v>
      </c>
      <c r="W49" s="19">
        <f t="shared" ref="W49:W53" si="84">IF(G$54&gt;0, G49/G$54, 0)</f>
        <v>0</v>
      </c>
      <c r="X49" s="19">
        <f t="shared" ref="X49:X53" si="85">IF(H$54&gt;0, H49/H$54, 0)</f>
        <v>0</v>
      </c>
      <c r="Y49" s="19">
        <f t="shared" ref="Y49:Y53" si="86">IF(I$54&gt;0, I49/I$54, 0)</f>
        <v>0</v>
      </c>
      <c r="Z49" s="19">
        <f t="shared" ref="Z49:Z53" si="87">IF(J$54&gt;0, J49/J$54, 0)</f>
        <v>0</v>
      </c>
      <c r="AA49" s="19">
        <f t="shared" ref="AA49:AA53" si="88">IF(K$54&gt;0, K49/K$54, 0)</f>
        <v>0</v>
      </c>
      <c r="AB49" s="19">
        <f t="shared" ref="AB49:AB53" si="89">IF(L$54&gt;0, L49/L$54, 0)</f>
        <v>0</v>
      </c>
      <c r="AC49" s="19">
        <f t="shared" ref="AC49:AC53" si="90">IF(M$54&gt;0, M49/M$54, 0)</f>
        <v>0</v>
      </c>
      <c r="AD49" s="19">
        <f t="shared" ref="AD49:AD53" si="91">IF(N$54&gt;0, N49/N$54, 0)</f>
        <v>0</v>
      </c>
      <c r="AE49" s="19">
        <f t="shared" ref="AE49:AE53" si="92">IF(O$54&gt;0, O49/O$54, 0)</f>
        <v>0</v>
      </c>
      <c r="AF49" s="19">
        <f t="shared" ref="AF49:AF53" si="93">IF(P$54&gt;0, P49/P$54, 0)</f>
        <v>0</v>
      </c>
      <c r="AG49" s="19">
        <f t="shared" ref="AG49:AG53" si="94">IF(Q$54&gt;0, Q49/Q$54, 0)</f>
        <v>0</v>
      </c>
    </row>
    <row r="50" spans="1:33" outlineLevel="2">
      <c r="A50" t="s">
        <v>6</v>
      </c>
      <c r="B50">
        <v>162</v>
      </c>
      <c r="C50">
        <v>0</v>
      </c>
      <c r="D50">
        <v>0</v>
      </c>
      <c r="E50">
        <v>0</v>
      </c>
      <c r="F50">
        <v>0</v>
      </c>
      <c r="G50">
        <v>0</v>
      </c>
      <c r="H50">
        <v>13077.56</v>
      </c>
      <c r="I50">
        <v>412.48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s="19">
        <f t="shared" ref="S50:S53" si="95">IF(C$54&gt;0, C50/C$54, 0)</f>
        <v>0</v>
      </c>
      <c r="T50" s="19">
        <f t="shared" si="81"/>
        <v>0</v>
      </c>
      <c r="U50" s="19">
        <f t="shared" si="82"/>
        <v>0</v>
      </c>
      <c r="V50" s="19">
        <f t="shared" si="83"/>
        <v>0</v>
      </c>
      <c r="W50" s="19">
        <f t="shared" si="84"/>
        <v>0</v>
      </c>
      <c r="X50" s="19">
        <f t="shared" si="85"/>
        <v>0.30398367293808082</v>
      </c>
      <c r="Y50" s="19">
        <f t="shared" si="86"/>
        <v>0.59359889477319827</v>
      </c>
      <c r="Z50" s="19">
        <f t="shared" si="87"/>
        <v>0</v>
      </c>
      <c r="AA50" s="19">
        <f t="shared" si="88"/>
        <v>0</v>
      </c>
      <c r="AB50" s="19">
        <f t="shared" si="89"/>
        <v>0</v>
      </c>
      <c r="AC50" s="19">
        <f t="shared" si="90"/>
        <v>0</v>
      </c>
      <c r="AD50" s="19">
        <f t="shared" si="91"/>
        <v>0</v>
      </c>
      <c r="AE50" s="19">
        <f t="shared" si="92"/>
        <v>0</v>
      </c>
      <c r="AF50" s="19">
        <f t="shared" si="93"/>
        <v>0</v>
      </c>
      <c r="AG50" s="19">
        <f t="shared" si="94"/>
        <v>0</v>
      </c>
    </row>
    <row r="51" spans="1:33" outlineLevel="2">
      <c r="A51" t="s">
        <v>6</v>
      </c>
      <c r="B51">
        <v>256</v>
      </c>
      <c r="C51">
        <v>0</v>
      </c>
      <c r="D51">
        <v>0</v>
      </c>
      <c r="E51">
        <v>0</v>
      </c>
      <c r="F51">
        <v>0</v>
      </c>
      <c r="G51">
        <v>0</v>
      </c>
      <c r="H51">
        <v>3443.76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s="19">
        <f t="shared" si="95"/>
        <v>0</v>
      </c>
      <c r="T51" s="19">
        <f t="shared" si="81"/>
        <v>0</v>
      </c>
      <c r="U51" s="19">
        <f t="shared" si="82"/>
        <v>0</v>
      </c>
      <c r="V51" s="19">
        <f t="shared" si="83"/>
        <v>0</v>
      </c>
      <c r="W51" s="19">
        <f t="shared" si="84"/>
        <v>0</v>
      </c>
      <c r="X51" s="19">
        <f t="shared" si="85"/>
        <v>8.0049092760212562E-2</v>
      </c>
      <c r="Y51" s="19">
        <f t="shared" si="86"/>
        <v>0</v>
      </c>
      <c r="Z51" s="19">
        <f t="shared" si="87"/>
        <v>0</v>
      </c>
      <c r="AA51" s="19">
        <f t="shared" si="88"/>
        <v>0</v>
      </c>
      <c r="AB51" s="19">
        <f t="shared" si="89"/>
        <v>0</v>
      </c>
      <c r="AC51" s="19">
        <f t="shared" si="90"/>
        <v>0</v>
      </c>
      <c r="AD51" s="19">
        <f t="shared" si="91"/>
        <v>0</v>
      </c>
      <c r="AE51" s="19">
        <f t="shared" si="92"/>
        <v>0</v>
      </c>
      <c r="AF51" s="19">
        <f t="shared" si="93"/>
        <v>0</v>
      </c>
      <c r="AG51" s="19">
        <f t="shared" si="94"/>
        <v>0</v>
      </c>
    </row>
    <row r="52" spans="1:33" outlineLevel="2">
      <c r="A52" t="s">
        <v>6</v>
      </c>
      <c r="B52">
        <v>261</v>
      </c>
      <c r="C52">
        <v>0</v>
      </c>
      <c r="D52">
        <v>0</v>
      </c>
      <c r="E52">
        <v>0</v>
      </c>
      <c r="F52">
        <v>0</v>
      </c>
      <c r="G52">
        <v>0</v>
      </c>
      <c r="H52">
        <v>26490.28</v>
      </c>
      <c r="I52">
        <v>282.39999999999998</v>
      </c>
      <c r="J52">
        <v>0</v>
      </c>
      <c r="K52">
        <v>0</v>
      </c>
      <c r="L52">
        <v>0</v>
      </c>
      <c r="M52">
        <v>13472.64</v>
      </c>
      <c r="N52">
        <v>10721.44</v>
      </c>
      <c r="O52">
        <v>0</v>
      </c>
      <c r="P52">
        <v>0</v>
      </c>
      <c r="Q52">
        <v>0</v>
      </c>
      <c r="S52" s="19">
        <f t="shared" si="95"/>
        <v>0</v>
      </c>
      <c r="T52" s="19">
        <f t="shared" si="81"/>
        <v>0</v>
      </c>
      <c r="U52" s="19">
        <f t="shared" si="82"/>
        <v>0</v>
      </c>
      <c r="V52" s="19">
        <f t="shared" si="83"/>
        <v>0</v>
      </c>
      <c r="W52" s="19">
        <f t="shared" si="84"/>
        <v>0</v>
      </c>
      <c r="X52" s="19">
        <f t="shared" si="85"/>
        <v>0.61575803219852809</v>
      </c>
      <c r="Y52" s="19">
        <f t="shared" si="86"/>
        <v>0.40640110522680173</v>
      </c>
      <c r="Z52" s="19">
        <f t="shared" si="87"/>
        <v>0</v>
      </c>
      <c r="AA52" s="19">
        <f t="shared" si="88"/>
        <v>0</v>
      </c>
      <c r="AB52" s="19">
        <f t="shared" si="89"/>
        <v>0</v>
      </c>
      <c r="AC52" s="19">
        <f t="shared" si="90"/>
        <v>1</v>
      </c>
      <c r="AD52" s="19">
        <f t="shared" si="91"/>
        <v>1</v>
      </c>
      <c r="AE52" s="19">
        <f t="shared" si="92"/>
        <v>0</v>
      </c>
      <c r="AF52" s="19">
        <f t="shared" si="93"/>
        <v>0</v>
      </c>
      <c r="AG52" s="19">
        <f t="shared" si="94"/>
        <v>0</v>
      </c>
    </row>
    <row r="53" spans="1:33" outlineLevel="2">
      <c r="A53" t="s">
        <v>6</v>
      </c>
      <c r="B53">
        <v>264</v>
      </c>
      <c r="C53">
        <v>0</v>
      </c>
      <c r="D53">
        <v>0</v>
      </c>
      <c r="E53">
        <v>0</v>
      </c>
      <c r="F53">
        <v>0</v>
      </c>
      <c r="G53">
        <v>0</v>
      </c>
      <c r="H53">
        <v>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 s="19">
        <f t="shared" si="95"/>
        <v>0</v>
      </c>
      <c r="T53" s="19">
        <f t="shared" si="81"/>
        <v>0</v>
      </c>
      <c r="U53" s="19">
        <f t="shared" si="82"/>
        <v>0</v>
      </c>
      <c r="V53" s="19">
        <f t="shared" si="83"/>
        <v>0</v>
      </c>
      <c r="W53" s="19">
        <f t="shared" si="84"/>
        <v>0</v>
      </c>
      <c r="X53" s="19">
        <f t="shared" si="85"/>
        <v>2.0920210317847728E-4</v>
      </c>
      <c r="Y53" s="19">
        <f t="shared" si="86"/>
        <v>0</v>
      </c>
      <c r="Z53" s="19">
        <f t="shared" si="87"/>
        <v>0</v>
      </c>
      <c r="AA53" s="19">
        <f t="shared" si="88"/>
        <v>0</v>
      </c>
      <c r="AB53" s="19">
        <f t="shared" si="89"/>
        <v>0</v>
      </c>
      <c r="AC53" s="19">
        <f t="shared" si="90"/>
        <v>0</v>
      </c>
      <c r="AD53" s="19">
        <f t="shared" si="91"/>
        <v>0</v>
      </c>
      <c r="AE53" s="19">
        <f t="shared" si="92"/>
        <v>0</v>
      </c>
      <c r="AF53" s="19">
        <f t="shared" si="93"/>
        <v>0</v>
      </c>
      <c r="AG53" s="19">
        <f t="shared" si="94"/>
        <v>0</v>
      </c>
    </row>
    <row r="54" spans="1:33" outlineLevel="1">
      <c r="A54" s="24" t="s">
        <v>60</v>
      </c>
      <c r="B54"/>
      <c r="C54">
        <f t="shared" ref="C54:Q54" si="96">SUBTOTAL(9,C49:C53)</f>
        <v>0.38</v>
      </c>
      <c r="D54">
        <f t="shared" si="96"/>
        <v>0.02</v>
      </c>
      <c r="E54">
        <f t="shared" si="96"/>
        <v>0</v>
      </c>
      <c r="F54">
        <f t="shared" si="96"/>
        <v>0</v>
      </c>
      <c r="G54">
        <f t="shared" si="96"/>
        <v>0</v>
      </c>
      <c r="H54">
        <f t="shared" si="96"/>
        <v>43020.6</v>
      </c>
      <c r="I54">
        <f t="shared" si="96"/>
        <v>694.88</v>
      </c>
      <c r="J54">
        <f t="shared" si="96"/>
        <v>0</v>
      </c>
      <c r="K54">
        <f t="shared" si="96"/>
        <v>0</v>
      </c>
      <c r="L54">
        <f t="shared" si="96"/>
        <v>0</v>
      </c>
      <c r="M54">
        <f t="shared" si="96"/>
        <v>13472.64</v>
      </c>
      <c r="N54">
        <f t="shared" si="96"/>
        <v>10721.44</v>
      </c>
      <c r="O54">
        <f t="shared" si="96"/>
        <v>0</v>
      </c>
      <c r="P54">
        <f t="shared" si="96"/>
        <v>0</v>
      </c>
      <c r="Q54">
        <f t="shared" si="96"/>
        <v>0</v>
      </c>
    </row>
    <row r="55" spans="1:33" outlineLevel="2">
      <c r="A55" t="s">
        <v>7</v>
      </c>
      <c r="B55">
        <v>149</v>
      </c>
      <c r="C55">
        <v>5161.16</v>
      </c>
      <c r="D55">
        <v>51.84</v>
      </c>
      <c r="E55">
        <v>3.32</v>
      </c>
      <c r="F55">
        <v>0.36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 s="19">
        <f>IF(C$66&gt;0, C55/C$66, 0)</f>
        <v>7.9067894864560798E-2</v>
      </c>
      <c r="T55" s="19">
        <f t="shared" ref="T55:T65" si="97">IF(D$66&gt;0, D55/D$66, 0)</f>
        <v>2.6776776518254593E-3</v>
      </c>
      <c r="U55" s="19">
        <f t="shared" ref="U55:U65" si="98">IF(E$66&gt;0, E55/E$66, 0)</f>
        <v>3.9579409170024558E-3</v>
      </c>
      <c r="V55" s="19">
        <f t="shared" ref="V55:V65" si="99">IF(F$66&gt;0, F55/F$66, 0)</f>
        <v>1.3837638376383763E-3</v>
      </c>
      <c r="W55" s="19">
        <f t="shared" ref="W55:W65" si="100">IF(G$66&gt;0, G55/G$66, 0)</f>
        <v>0</v>
      </c>
      <c r="X55" s="19">
        <f t="shared" ref="X55:X65" si="101">IF(H$66&gt;0, H55/H$66, 0)</f>
        <v>0</v>
      </c>
      <c r="Y55" s="19">
        <f t="shared" ref="Y55:Y65" si="102">IF(I$66&gt;0, I55/I$66, 0)</f>
        <v>0</v>
      </c>
      <c r="Z55" s="19">
        <f t="shared" ref="Z55:Z65" si="103">IF(J$66&gt;0, J55/J$66, 0)</f>
        <v>0</v>
      </c>
      <c r="AA55" s="19">
        <f t="shared" ref="AA55:AA65" si="104">IF(K$66&gt;0, K55/K$66, 0)</f>
        <v>0</v>
      </c>
      <c r="AB55" s="19">
        <f t="shared" ref="AB55:AB65" si="105">IF(L$66&gt;0, L55/L$66, 0)</f>
        <v>0</v>
      </c>
      <c r="AC55" s="19">
        <f t="shared" ref="AC55:AC65" si="106">IF(M$66&gt;0, M55/M$66, 0)</f>
        <v>0</v>
      </c>
      <c r="AD55" s="19">
        <f t="shared" ref="AD55:AD65" si="107">IF(N$66&gt;0, N55/N$66, 0)</f>
        <v>0</v>
      </c>
      <c r="AE55" s="19">
        <f t="shared" ref="AE55:AE65" si="108">IF(O$66&gt;0, O55/O$66, 0)</f>
        <v>0</v>
      </c>
      <c r="AF55" s="19">
        <f t="shared" ref="AF55:AF65" si="109">IF(P$66&gt;0, P55/P$66, 0)</f>
        <v>0</v>
      </c>
      <c r="AG55" s="19">
        <f t="shared" ref="AG55:AG65" si="110">IF(Q$66&gt;0, Q55/Q$66, 0)</f>
        <v>0</v>
      </c>
    </row>
    <row r="56" spans="1:33" outlineLevel="2">
      <c r="A56" t="s">
        <v>7</v>
      </c>
      <c r="B56">
        <v>150</v>
      </c>
      <c r="C56">
        <v>83.9</v>
      </c>
      <c r="D56">
        <v>5110.2</v>
      </c>
      <c r="E56">
        <v>21.92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 s="19">
        <f t="shared" ref="S56:S65" si="111">IF(C$66&gt;0, C56/C$66, 0)</f>
        <v>1.2853305030529282E-3</v>
      </c>
      <c r="T56" s="19">
        <f t="shared" si="97"/>
        <v>0.26395579352543325</v>
      </c>
      <c r="U56" s="19">
        <f t="shared" si="98"/>
        <v>2.6131947259245135E-2</v>
      </c>
      <c r="V56" s="19">
        <f t="shared" si="99"/>
        <v>0</v>
      </c>
      <c r="W56" s="19">
        <f t="shared" si="100"/>
        <v>0</v>
      </c>
      <c r="X56" s="19">
        <f t="shared" si="101"/>
        <v>0</v>
      </c>
      <c r="Y56" s="19">
        <f t="shared" si="102"/>
        <v>0</v>
      </c>
      <c r="Z56" s="19">
        <f t="shared" si="103"/>
        <v>0</v>
      </c>
      <c r="AA56" s="19">
        <f t="shared" si="104"/>
        <v>0</v>
      </c>
      <c r="AB56" s="19">
        <f t="shared" si="105"/>
        <v>0</v>
      </c>
      <c r="AC56" s="19">
        <f t="shared" si="106"/>
        <v>0</v>
      </c>
      <c r="AD56" s="19">
        <f t="shared" si="107"/>
        <v>0</v>
      </c>
      <c r="AE56" s="19">
        <f t="shared" si="108"/>
        <v>0</v>
      </c>
      <c r="AF56" s="19">
        <f t="shared" si="109"/>
        <v>0</v>
      </c>
      <c r="AG56" s="19">
        <f t="shared" si="110"/>
        <v>0</v>
      </c>
    </row>
    <row r="57" spans="1:33" outlineLevel="2">
      <c r="A57" t="s">
        <v>7</v>
      </c>
      <c r="B57">
        <v>163</v>
      </c>
      <c r="C57">
        <v>3567.38</v>
      </c>
      <c r="D57">
        <v>2038.9599999999998</v>
      </c>
      <c r="E57">
        <v>569.07999999999993</v>
      </c>
      <c r="F57">
        <v>148.36000000000001</v>
      </c>
      <c r="G57">
        <v>5.04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S57" s="19">
        <f t="shared" si="111"/>
        <v>5.4651517639820679E-2</v>
      </c>
      <c r="T57" s="19">
        <f t="shared" si="97"/>
        <v>0.10531785541986954</v>
      </c>
      <c r="U57" s="19">
        <f t="shared" si="98"/>
        <v>0.67842922200233657</v>
      </c>
      <c r="V57" s="19">
        <f t="shared" si="99"/>
        <v>0.57026445264452641</v>
      </c>
      <c r="W57" s="19">
        <f t="shared" si="100"/>
        <v>1</v>
      </c>
      <c r="X57" s="19">
        <f t="shared" si="101"/>
        <v>0</v>
      </c>
      <c r="Y57" s="19">
        <f t="shared" si="102"/>
        <v>0</v>
      </c>
      <c r="Z57" s="19">
        <f t="shared" si="103"/>
        <v>0</v>
      </c>
      <c r="AA57" s="19">
        <f t="shared" si="104"/>
        <v>0</v>
      </c>
      <c r="AB57" s="19">
        <f t="shared" si="105"/>
        <v>0</v>
      </c>
      <c r="AC57" s="19">
        <f t="shared" si="106"/>
        <v>0</v>
      </c>
      <c r="AD57" s="19">
        <f t="shared" si="107"/>
        <v>0</v>
      </c>
      <c r="AE57" s="19">
        <f t="shared" si="108"/>
        <v>0</v>
      </c>
      <c r="AF57" s="19">
        <f t="shared" si="109"/>
        <v>0</v>
      </c>
      <c r="AG57" s="19">
        <f t="shared" si="110"/>
        <v>0</v>
      </c>
    </row>
    <row r="58" spans="1:33" outlineLevel="2">
      <c r="A58" t="s">
        <v>7</v>
      </c>
      <c r="B58">
        <v>164</v>
      </c>
      <c r="C58">
        <v>4793.04</v>
      </c>
      <c r="D58">
        <v>129.63999999999999</v>
      </c>
      <c r="E58">
        <v>55.12</v>
      </c>
      <c r="F58">
        <v>79.92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s="19">
        <f t="shared" si="111"/>
        <v>7.342837323424084E-2</v>
      </c>
      <c r="T58" s="19">
        <f t="shared" si="97"/>
        <v>6.6962602388628946E-3</v>
      </c>
      <c r="U58" s="19">
        <f t="shared" si="98"/>
        <v>6.5711356429269688E-2</v>
      </c>
      <c r="V58" s="19">
        <f t="shared" si="99"/>
        <v>0.30719557195571956</v>
      </c>
      <c r="W58" s="19">
        <f t="shared" si="100"/>
        <v>0</v>
      </c>
      <c r="X58" s="19">
        <f t="shared" si="101"/>
        <v>0</v>
      </c>
      <c r="Y58" s="19">
        <f t="shared" si="102"/>
        <v>0</v>
      </c>
      <c r="Z58" s="19">
        <f t="shared" si="103"/>
        <v>0</v>
      </c>
      <c r="AA58" s="19">
        <f t="shared" si="104"/>
        <v>0</v>
      </c>
      <c r="AB58" s="19">
        <f t="shared" si="105"/>
        <v>0</v>
      </c>
      <c r="AC58" s="19">
        <f t="shared" si="106"/>
        <v>0</v>
      </c>
      <c r="AD58" s="19">
        <f t="shared" si="107"/>
        <v>0</v>
      </c>
      <c r="AE58" s="19">
        <f t="shared" si="108"/>
        <v>0</v>
      </c>
      <c r="AF58" s="19">
        <f t="shared" si="109"/>
        <v>0</v>
      </c>
      <c r="AG58" s="19">
        <f t="shared" si="110"/>
        <v>0</v>
      </c>
    </row>
    <row r="59" spans="1:33" outlineLevel="2">
      <c r="A59" t="s">
        <v>7</v>
      </c>
      <c r="B59">
        <v>165</v>
      </c>
      <c r="C59">
        <v>39217.86</v>
      </c>
      <c r="D59">
        <v>10553.84</v>
      </c>
      <c r="E59">
        <v>64.760000000000005</v>
      </c>
      <c r="F59">
        <v>3.64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 s="19">
        <f t="shared" si="111"/>
        <v>0.60080943650130292</v>
      </c>
      <c r="T59" s="19">
        <f t="shared" si="97"/>
        <v>0.5451346741693982</v>
      </c>
      <c r="U59" s="19">
        <f t="shared" si="98"/>
        <v>7.72036908991202E-2</v>
      </c>
      <c r="V59" s="19">
        <f t="shared" si="99"/>
        <v>1.3991389913899139E-2</v>
      </c>
      <c r="W59" s="19">
        <f t="shared" si="100"/>
        <v>0</v>
      </c>
      <c r="X59" s="19">
        <f t="shared" si="101"/>
        <v>0</v>
      </c>
      <c r="Y59" s="19">
        <f t="shared" si="102"/>
        <v>0</v>
      </c>
      <c r="Z59" s="19">
        <f t="shared" si="103"/>
        <v>0</v>
      </c>
      <c r="AA59" s="19">
        <f t="shared" si="104"/>
        <v>0</v>
      </c>
      <c r="AB59" s="19">
        <f t="shared" si="105"/>
        <v>0</v>
      </c>
      <c r="AC59" s="19">
        <f t="shared" si="106"/>
        <v>0</v>
      </c>
      <c r="AD59" s="19">
        <f t="shared" si="107"/>
        <v>0</v>
      </c>
      <c r="AE59" s="19">
        <f t="shared" si="108"/>
        <v>0</v>
      </c>
      <c r="AF59" s="19">
        <f t="shared" si="109"/>
        <v>0</v>
      </c>
      <c r="AG59" s="19">
        <f t="shared" si="110"/>
        <v>0</v>
      </c>
    </row>
    <row r="60" spans="1:33" outlineLevel="2">
      <c r="A60" t="s">
        <v>7</v>
      </c>
      <c r="B60">
        <v>166</v>
      </c>
      <c r="C60">
        <v>5064.4799999999996</v>
      </c>
      <c r="D60">
        <v>1317.34</v>
      </c>
      <c r="E60">
        <v>122.62</v>
      </c>
      <c r="F60">
        <v>27.88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s="19">
        <f t="shared" si="111"/>
        <v>7.7586777426716241E-2</v>
      </c>
      <c r="T60" s="19">
        <f t="shared" si="97"/>
        <v>6.8044210606785296E-2</v>
      </c>
      <c r="U60" s="19">
        <f t="shared" si="98"/>
        <v>0.14618154073579553</v>
      </c>
      <c r="V60" s="19">
        <f t="shared" si="99"/>
        <v>0.10716482164821647</v>
      </c>
      <c r="W60" s="19">
        <f t="shared" si="100"/>
        <v>0</v>
      </c>
      <c r="X60" s="19">
        <f t="shared" si="101"/>
        <v>0</v>
      </c>
      <c r="Y60" s="19">
        <f t="shared" si="102"/>
        <v>0</v>
      </c>
      <c r="Z60" s="19">
        <f t="shared" si="103"/>
        <v>0</v>
      </c>
      <c r="AA60" s="19">
        <f t="shared" si="104"/>
        <v>0</v>
      </c>
      <c r="AB60" s="19">
        <f t="shared" si="105"/>
        <v>0</v>
      </c>
      <c r="AC60" s="19">
        <f t="shared" si="106"/>
        <v>0</v>
      </c>
      <c r="AD60" s="19">
        <f t="shared" si="107"/>
        <v>0</v>
      </c>
      <c r="AE60" s="19">
        <f t="shared" si="108"/>
        <v>0</v>
      </c>
      <c r="AF60" s="19">
        <f t="shared" si="109"/>
        <v>0</v>
      </c>
      <c r="AG60" s="19">
        <f t="shared" si="110"/>
        <v>0</v>
      </c>
    </row>
    <row r="61" spans="1:33" outlineLevel="2">
      <c r="A61" t="s">
        <v>7</v>
      </c>
      <c r="B61">
        <v>167</v>
      </c>
      <c r="C61">
        <v>6029.2</v>
      </c>
      <c r="D61">
        <v>158.24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s="19">
        <f t="shared" si="111"/>
        <v>9.2366086638935807E-2</v>
      </c>
      <c r="T61" s="19">
        <f t="shared" si="97"/>
        <v>8.1735283878252435E-3</v>
      </c>
      <c r="U61" s="19">
        <f t="shared" si="98"/>
        <v>2.3843017572303953E-3</v>
      </c>
      <c r="V61" s="19">
        <f t="shared" si="99"/>
        <v>0</v>
      </c>
      <c r="W61" s="19">
        <f t="shared" si="100"/>
        <v>0</v>
      </c>
      <c r="X61" s="19">
        <f t="shared" si="101"/>
        <v>0</v>
      </c>
      <c r="Y61" s="19">
        <f t="shared" si="102"/>
        <v>0</v>
      </c>
      <c r="Z61" s="19">
        <f t="shared" si="103"/>
        <v>0</v>
      </c>
      <c r="AA61" s="19">
        <f t="shared" si="104"/>
        <v>0</v>
      </c>
      <c r="AB61" s="19">
        <f t="shared" si="105"/>
        <v>0</v>
      </c>
      <c r="AC61" s="19">
        <f t="shared" si="106"/>
        <v>0</v>
      </c>
      <c r="AD61" s="19">
        <f t="shared" si="107"/>
        <v>0</v>
      </c>
      <c r="AE61" s="19">
        <f t="shared" si="108"/>
        <v>0</v>
      </c>
      <c r="AF61" s="19">
        <f t="shared" si="109"/>
        <v>0</v>
      </c>
      <c r="AG61" s="19">
        <f t="shared" si="110"/>
        <v>0</v>
      </c>
    </row>
    <row r="62" spans="1:33" outlineLevel="2">
      <c r="A62" t="s">
        <v>7</v>
      </c>
      <c r="B62">
        <v>172</v>
      </c>
      <c r="C62">
        <v>22.8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s="19">
        <f t="shared" si="111"/>
        <v>3.492912451681378E-4</v>
      </c>
      <c r="T62" s="19">
        <f t="shared" si="97"/>
        <v>0</v>
      </c>
      <c r="U62" s="19">
        <f t="shared" si="98"/>
        <v>0</v>
      </c>
      <c r="V62" s="19">
        <f t="shared" si="99"/>
        <v>0</v>
      </c>
      <c r="W62" s="19">
        <f t="shared" si="100"/>
        <v>0</v>
      </c>
      <c r="X62" s="19">
        <f t="shared" si="101"/>
        <v>0</v>
      </c>
      <c r="Y62" s="19">
        <f t="shared" si="102"/>
        <v>0</v>
      </c>
      <c r="Z62" s="19">
        <f t="shared" si="103"/>
        <v>0</v>
      </c>
      <c r="AA62" s="19">
        <f t="shared" si="104"/>
        <v>0</v>
      </c>
      <c r="AB62" s="19">
        <f t="shared" si="105"/>
        <v>0</v>
      </c>
      <c r="AC62" s="19">
        <f t="shared" si="106"/>
        <v>0</v>
      </c>
      <c r="AD62" s="19">
        <f t="shared" si="107"/>
        <v>0</v>
      </c>
      <c r="AE62" s="19">
        <f t="shared" si="108"/>
        <v>0</v>
      </c>
      <c r="AF62" s="19">
        <f t="shared" si="109"/>
        <v>0</v>
      </c>
      <c r="AG62" s="19">
        <f t="shared" si="110"/>
        <v>0</v>
      </c>
    </row>
    <row r="63" spans="1:33" outlineLevel="2">
      <c r="A63" t="s">
        <v>7</v>
      </c>
      <c r="B63">
        <v>174</v>
      </c>
      <c r="C63">
        <v>1335.22</v>
      </c>
      <c r="D63">
        <v>0</v>
      </c>
      <c r="E63">
        <v>0</v>
      </c>
      <c r="F63">
        <v>0</v>
      </c>
      <c r="G63">
        <v>0</v>
      </c>
      <c r="H63">
        <v>4159.5200000000004</v>
      </c>
      <c r="I63">
        <v>11815.76</v>
      </c>
      <c r="J63">
        <v>4457.4399999999996</v>
      </c>
      <c r="K63">
        <v>0</v>
      </c>
      <c r="L63">
        <v>0</v>
      </c>
      <c r="M63">
        <v>0</v>
      </c>
      <c r="N63">
        <v>9298.64</v>
      </c>
      <c r="O63">
        <v>6548.04</v>
      </c>
      <c r="P63">
        <v>0</v>
      </c>
      <c r="Q63">
        <v>0</v>
      </c>
      <c r="S63" s="19">
        <f t="shared" si="111"/>
        <v>2.0455291946201798E-2</v>
      </c>
      <c r="T63" s="19">
        <f t="shared" si="97"/>
        <v>0</v>
      </c>
      <c r="U63" s="19">
        <f t="shared" si="98"/>
        <v>0</v>
      </c>
      <c r="V63" s="19">
        <f t="shared" si="99"/>
        <v>0</v>
      </c>
      <c r="W63" s="19">
        <f t="shared" si="100"/>
        <v>0</v>
      </c>
      <c r="X63" s="19">
        <f t="shared" si="101"/>
        <v>0.28941025855111191</v>
      </c>
      <c r="Y63" s="19">
        <f t="shared" si="102"/>
        <v>0.77781727505641529</v>
      </c>
      <c r="Z63" s="19">
        <f t="shared" si="103"/>
        <v>1</v>
      </c>
      <c r="AA63" s="19">
        <f t="shared" si="104"/>
        <v>0</v>
      </c>
      <c r="AB63" s="19">
        <f t="shared" si="105"/>
        <v>0</v>
      </c>
      <c r="AC63" s="19">
        <f t="shared" si="106"/>
        <v>0</v>
      </c>
      <c r="AD63" s="19">
        <f t="shared" si="107"/>
        <v>0.88547007244775922</v>
      </c>
      <c r="AE63" s="19">
        <f t="shared" si="108"/>
        <v>1</v>
      </c>
      <c r="AF63" s="19">
        <f t="shared" si="109"/>
        <v>0</v>
      </c>
      <c r="AG63" s="19">
        <f t="shared" si="110"/>
        <v>0</v>
      </c>
    </row>
    <row r="64" spans="1:33" outlineLevel="2">
      <c r="A64" t="s">
        <v>7</v>
      </c>
      <c r="B64">
        <v>175</v>
      </c>
      <c r="C64">
        <v>0</v>
      </c>
      <c r="D64">
        <v>0</v>
      </c>
      <c r="E64">
        <v>0</v>
      </c>
      <c r="F64">
        <v>0</v>
      </c>
      <c r="G64">
        <v>0</v>
      </c>
      <c r="H64">
        <v>7100.24</v>
      </c>
      <c r="I64">
        <v>3291.76</v>
      </c>
      <c r="J64">
        <v>0</v>
      </c>
      <c r="K64">
        <v>0</v>
      </c>
      <c r="L64">
        <v>0</v>
      </c>
      <c r="M64">
        <v>0.4</v>
      </c>
      <c r="N64">
        <v>1202.72</v>
      </c>
      <c r="O64">
        <v>0</v>
      </c>
      <c r="P64">
        <v>0</v>
      </c>
      <c r="Q64">
        <v>0</v>
      </c>
      <c r="S64" s="19">
        <f t="shared" si="111"/>
        <v>0</v>
      </c>
      <c r="T64" s="19">
        <f t="shared" si="97"/>
        <v>0</v>
      </c>
      <c r="U64" s="19">
        <f t="shared" si="98"/>
        <v>0</v>
      </c>
      <c r="V64" s="19">
        <f t="shared" si="99"/>
        <v>0</v>
      </c>
      <c r="W64" s="19">
        <f t="shared" si="100"/>
        <v>0</v>
      </c>
      <c r="X64" s="19">
        <f t="shared" si="101"/>
        <v>0.49401909214884082</v>
      </c>
      <c r="Y64" s="19">
        <f t="shared" si="102"/>
        <v>0.21669260321297198</v>
      </c>
      <c r="Z64" s="19">
        <f t="shared" si="103"/>
        <v>0</v>
      </c>
      <c r="AA64" s="19">
        <f t="shared" si="104"/>
        <v>0</v>
      </c>
      <c r="AB64" s="19">
        <f t="shared" si="105"/>
        <v>0</v>
      </c>
      <c r="AC64" s="19">
        <f t="shared" si="106"/>
        <v>1</v>
      </c>
      <c r="AD64" s="19">
        <f t="shared" si="107"/>
        <v>0.11452992755224087</v>
      </c>
      <c r="AE64" s="19">
        <f t="shared" si="108"/>
        <v>0</v>
      </c>
      <c r="AF64" s="19">
        <f t="shared" si="109"/>
        <v>0</v>
      </c>
      <c r="AG64" s="19">
        <f t="shared" si="110"/>
        <v>0</v>
      </c>
    </row>
    <row r="65" spans="1:33" outlineLevel="2">
      <c r="A65" t="s">
        <v>7</v>
      </c>
      <c r="B65">
        <v>256</v>
      </c>
      <c r="C65">
        <v>0</v>
      </c>
      <c r="D65">
        <v>0</v>
      </c>
      <c r="E65">
        <v>0</v>
      </c>
      <c r="F65">
        <v>0</v>
      </c>
      <c r="G65">
        <v>0</v>
      </c>
      <c r="H65">
        <v>3112.64</v>
      </c>
      <c r="I65">
        <v>83.4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 s="19">
        <f t="shared" si="111"/>
        <v>0</v>
      </c>
      <c r="T65" s="19">
        <f t="shared" si="97"/>
        <v>0</v>
      </c>
      <c r="U65" s="19">
        <f t="shared" si="98"/>
        <v>0</v>
      </c>
      <c r="V65" s="19">
        <f t="shared" si="99"/>
        <v>0</v>
      </c>
      <c r="W65" s="19">
        <f t="shared" si="100"/>
        <v>0</v>
      </c>
      <c r="X65" s="19">
        <f t="shared" si="101"/>
        <v>0.2165706493000473</v>
      </c>
      <c r="Y65" s="19">
        <f t="shared" si="102"/>
        <v>5.490121730612761E-3</v>
      </c>
      <c r="Z65" s="19">
        <f t="shared" si="103"/>
        <v>0</v>
      </c>
      <c r="AA65" s="19">
        <f t="shared" si="104"/>
        <v>0</v>
      </c>
      <c r="AB65" s="19">
        <f t="shared" si="105"/>
        <v>0</v>
      </c>
      <c r="AC65" s="19">
        <f t="shared" si="106"/>
        <v>0</v>
      </c>
      <c r="AD65" s="19">
        <f t="shared" si="107"/>
        <v>0</v>
      </c>
      <c r="AE65" s="19">
        <f t="shared" si="108"/>
        <v>0</v>
      </c>
      <c r="AF65" s="19">
        <f t="shared" si="109"/>
        <v>0</v>
      </c>
      <c r="AG65" s="19">
        <f t="shared" si="110"/>
        <v>0</v>
      </c>
    </row>
    <row r="66" spans="1:33" outlineLevel="1">
      <c r="A66" s="24" t="s">
        <v>61</v>
      </c>
      <c r="B66"/>
      <c r="C66">
        <f t="shared" ref="C66:Q66" si="112">SUBTOTAL(9,C55:C65)</f>
        <v>65275.039999999994</v>
      </c>
      <c r="D66">
        <f t="shared" si="112"/>
        <v>19360.060000000001</v>
      </c>
      <c r="E66">
        <f t="shared" si="112"/>
        <v>838.81999999999994</v>
      </c>
      <c r="F66">
        <f t="shared" si="112"/>
        <v>260.16000000000003</v>
      </c>
      <c r="G66">
        <f t="shared" si="112"/>
        <v>5.04</v>
      </c>
      <c r="H66">
        <f t="shared" si="112"/>
        <v>14372.4</v>
      </c>
      <c r="I66">
        <f t="shared" si="112"/>
        <v>15190.92</v>
      </c>
      <c r="J66">
        <f t="shared" si="112"/>
        <v>4457.4399999999996</v>
      </c>
      <c r="K66">
        <f t="shared" si="112"/>
        <v>0</v>
      </c>
      <c r="L66">
        <f t="shared" si="112"/>
        <v>0</v>
      </c>
      <c r="M66">
        <f t="shared" si="112"/>
        <v>0.4</v>
      </c>
      <c r="N66">
        <f t="shared" si="112"/>
        <v>10501.359999999999</v>
      </c>
      <c r="O66">
        <f t="shared" si="112"/>
        <v>6548.04</v>
      </c>
      <c r="P66">
        <f t="shared" si="112"/>
        <v>0</v>
      </c>
      <c r="Q66">
        <f t="shared" si="112"/>
        <v>0</v>
      </c>
    </row>
    <row r="67" spans="1:33" outlineLevel="2">
      <c r="A67" t="s">
        <v>8</v>
      </c>
      <c r="B67">
        <v>270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856.92</v>
      </c>
      <c r="O67">
        <v>0</v>
      </c>
      <c r="P67">
        <v>0</v>
      </c>
      <c r="Q67">
        <v>0</v>
      </c>
      <c r="S67" s="19">
        <f>IF(C$73&gt;0, C67/C$73, 0)</f>
        <v>0</v>
      </c>
      <c r="T67" s="19">
        <f t="shared" ref="T67:T72" si="113">IF(D$73&gt;0, D67/D$73, 0)</f>
        <v>0</v>
      </c>
      <c r="U67" s="19">
        <f t="shared" ref="U67:U72" si="114">IF(E$73&gt;0, E67/E$73, 0)</f>
        <v>0</v>
      </c>
      <c r="V67" s="19">
        <f t="shared" ref="V67:V72" si="115">IF(F$73&gt;0, F67/F$73, 0)</f>
        <v>0</v>
      </c>
      <c r="W67" s="19">
        <f t="shared" ref="W67:W72" si="116">IF(G$73&gt;0, G67/G$73, 0)</f>
        <v>0</v>
      </c>
      <c r="X67" s="19">
        <f t="shared" ref="X67:X72" si="117">IF(H$73&gt;0, H67/H$73, 0)</f>
        <v>0</v>
      </c>
      <c r="Y67" s="19">
        <f t="shared" ref="Y67:Y72" si="118">IF(I$73&gt;0, I67/I$73, 0)</f>
        <v>0</v>
      </c>
      <c r="Z67" s="19">
        <f t="shared" ref="Z67:Z72" si="119">IF(J$73&gt;0, J67/J$73, 0)</f>
        <v>0</v>
      </c>
      <c r="AA67" s="19">
        <f t="shared" ref="AA67:AA72" si="120">IF(K$73&gt;0, K67/K$73, 0)</f>
        <v>0</v>
      </c>
      <c r="AB67" s="19">
        <f t="shared" ref="AB67:AB72" si="121">IF(L$73&gt;0, L67/L$73, 0)</f>
        <v>0</v>
      </c>
      <c r="AC67" s="19">
        <f t="shared" ref="AC67:AC72" si="122">IF(M$73&gt;0, M67/M$73, 0)</f>
        <v>0</v>
      </c>
      <c r="AD67" s="19">
        <f t="shared" ref="AD67:AD72" si="123">IF(N$73&gt;0, N67/N$73, 0)</f>
        <v>1.5910822746171022E-2</v>
      </c>
      <c r="AE67" s="19">
        <f t="shared" ref="AE67:AE72" si="124">IF(O$73&gt;0, O67/O$73, 0)</f>
        <v>0</v>
      </c>
      <c r="AF67" s="19">
        <f t="shared" ref="AF67:AF72" si="125">IF(P$73&gt;0, P67/P$73, 0)</f>
        <v>0</v>
      </c>
      <c r="AG67" s="19">
        <f t="shared" ref="AG67:AG72" si="126">IF(Q$73&gt;0, Q67/Q$73, 0)</f>
        <v>0</v>
      </c>
    </row>
    <row r="68" spans="1:33" outlineLevel="2">
      <c r="A68" t="s">
        <v>8</v>
      </c>
      <c r="B68">
        <v>309</v>
      </c>
      <c r="C68">
        <v>0</v>
      </c>
      <c r="D68">
        <v>0</v>
      </c>
      <c r="E68">
        <v>0</v>
      </c>
      <c r="F68">
        <v>0</v>
      </c>
      <c r="G68">
        <v>0</v>
      </c>
      <c r="H68">
        <v>9328.48</v>
      </c>
      <c r="I68">
        <v>1816</v>
      </c>
      <c r="J68">
        <v>0</v>
      </c>
      <c r="K68">
        <v>0</v>
      </c>
      <c r="L68">
        <v>0</v>
      </c>
      <c r="M68">
        <v>630.76</v>
      </c>
      <c r="N68">
        <v>9036.9599999999991</v>
      </c>
      <c r="O68">
        <v>63.56</v>
      </c>
      <c r="P68">
        <v>0</v>
      </c>
      <c r="Q68">
        <v>0</v>
      </c>
      <c r="S68" s="19">
        <f t="shared" ref="S68:S72" si="127">IF(C$73&gt;0, C68/C$73, 0)</f>
        <v>0</v>
      </c>
      <c r="T68" s="19">
        <f t="shared" si="113"/>
        <v>0</v>
      </c>
      <c r="U68" s="19">
        <f t="shared" si="114"/>
        <v>0</v>
      </c>
      <c r="V68" s="19">
        <f t="shared" si="115"/>
        <v>0</v>
      </c>
      <c r="W68" s="19">
        <f t="shared" si="116"/>
        <v>0</v>
      </c>
      <c r="X68" s="19">
        <f t="shared" si="117"/>
        <v>0.21541366162213288</v>
      </c>
      <c r="Y68" s="19">
        <f t="shared" si="118"/>
        <v>0.29673008673145929</v>
      </c>
      <c r="Z68" s="19">
        <f t="shared" si="119"/>
        <v>0</v>
      </c>
      <c r="AA68" s="19">
        <f t="shared" si="120"/>
        <v>0</v>
      </c>
      <c r="AB68" s="19">
        <f t="shared" si="121"/>
        <v>0</v>
      </c>
      <c r="AC68" s="19">
        <f t="shared" si="122"/>
        <v>2.251228474920838E-2</v>
      </c>
      <c r="AD68" s="19">
        <f t="shared" si="123"/>
        <v>0.16779333977995339</v>
      </c>
      <c r="AE68" s="19">
        <f t="shared" si="124"/>
        <v>5.7294295810196877E-2</v>
      </c>
      <c r="AF68" s="19">
        <f t="shared" si="125"/>
        <v>0</v>
      </c>
      <c r="AG68" s="19">
        <f t="shared" si="126"/>
        <v>0</v>
      </c>
    </row>
    <row r="69" spans="1:33" outlineLevel="2">
      <c r="A69" t="s">
        <v>8</v>
      </c>
      <c r="B69">
        <v>310</v>
      </c>
      <c r="C69">
        <v>0</v>
      </c>
      <c r="D69">
        <v>0</v>
      </c>
      <c r="E69">
        <v>0</v>
      </c>
      <c r="F69">
        <v>0</v>
      </c>
      <c r="G69">
        <v>0</v>
      </c>
      <c r="H69">
        <v>2369.3200000000002</v>
      </c>
      <c r="I69">
        <v>1926.8</v>
      </c>
      <c r="J69">
        <v>0.12</v>
      </c>
      <c r="K69">
        <v>0</v>
      </c>
      <c r="L69">
        <v>0</v>
      </c>
      <c r="M69">
        <v>0</v>
      </c>
      <c r="N69">
        <v>2876.44</v>
      </c>
      <c r="O69">
        <v>1041.28</v>
      </c>
      <c r="P69">
        <v>0</v>
      </c>
      <c r="Q69">
        <v>0</v>
      </c>
      <c r="S69" s="19">
        <f t="shared" si="127"/>
        <v>0</v>
      </c>
      <c r="T69" s="19">
        <f t="shared" si="113"/>
        <v>0</v>
      </c>
      <c r="U69" s="19">
        <f t="shared" si="114"/>
        <v>0</v>
      </c>
      <c r="V69" s="19">
        <f t="shared" si="115"/>
        <v>0</v>
      </c>
      <c r="W69" s="19">
        <f t="shared" si="116"/>
        <v>0</v>
      </c>
      <c r="X69" s="19">
        <f t="shared" si="117"/>
        <v>5.4712439406479081E-2</v>
      </c>
      <c r="Y69" s="19">
        <f t="shared" si="118"/>
        <v>0.31483454356507473</v>
      </c>
      <c r="Z69" s="19">
        <f t="shared" si="119"/>
        <v>1</v>
      </c>
      <c r="AA69" s="19">
        <f t="shared" si="120"/>
        <v>0</v>
      </c>
      <c r="AB69" s="19">
        <f t="shared" si="121"/>
        <v>0</v>
      </c>
      <c r="AC69" s="19">
        <f t="shared" si="122"/>
        <v>0</v>
      </c>
      <c r="AD69" s="19">
        <f t="shared" si="123"/>
        <v>5.3408167600238268E-2</v>
      </c>
      <c r="AE69" s="19">
        <f t="shared" si="124"/>
        <v>0.93863128290185338</v>
      </c>
      <c r="AF69" s="19">
        <f t="shared" si="125"/>
        <v>0</v>
      </c>
      <c r="AG69" s="19">
        <f t="shared" si="126"/>
        <v>0</v>
      </c>
    </row>
    <row r="70" spans="1:33" outlineLevel="2">
      <c r="A70" t="s">
        <v>8</v>
      </c>
      <c r="B70">
        <v>311</v>
      </c>
      <c r="C70">
        <v>0</v>
      </c>
      <c r="D70">
        <v>0</v>
      </c>
      <c r="E70">
        <v>0</v>
      </c>
      <c r="F70">
        <v>0</v>
      </c>
      <c r="G70">
        <v>0</v>
      </c>
      <c r="H70">
        <v>8154.64</v>
      </c>
      <c r="I70">
        <v>1693.84</v>
      </c>
      <c r="J70">
        <v>0</v>
      </c>
      <c r="K70">
        <v>0</v>
      </c>
      <c r="L70">
        <v>0</v>
      </c>
      <c r="M70">
        <v>6728.52</v>
      </c>
      <c r="N70">
        <v>5936.48</v>
      </c>
      <c r="O70">
        <v>4.5199999999999996</v>
      </c>
      <c r="P70">
        <v>0</v>
      </c>
      <c r="Q70">
        <v>0</v>
      </c>
      <c r="S70" s="19">
        <f t="shared" si="127"/>
        <v>0</v>
      </c>
      <c r="T70" s="19">
        <f t="shared" si="113"/>
        <v>0</v>
      </c>
      <c r="U70" s="19">
        <f t="shared" si="114"/>
        <v>0</v>
      </c>
      <c r="V70" s="19">
        <f t="shared" si="115"/>
        <v>0</v>
      </c>
      <c r="W70" s="19">
        <f t="shared" si="116"/>
        <v>0</v>
      </c>
      <c r="X70" s="19">
        <f t="shared" si="117"/>
        <v>0.18830729782454483</v>
      </c>
      <c r="Y70" s="19">
        <f t="shared" si="118"/>
        <v>0.27676943287952366</v>
      </c>
      <c r="Z70" s="19">
        <f t="shared" si="119"/>
        <v>0</v>
      </c>
      <c r="AA70" s="19">
        <f t="shared" si="120"/>
        <v>0</v>
      </c>
      <c r="AB70" s="19">
        <f t="shared" si="121"/>
        <v>0</v>
      </c>
      <c r="AC70" s="19">
        <f t="shared" si="122"/>
        <v>0.24014578949322021</v>
      </c>
      <c r="AD70" s="19">
        <f t="shared" si="123"/>
        <v>0.1102253197686941</v>
      </c>
      <c r="AE70" s="19">
        <f t="shared" si="124"/>
        <v>4.0744212879498089E-3</v>
      </c>
      <c r="AF70" s="19">
        <f t="shared" si="125"/>
        <v>0</v>
      </c>
      <c r="AG70" s="19">
        <f t="shared" si="126"/>
        <v>0</v>
      </c>
    </row>
    <row r="71" spans="1:33" outlineLevel="2">
      <c r="A71" t="s">
        <v>8</v>
      </c>
      <c r="B71">
        <v>312</v>
      </c>
      <c r="C71">
        <v>0</v>
      </c>
      <c r="D71">
        <v>0</v>
      </c>
      <c r="E71">
        <v>0</v>
      </c>
      <c r="F71">
        <v>0</v>
      </c>
      <c r="G71">
        <v>0</v>
      </c>
      <c r="H71">
        <v>19456.52</v>
      </c>
      <c r="I71">
        <v>0</v>
      </c>
      <c r="J71">
        <v>0</v>
      </c>
      <c r="K71">
        <v>0</v>
      </c>
      <c r="L71">
        <v>0</v>
      </c>
      <c r="M71">
        <v>14848.76</v>
      </c>
      <c r="N71">
        <v>0</v>
      </c>
      <c r="O71">
        <v>0</v>
      </c>
      <c r="P71">
        <v>0</v>
      </c>
      <c r="Q71">
        <v>0</v>
      </c>
      <c r="S71" s="19">
        <f t="shared" si="127"/>
        <v>0</v>
      </c>
      <c r="T71" s="19">
        <f t="shared" si="113"/>
        <v>0</v>
      </c>
      <c r="U71" s="19">
        <f t="shared" si="114"/>
        <v>0</v>
      </c>
      <c r="V71" s="19">
        <f t="shared" si="115"/>
        <v>0</v>
      </c>
      <c r="W71" s="19">
        <f t="shared" si="116"/>
        <v>0</v>
      </c>
      <c r="X71" s="19">
        <f t="shared" si="117"/>
        <v>0.44929079717427289</v>
      </c>
      <c r="Y71" s="19">
        <f t="shared" si="118"/>
        <v>0</v>
      </c>
      <c r="Z71" s="19">
        <f t="shared" si="119"/>
        <v>0</v>
      </c>
      <c r="AA71" s="19">
        <f t="shared" si="120"/>
        <v>0</v>
      </c>
      <c r="AB71" s="19">
        <f t="shared" si="121"/>
        <v>0</v>
      </c>
      <c r="AC71" s="19">
        <f t="shared" si="122"/>
        <v>0.52996308150906113</v>
      </c>
      <c r="AD71" s="19">
        <f t="shared" si="123"/>
        <v>0</v>
      </c>
      <c r="AE71" s="19">
        <f t="shared" si="124"/>
        <v>0</v>
      </c>
      <c r="AF71" s="19">
        <f t="shared" si="125"/>
        <v>0</v>
      </c>
      <c r="AG71" s="19">
        <f t="shared" si="126"/>
        <v>0</v>
      </c>
    </row>
    <row r="72" spans="1:33" outlineLevel="2">
      <c r="A72" t="s">
        <v>8</v>
      </c>
      <c r="B72">
        <v>313</v>
      </c>
      <c r="C72">
        <v>0</v>
      </c>
      <c r="D72">
        <v>0</v>
      </c>
      <c r="E72">
        <v>0</v>
      </c>
      <c r="F72">
        <v>0</v>
      </c>
      <c r="G72">
        <v>0</v>
      </c>
      <c r="H72">
        <v>3996</v>
      </c>
      <c r="I72">
        <v>683.4</v>
      </c>
      <c r="J72">
        <v>0</v>
      </c>
      <c r="K72">
        <v>0</v>
      </c>
      <c r="L72">
        <v>0</v>
      </c>
      <c r="M72">
        <v>5810.44</v>
      </c>
      <c r="N72">
        <v>35150.879999999997</v>
      </c>
      <c r="O72">
        <v>0</v>
      </c>
      <c r="P72">
        <v>0</v>
      </c>
      <c r="Q72">
        <v>0</v>
      </c>
      <c r="S72" s="19">
        <f t="shared" si="127"/>
        <v>0</v>
      </c>
      <c r="T72" s="19">
        <f t="shared" si="113"/>
        <v>0</v>
      </c>
      <c r="U72" s="19">
        <f t="shared" si="114"/>
        <v>0</v>
      </c>
      <c r="V72" s="19">
        <f t="shared" si="115"/>
        <v>0</v>
      </c>
      <c r="W72" s="19">
        <f t="shared" si="116"/>
        <v>0</v>
      </c>
      <c r="X72" s="19">
        <f t="shared" si="117"/>
        <v>9.2275803972570347E-2</v>
      </c>
      <c r="Y72" s="19">
        <f t="shared" si="118"/>
        <v>0.11166593682394232</v>
      </c>
      <c r="Z72" s="19">
        <f t="shared" si="119"/>
        <v>0</v>
      </c>
      <c r="AA72" s="19">
        <f t="shared" si="120"/>
        <v>0</v>
      </c>
      <c r="AB72" s="19">
        <f t="shared" si="121"/>
        <v>0</v>
      </c>
      <c r="AC72" s="19">
        <f t="shared" si="122"/>
        <v>0.20737884424851025</v>
      </c>
      <c r="AD72" s="19">
        <f t="shared" si="123"/>
        <v>0.65266235010494333</v>
      </c>
      <c r="AE72" s="19">
        <f t="shared" si="124"/>
        <v>0</v>
      </c>
      <c r="AF72" s="19">
        <f t="shared" si="125"/>
        <v>0</v>
      </c>
      <c r="AG72" s="19">
        <f t="shared" si="126"/>
        <v>0</v>
      </c>
    </row>
    <row r="73" spans="1:33" outlineLevel="1">
      <c r="A73" s="24" t="s">
        <v>62</v>
      </c>
      <c r="B73"/>
      <c r="C73">
        <f t="shared" ref="C73:Q73" si="128">SUBTOTAL(9,C67:C72)</f>
        <v>0</v>
      </c>
      <c r="D73">
        <f t="shared" si="128"/>
        <v>0</v>
      </c>
      <c r="E73">
        <f t="shared" si="128"/>
        <v>0</v>
      </c>
      <c r="F73">
        <f t="shared" si="128"/>
        <v>0</v>
      </c>
      <c r="G73">
        <f t="shared" si="128"/>
        <v>0</v>
      </c>
      <c r="H73">
        <f t="shared" si="128"/>
        <v>43304.959999999999</v>
      </c>
      <c r="I73">
        <f t="shared" si="128"/>
        <v>6120.04</v>
      </c>
      <c r="J73">
        <f t="shared" si="128"/>
        <v>0.12</v>
      </c>
      <c r="K73">
        <f t="shared" si="128"/>
        <v>0</v>
      </c>
      <c r="L73">
        <f t="shared" si="128"/>
        <v>0</v>
      </c>
      <c r="M73">
        <f t="shared" si="128"/>
        <v>28018.48</v>
      </c>
      <c r="N73">
        <f t="shared" si="128"/>
        <v>53857.679999999993</v>
      </c>
      <c r="O73">
        <f t="shared" si="128"/>
        <v>1109.3599999999999</v>
      </c>
      <c r="P73">
        <f t="shared" si="128"/>
        <v>0</v>
      </c>
      <c r="Q73">
        <f t="shared" si="128"/>
        <v>0</v>
      </c>
    </row>
    <row r="74" spans="1:33" outlineLevel="2">
      <c r="A74" t="s">
        <v>9</v>
      </c>
      <c r="B74">
        <v>144</v>
      </c>
      <c r="C74">
        <v>157.56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S74" s="19">
        <f>IF(C$89&gt;0, C74/C$89, 0)</f>
        <v>2.8601468775096175E-3</v>
      </c>
      <c r="T74" s="19">
        <f t="shared" ref="T74:T88" si="129">IF(D$89&gt;0, D74/D$89, 0)</f>
        <v>0</v>
      </c>
      <c r="U74" s="19">
        <f t="shared" ref="U74:U88" si="130">IF(E$89&gt;0, E74/E$89, 0)</f>
        <v>0</v>
      </c>
      <c r="V74" s="19">
        <f t="shared" ref="V74:V88" si="131">IF(F$89&gt;0, F74/F$89, 0)</f>
        <v>0</v>
      </c>
      <c r="W74" s="19">
        <f t="shared" ref="W74:W88" si="132">IF(G$89&gt;0, G74/G$89, 0)</f>
        <v>0</v>
      </c>
      <c r="X74" s="19">
        <f t="shared" ref="X74:X88" si="133">IF(H$89&gt;0, H74/H$89, 0)</f>
        <v>0</v>
      </c>
      <c r="Y74" s="19">
        <f t="shared" ref="Y74:Y88" si="134">IF(I$89&gt;0, I74/I$89, 0)</f>
        <v>0</v>
      </c>
      <c r="Z74" s="19">
        <f t="shared" ref="Z74:Z88" si="135">IF(J$89&gt;0, J74/J$89, 0)</f>
        <v>0</v>
      </c>
      <c r="AA74" s="19">
        <f t="shared" ref="AA74:AA88" si="136">IF(K$89&gt;0, K74/K$89, 0)</f>
        <v>0</v>
      </c>
      <c r="AB74" s="19">
        <f t="shared" ref="AB74:AB88" si="137">IF(L$89&gt;0, L74/L$89, 0)</f>
        <v>0</v>
      </c>
      <c r="AC74" s="19">
        <f t="shared" ref="AC74:AC88" si="138">IF(M$89&gt;0, M74/M$89, 0)</f>
        <v>0</v>
      </c>
      <c r="AD74" s="19">
        <f t="shared" ref="AD74:AD88" si="139">IF(N$89&gt;0, N74/N$89, 0)</f>
        <v>0</v>
      </c>
      <c r="AE74" s="19">
        <f t="shared" ref="AE74:AE88" si="140">IF(O$89&gt;0, O74/O$89, 0)</f>
        <v>0</v>
      </c>
      <c r="AF74" s="19">
        <f t="shared" ref="AF74:AF88" si="141">IF(P$89&gt;0, P74/P$89, 0)</f>
        <v>0</v>
      </c>
      <c r="AG74" s="19">
        <f t="shared" ref="AG74:AG88" si="142">IF(Q$89&gt;0, Q74/Q$89, 0)</f>
        <v>0</v>
      </c>
    </row>
    <row r="75" spans="1:33" outlineLevel="2">
      <c r="A75" t="s">
        <v>9</v>
      </c>
      <c r="B75">
        <v>184</v>
      </c>
      <c r="C75">
        <v>114.46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S75" s="19">
        <f t="shared" ref="S75:S88" si="143">IF(C$89&gt;0, C75/C$89, 0)</f>
        <v>2.0777634653449529E-3</v>
      </c>
      <c r="T75" s="19">
        <f t="shared" si="129"/>
        <v>0</v>
      </c>
      <c r="U75" s="19">
        <f t="shared" si="130"/>
        <v>0</v>
      </c>
      <c r="V75" s="19">
        <f t="shared" si="131"/>
        <v>0</v>
      </c>
      <c r="W75" s="19">
        <f t="shared" si="132"/>
        <v>0</v>
      </c>
      <c r="X75" s="19">
        <f t="shared" si="133"/>
        <v>0</v>
      </c>
      <c r="Y75" s="19">
        <f t="shared" si="134"/>
        <v>0</v>
      </c>
      <c r="Z75" s="19">
        <f t="shared" si="135"/>
        <v>0</v>
      </c>
      <c r="AA75" s="19">
        <f t="shared" si="136"/>
        <v>0</v>
      </c>
      <c r="AB75" s="19">
        <f t="shared" si="137"/>
        <v>0</v>
      </c>
      <c r="AC75" s="19">
        <f t="shared" si="138"/>
        <v>0</v>
      </c>
      <c r="AD75" s="19">
        <f t="shared" si="139"/>
        <v>0</v>
      </c>
      <c r="AE75" s="19">
        <f t="shared" si="140"/>
        <v>0</v>
      </c>
      <c r="AF75" s="19">
        <f t="shared" si="141"/>
        <v>0</v>
      </c>
      <c r="AG75" s="19">
        <f t="shared" si="142"/>
        <v>0</v>
      </c>
    </row>
    <row r="76" spans="1:33" outlineLevel="2">
      <c r="A76" t="s">
        <v>9</v>
      </c>
      <c r="B76">
        <v>185</v>
      </c>
      <c r="C76">
        <v>0.2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s="19">
        <f t="shared" si="143"/>
        <v>3.6305494764021553E-6</v>
      </c>
      <c r="T76" s="19">
        <f t="shared" si="129"/>
        <v>0</v>
      </c>
      <c r="U76" s="19">
        <f t="shared" si="130"/>
        <v>0</v>
      </c>
      <c r="V76" s="19">
        <f t="shared" si="131"/>
        <v>0</v>
      </c>
      <c r="W76" s="19">
        <f t="shared" si="132"/>
        <v>0</v>
      </c>
      <c r="X76" s="19">
        <f t="shared" si="133"/>
        <v>0</v>
      </c>
      <c r="Y76" s="19">
        <f t="shared" si="134"/>
        <v>0</v>
      </c>
      <c r="Z76" s="19">
        <f t="shared" si="135"/>
        <v>0</v>
      </c>
      <c r="AA76" s="19">
        <f t="shared" si="136"/>
        <v>0</v>
      </c>
      <c r="AB76" s="19">
        <f t="shared" si="137"/>
        <v>0</v>
      </c>
      <c r="AC76" s="19">
        <f t="shared" si="138"/>
        <v>0</v>
      </c>
      <c r="AD76" s="19">
        <f t="shared" si="139"/>
        <v>0</v>
      </c>
      <c r="AE76" s="19">
        <f t="shared" si="140"/>
        <v>0</v>
      </c>
      <c r="AF76" s="19">
        <f t="shared" si="141"/>
        <v>0</v>
      </c>
      <c r="AG76" s="19">
        <f t="shared" si="142"/>
        <v>0</v>
      </c>
    </row>
    <row r="77" spans="1:33" outlineLevel="2">
      <c r="A77" t="s">
        <v>9</v>
      </c>
      <c r="B77">
        <v>189</v>
      </c>
      <c r="C77">
        <v>3.94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s="19">
        <f t="shared" si="143"/>
        <v>7.1521824685122446E-5</v>
      </c>
      <c r="T77" s="19">
        <f t="shared" si="129"/>
        <v>0</v>
      </c>
      <c r="U77" s="19">
        <f t="shared" si="130"/>
        <v>0</v>
      </c>
      <c r="V77" s="19">
        <f t="shared" si="131"/>
        <v>0</v>
      </c>
      <c r="W77" s="19">
        <f t="shared" si="132"/>
        <v>0</v>
      </c>
      <c r="X77" s="19">
        <f t="shared" si="133"/>
        <v>0</v>
      </c>
      <c r="Y77" s="19">
        <f t="shared" si="134"/>
        <v>0</v>
      </c>
      <c r="Z77" s="19">
        <f t="shared" si="135"/>
        <v>0</v>
      </c>
      <c r="AA77" s="19">
        <f t="shared" si="136"/>
        <v>0</v>
      </c>
      <c r="AB77" s="19">
        <f t="shared" si="137"/>
        <v>0</v>
      </c>
      <c r="AC77" s="19">
        <f t="shared" si="138"/>
        <v>0</v>
      </c>
      <c r="AD77" s="19">
        <f t="shared" si="139"/>
        <v>0</v>
      </c>
      <c r="AE77" s="19">
        <f t="shared" si="140"/>
        <v>0</v>
      </c>
      <c r="AF77" s="19">
        <f t="shared" si="141"/>
        <v>0</v>
      </c>
      <c r="AG77" s="19">
        <f t="shared" si="142"/>
        <v>0</v>
      </c>
    </row>
    <row r="78" spans="1:33" outlineLevel="2">
      <c r="A78" t="s">
        <v>9</v>
      </c>
      <c r="B78">
        <v>199</v>
      </c>
      <c r="C78">
        <v>958.68</v>
      </c>
      <c r="D78">
        <v>14.24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s="19">
        <f t="shared" si="143"/>
        <v>1.7402675860186088E-2</v>
      </c>
      <c r="T78" s="19">
        <f t="shared" si="129"/>
        <v>3.3545347467608955E-2</v>
      </c>
      <c r="U78" s="19">
        <f t="shared" si="130"/>
        <v>0</v>
      </c>
      <c r="V78" s="19">
        <f t="shared" si="131"/>
        <v>0</v>
      </c>
      <c r="W78" s="19">
        <f t="shared" si="132"/>
        <v>0</v>
      </c>
      <c r="X78" s="19">
        <f t="shared" si="133"/>
        <v>0</v>
      </c>
      <c r="Y78" s="19">
        <f t="shared" si="134"/>
        <v>0</v>
      </c>
      <c r="Z78" s="19">
        <f t="shared" si="135"/>
        <v>0</v>
      </c>
      <c r="AA78" s="19">
        <f t="shared" si="136"/>
        <v>0</v>
      </c>
      <c r="AB78" s="19">
        <f t="shared" si="137"/>
        <v>0</v>
      </c>
      <c r="AC78" s="19">
        <f t="shared" si="138"/>
        <v>0</v>
      </c>
      <c r="AD78" s="19">
        <f t="shared" si="139"/>
        <v>0</v>
      </c>
      <c r="AE78" s="19">
        <f t="shared" si="140"/>
        <v>0</v>
      </c>
      <c r="AF78" s="19">
        <f t="shared" si="141"/>
        <v>0</v>
      </c>
      <c r="AG78" s="19">
        <f t="shared" si="142"/>
        <v>0</v>
      </c>
    </row>
    <row r="79" spans="1:33" outlineLevel="2">
      <c r="A79" t="s">
        <v>9</v>
      </c>
      <c r="B79">
        <v>200</v>
      </c>
      <c r="C79">
        <v>7251.38</v>
      </c>
      <c r="D79">
        <v>74.06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s="19">
        <f t="shared" si="143"/>
        <v>0.13163246931096528</v>
      </c>
      <c r="T79" s="19">
        <f t="shared" si="129"/>
        <v>0.17446407538280331</v>
      </c>
      <c r="U79" s="19">
        <f t="shared" si="130"/>
        <v>0</v>
      </c>
      <c r="V79" s="19">
        <f t="shared" si="131"/>
        <v>0</v>
      </c>
      <c r="W79" s="19">
        <f t="shared" si="132"/>
        <v>0</v>
      </c>
      <c r="X79" s="19">
        <f t="shared" si="133"/>
        <v>0</v>
      </c>
      <c r="Y79" s="19">
        <f t="shared" si="134"/>
        <v>0</v>
      </c>
      <c r="Z79" s="19">
        <f t="shared" si="135"/>
        <v>0</v>
      </c>
      <c r="AA79" s="19">
        <f t="shared" si="136"/>
        <v>0</v>
      </c>
      <c r="AB79" s="19">
        <f t="shared" si="137"/>
        <v>0</v>
      </c>
      <c r="AC79" s="19">
        <f t="shared" si="138"/>
        <v>0</v>
      </c>
      <c r="AD79" s="19">
        <f t="shared" si="139"/>
        <v>0</v>
      </c>
      <c r="AE79" s="19">
        <f t="shared" si="140"/>
        <v>0</v>
      </c>
      <c r="AF79" s="19">
        <f t="shared" si="141"/>
        <v>0</v>
      </c>
      <c r="AG79" s="19">
        <f t="shared" si="142"/>
        <v>0</v>
      </c>
    </row>
    <row r="80" spans="1:33" outlineLevel="2">
      <c r="A80" t="s">
        <v>9</v>
      </c>
      <c r="B80">
        <v>201</v>
      </c>
      <c r="C80">
        <v>2309.6999999999998</v>
      </c>
      <c r="D80">
        <v>224.46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s="19">
        <f t="shared" si="143"/>
        <v>4.1927400628230284E-2</v>
      </c>
      <c r="T80" s="19">
        <f t="shared" si="129"/>
        <v>0.52876325088339227</v>
      </c>
      <c r="U80" s="19">
        <f t="shared" si="130"/>
        <v>0</v>
      </c>
      <c r="V80" s="19">
        <f t="shared" si="131"/>
        <v>0</v>
      </c>
      <c r="W80" s="19">
        <f t="shared" si="132"/>
        <v>0</v>
      </c>
      <c r="X80" s="19">
        <f t="shared" si="133"/>
        <v>0</v>
      </c>
      <c r="Y80" s="19">
        <f t="shared" si="134"/>
        <v>0</v>
      </c>
      <c r="Z80" s="19">
        <f t="shared" si="135"/>
        <v>0</v>
      </c>
      <c r="AA80" s="19">
        <f t="shared" si="136"/>
        <v>0</v>
      </c>
      <c r="AB80" s="19">
        <f t="shared" si="137"/>
        <v>0</v>
      </c>
      <c r="AC80" s="19">
        <f t="shared" si="138"/>
        <v>0</v>
      </c>
      <c r="AD80" s="19">
        <f t="shared" si="139"/>
        <v>0</v>
      </c>
      <c r="AE80" s="19">
        <f t="shared" si="140"/>
        <v>0</v>
      </c>
      <c r="AF80" s="19">
        <f t="shared" si="141"/>
        <v>0</v>
      </c>
      <c r="AG80" s="19">
        <f t="shared" si="142"/>
        <v>0</v>
      </c>
    </row>
    <row r="81" spans="1:33" outlineLevel="2">
      <c r="A81" t="s">
        <v>9</v>
      </c>
      <c r="B81">
        <v>202</v>
      </c>
      <c r="C81">
        <v>9844.24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S81" s="19">
        <f t="shared" si="143"/>
        <v>0.17870000188788573</v>
      </c>
      <c r="T81" s="19">
        <f t="shared" si="129"/>
        <v>0</v>
      </c>
      <c r="U81" s="19">
        <f t="shared" si="130"/>
        <v>0</v>
      </c>
      <c r="V81" s="19">
        <f t="shared" si="131"/>
        <v>0</v>
      </c>
      <c r="W81" s="19">
        <f t="shared" si="132"/>
        <v>0</v>
      </c>
      <c r="X81" s="19">
        <f t="shared" si="133"/>
        <v>0</v>
      </c>
      <c r="Y81" s="19">
        <f t="shared" si="134"/>
        <v>0</v>
      </c>
      <c r="Z81" s="19">
        <f t="shared" si="135"/>
        <v>0</v>
      </c>
      <c r="AA81" s="19">
        <f t="shared" si="136"/>
        <v>0</v>
      </c>
      <c r="AB81" s="19">
        <f t="shared" si="137"/>
        <v>0</v>
      </c>
      <c r="AC81" s="19">
        <f t="shared" si="138"/>
        <v>0</v>
      </c>
      <c r="AD81" s="19">
        <f t="shared" si="139"/>
        <v>0</v>
      </c>
      <c r="AE81" s="19">
        <f t="shared" si="140"/>
        <v>0</v>
      </c>
      <c r="AF81" s="19">
        <f t="shared" si="141"/>
        <v>0</v>
      </c>
      <c r="AG81" s="19">
        <f t="shared" si="142"/>
        <v>0</v>
      </c>
    </row>
    <row r="82" spans="1:33" outlineLevel="2">
      <c r="A82" t="s">
        <v>9</v>
      </c>
      <c r="B82">
        <v>203</v>
      </c>
      <c r="C82">
        <v>5430.6</v>
      </c>
      <c r="D82">
        <v>35.56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 s="19">
        <f t="shared" si="143"/>
        <v>9.8580309932747717E-2</v>
      </c>
      <c r="T82" s="19">
        <f t="shared" si="129"/>
        <v>8.3769140164899891E-2</v>
      </c>
      <c r="U82" s="19">
        <f t="shared" si="130"/>
        <v>0</v>
      </c>
      <c r="V82" s="19">
        <f t="shared" si="131"/>
        <v>0</v>
      </c>
      <c r="W82" s="19">
        <f t="shared" si="132"/>
        <v>0</v>
      </c>
      <c r="X82" s="19">
        <f t="shared" si="133"/>
        <v>0</v>
      </c>
      <c r="Y82" s="19">
        <f t="shared" si="134"/>
        <v>0</v>
      </c>
      <c r="Z82" s="19">
        <f t="shared" si="135"/>
        <v>0</v>
      </c>
      <c r="AA82" s="19">
        <f t="shared" si="136"/>
        <v>0</v>
      </c>
      <c r="AB82" s="19">
        <f t="shared" si="137"/>
        <v>0</v>
      </c>
      <c r="AC82" s="19">
        <f t="shared" si="138"/>
        <v>0</v>
      </c>
      <c r="AD82" s="19">
        <f t="shared" si="139"/>
        <v>0</v>
      </c>
      <c r="AE82" s="19">
        <f t="shared" si="140"/>
        <v>0</v>
      </c>
      <c r="AF82" s="19">
        <f t="shared" si="141"/>
        <v>0</v>
      </c>
      <c r="AG82" s="19">
        <f t="shared" si="142"/>
        <v>0</v>
      </c>
    </row>
    <row r="83" spans="1:33" outlineLevel="2">
      <c r="A83" t="s">
        <v>9</v>
      </c>
      <c r="B83">
        <v>204</v>
      </c>
      <c r="C83">
        <v>850.28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S83" s="19">
        <f t="shared" si="143"/>
        <v>1.543491804397612E-2</v>
      </c>
      <c r="T83" s="19">
        <f t="shared" si="129"/>
        <v>0</v>
      </c>
      <c r="U83" s="19">
        <f t="shared" si="130"/>
        <v>0</v>
      </c>
      <c r="V83" s="19">
        <f t="shared" si="131"/>
        <v>0</v>
      </c>
      <c r="W83" s="19">
        <f t="shared" si="132"/>
        <v>0</v>
      </c>
      <c r="X83" s="19">
        <f t="shared" si="133"/>
        <v>0</v>
      </c>
      <c r="Y83" s="19">
        <f t="shared" si="134"/>
        <v>0</v>
      </c>
      <c r="Z83" s="19">
        <f t="shared" si="135"/>
        <v>0</v>
      </c>
      <c r="AA83" s="19">
        <f t="shared" si="136"/>
        <v>0</v>
      </c>
      <c r="AB83" s="19">
        <f t="shared" si="137"/>
        <v>0</v>
      </c>
      <c r="AC83" s="19">
        <f t="shared" si="138"/>
        <v>0</v>
      </c>
      <c r="AD83" s="19">
        <f t="shared" si="139"/>
        <v>0</v>
      </c>
      <c r="AE83" s="19">
        <f t="shared" si="140"/>
        <v>0</v>
      </c>
      <c r="AF83" s="19">
        <f t="shared" si="141"/>
        <v>0</v>
      </c>
      <c r="AG83" s="19">
        <f t="shared" si="142"/>
        <v>0</v>
      </c>
    </row>
    <row r="84" spans="1:33" outlineLevel="2">
      <c r="A84" t="s">
        <v>9</v>
      </c>
      <c r="B84">
        <v>205</v>
      </c>
      <c r="C84">
        <v>6406.52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s="19">
        <f t="shared" si="143"/>
        <v>0.11629593915779968</v>
      </c>
      <c r="T84" s="19">
        <f t="shared" si="129"/>
        <v>0</v>
      </c>
      <c r="U84" s="19">
        <f t="shared" si="130"/>
        <v>0</v>
      </c>
      <c r="V84" s="19">
        <f t="shared" si="131"/>
        <v>0</v>
      </c>
      <c r="W84" s="19">
        <f t="shared" si="132"/>
        <v>0</v>
      </c>
      <c r="X84" s="19">
        <f t="shared" si="133"/>
        <v>0</v>
      </c>
      <c r="Y84" s="19">
        <f t="shared" si="134"/>
        <v>0</v>
      </c>
      <c r="Z84" s="19">
        <f t="shared" si="135"/>
        <v>0</v>
      </c>
      <c r="AA84" s="19">
        <f t="shared" si="136"/>
        <v>0</v>
      </c>
      <c r="AB84" s="19">
        <f t="shared" si="137"/>
        <v>0</v>
      </c>
      <c r="AC84" s="19">
        <f t="shared" si="138"/>
        <v>0</v>
      </c>
      <c r="AD84" s="19">
        <f t="shared" si="139"/>
        <v>0</v>
      </c>
      <c r="AE84" s="19">
        <f t="shared" si="140"/>
        <v>0</v>
      </c>
      <c r="AF84" s="19">
        <f t="shared" si="141"/>
        <v>0</v>
      </c>
      <c r="AG84" s="19">
        <f t="shared" si="142"/>
        <v>0</v>
      </c>
    </row>
    <row r="85" spans="1:33" outlineLevel="2">
      <c r="A85" t="s">
        <v>9</v>
      </c>
      <c r="B85">
        <v>207</v>
      </c>
      <c r="C85">
        <v>1913.4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S85" s="19">
        <f t="shared" si="143"/>
        <v>3.473346684073942E-2</v>
      </c>
      <c r="T85" s="19">
        <f t="shared" si="129"/>
        <v>0</v>
      </c>
      <c r="U85" s="19">
        <f t="shared" si="130"/>
        <v>0</v>
      </c>
      <c r="V85" s="19">
        <f t="shared" si="131"/>
        <v>0</v>
      </c>
      <c r="W85" s="19">
        <f t="shared" si="132"/>
        <v>0</v>
      </c>
      <c r="X85" s="19">
        <f t="shared" si="133"/>
        <v>0</v>
      </c>
      <c r="Y85" s="19">
        <f t="shared" si="134"/>
        <v>0</v>
      </c>
      <c r="Z85" s="19">
        <f t="shared" si="135"/>
        <v>0</v>
      </c>
      <c r="AA85" s="19">
        <f t="shared" si="136"/>
        <v>0</v>
      </c>
      <c r="AB85" s="19">
        <f t="shared" si="137"/>
        <v>0</v>
      </c>
      <c r="AC85" s="19">
        <f t="shared" si="138"/>
        <v>0</v>
      </c>
      <c r="AD85" s="19">
        <f t="shared" si="139"/>
        <v>0</v>
      </c>
      <c r="AE85" s="19">
        <f t="shared" si="140"/>
        <v>0</v>
      </c>
      <c r="AF85" s="19">
        <f t="shared" si="141"/>
        <v>0</v>
      </c>
      <c r="AG85" s="19">
        <f t="shared" si="142"/>
        <v>0</v>
      </c>
    </row>
    <row r="86" spans="1:33" outlineLevel="2">
      <c r="A86" t="s">
        <v>9</v>
      </c>
      <c r="B86">
        <v>208</v>
      </c>
      <c r="C86">
        <v>4863.2</v>
      </c>
      <c r="D86">
        <v>70.38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S86" s="19">
        <f t="shared" si="143"/>
        <v>8.8280441068194798E-2</v>
      </c>
      <c r="T86" s="19">
        <f t="shared" si="129"/>
        <v>0.16579505300353356</v>
      </c>
      <c r="U86" s="19">
        <f t="shared" si="130"/>
        <v>0</v>
      </c>
      <c r="V86" s="19">
        <f t="shared" si="131"/>
        <v>0</v>
      </c>
      <c r="W86" s="19">
        <f t="shared" si="132"/>
        <v>0</v>
      </c>
      <c r="X86" s="19">
        <f t="shared" si="133"/>
        <v>0</v>
      </c>
      <c r="Y86" s="19">
        <f t="shared" si="134"/>
        <v>0</v>
      </c>
      <c r="Z86" s="19">
        <f t="shared" si="135"/>
        <v>0</v>
      </c>
      <c r="AA86" s="19">
        <f t="shared" si="136"/>
        <v>0</v>
      </c>
      <c r="AB86" s="19">
        <f t="shared" si="137"/>
        <v>0</v>
      </c>
      <c r="AC86" s="19">
        <f t="shared" si="138"/>
        <v>0</v>
      </c>
      <c r="AD86" s="19">
        <f t="shared" si="139"/>
        <v>0</v>
      </c>
      <c r="AE86" s="19">
        <f t="shared" si="140"/>
        <v>0</v>
      </c>
      <c r="AF86" s="19">
        <f t="shared" si="141"/>
        <v>0</v>
      </c>
      <c r="AG86" s="19">
        <f t="shared" si="142"/>
        <v>0</v>
      </c>
    </row>
    <row r="87" spans="1:33" outlineLevel="2">
      <c r="A87" t="s">
        <v>9</v>
      </c>
      <c r="B87">
        <v>209</v>
      </c>
      <c r="C87">
        <v>5751.42</v>
      </c>
      <c r="D87">
        <v>3.8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S87" s="19">
        <f t="shared" si="143"/>
        <v>0.10440407434784441</v>
      </c>
      <c r="T87" s="19">
        <f t="shared" si="129"/>
        <v>8.9517078916372204E-3</v>
      </c>
      <c r="U87" s="19">
        <f t="shared" si="130"/>
        <v>0</v>
      </c>
      <c r="V87" s="19">
        <f t="shared" si="131"/>
        <v>0</v>
      </c>
      <c r="W87" s="19">
        <f t="shared" si="132"/>
        <v>0</v>
      </c>
      <c r="X87" s="19">
        <f t="shared" si="133"/>
        <v>0</v>
      </c>
      <c r="Y87" s="19">
        <f t="shared" si="134"/>
        <v>0</v>
      </c>
      <c r="Z87" s="19">
        <f t="shared" si="135"/>
        <v>0</v>
      </c>
      <c r="AA87" s="19">
        <f t="shared" si="136"/>
        <v>0</v>
      </c>
      <c r="AB87" s="19">
        <f t="shared" si="137"/>
        <v>0</v>
      </c>
      <c r="AC87" s="19">
        <f t="shared" si="138"/>
        <v>0</v>
      </c>
      <c r="AD87" s="19">
        <f t="shared" si="139"/>
        <v>0</v>
      </c>
      <c r="AE87" s="19">
        <f t="shared" si="140"/>
        <v>0</v>
      </c>
      <c r="AF87" s="19">
        <f t="shared" si="141"/>
        <v>0</v>
      </c>
      <c r="AG87" s="19">
        <f t="shared" si="142"/>
        <v>0</v>
      </c>
    </row>
    <row r="88" spans="1:33" outlineLevel="2">
      <c r="A88" t="s">
        <v>9</v>
      </c>
      <c r="B88">
        <v>210</v>
      </c>
      <c r="C88">
        <v>9232.5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 s="19">
        <f t="shared" si="143"/>
        <v>0.16759524020441446</v>
      </c>
      <c r="T88" s="19">
        <f t="shared" si="129"/>
        <v>4.7114252061248524E-3</v>
      </c>
      <c r="U88" s="19">
        <f t="shared" si="130"/>
        <v>0</v>
      </c>
      <c r="V88" s="19">
        <f t="shared" si="131"/>
        <v>0</v>
      </c>
      <c r="W88" s="19">
        <f t="shared" si="132"/>
        <v>0</v>
      </c>
      <c r="X88" s="19">
        <f t="shared" si="133"/>
        <v>0</v>
      </c>
      <c r="Y88" s="19">
        <f t="shared" si="134"/>
        <v>0</v>
      </c>
      <c r="Z88" s="19">
        <f t="shared" si="135"/>
        <v>0</v>
      </c>
      <c r="AA88" s="19">
        <f t="shared" si="136"/>
        <v>0</v>
      </c>
      <c r="AB88" s="19">
        <f t="shared" si="137"/>
        <v>0</v>
      </c>
      <c r="AC88" s="19">
        <f t="shared" si="138"/>
        <v>0</v>
      </c>
      <c r="AD88" s="19">
        <f t="shared" si="139"/>
        <v>0</v>
      </c>
      <c r="AE88" s="19">
        <f t="shared" si="140"/>
        <v>0</v>
      </c>
      <c r="AF88" s="19">
        <f t="shared" si="141"/>
        <v>0</v>
      </c>
      <c r="AG88" s="19">
        <f t="shared" si="142"/>
        <v>0</v>
      </c>
    </row>
    <row r="89" spans="1:33" outlineLevel="1">
      <c r="A89" s="24" t="s">
        <v>63</v>
      </c>
      <c r="B89"/>
      <c r="C89">
        <f t="shared" ref="C89:Q89" si="144">SUBTOTAL(9,C74:C88)</f>
        <v>55088.079999999994</v>
      </c>
      <c r="D89">
        <f t="shared" si="144"/>
        <v>424.5</v>
      </c>
      <c r="E89">
        <f t="shared" si="144"/>
        <v>0</v>
      </c>
      <c r="F89">
        <f t="shared" si="144"/>
        <v>0</v>
      </c>
      <c r="G89">
        <f t="shared" si="144"/>
        <v>0</v>
      </c>
      <c r="H89">
        <f t="shared" si="144"/>
        <v>0</v>
      </c>
      <c r="I89">
        <f t="shared" si="144"/>
        <v>0</v>
      </c>
      <c r="J89">
        <f t="shared" si="144"/>
        <v>0</v>
      </c>
      <c r="K89">
        <f t="shared" si="144"/>
        <v>0</v>
      </c>
      <c r="L89">
        <f t="shared" si="144"/>
        <v>0</v>
      </c>
      <c r="M89">
        <f t="shared" si="144"/>
        <v>0</v>
      </c>
      <c r="N89">
        <f t="shared" si="144"/>
        <v>0</v>
      </c>
      <c r="O89">
        <f t="shared" si="144"/>
        <v>0</v>
      </c>
      <c r="P89">
        <f t="shared" si="144"/>
        <v>0</v>
      </c>
      <c r="Q89">
        <f t="shared" si="144"/>
        <v>0</v>
      </c>
    </row>
    <row r="90" spans="1:33" outlineLevel="2">
      <c r="A90" t="s">
        <v>10</v>
      </c>
      <c r="B90">
        <v>342</v>
      </c>
      <c r="C90">
        <v>287.74</v>
      </c>
      <c r="D90">
        <v>64.319999999999993</v>
      </c>
      <c r="E90">
        <v>2.44</v>
      </c>
      <c r="F90">
        <v>0</v>
      </c>
      <c r="G90">
        <v>0</v>
      </c>
      <c r="H90">
        <v>692.6</v>
      </c>
      <c r="I90">
        <v>1610.04</v>
      </c>
      <c r="J90">
        <v>1851.28</v>
      </c>
      <c r="K90">
        <v>530.20000000000005</v>
      </c>
      <c r="L90">
        <v>0</v>
      </c>
      <c r="M90">
        <v>0.6</v>
      </c>
      <c r="N90">
        <v>500.79999999999995</v>
      </c>
      <c r="O90">
        <v>430.52</v>
      </c>
      <c r="P90">
        <v>15589.08</v>
      </c>
      <c r="Q90">
        <v>5.12</v>
      </c>
      <c r="S90" s="19">
        <f>IF(C$90&gt;0, C90/C$90, 0)</f>
        <v>1</v>
      </c>
      <c r="T90" s="19">
        <f t="shared" ref="T90:AG90" si="145">IF(D$90&gt;0, D90/D$90, 0)</f>
        <v>1</v>
      </c>
      <c r="U90" s="19">
        <f t="shared" si="145"/>
        <v>1</v>
      </c>
      <c r="V90" s="19">
        <f t="shared" si="145"/>
        <v>0</v>
      </c>
      <c r="W90" s="19">
        <f t="shared" si="145"/>
        <v>0</v>
      </c>
      <c r="X90" s="19">
        <f t="shared" si="145"/>
        <v>1</v>
      </c>
      <c r="Y90" s="19">
        <f t="shared" si="145"/>
        <v>1</v>
      </c>
      <c r="Z90" s="19">
        <f t="shared" si="145"/>
        <v>1</v>
      </c>
      <c r="AA90" s="19">
        <f t="shared" si="145"/>
        <v>1</v>
      </c>
      <c r="AB90" s="19">
        <f t="shared" si="145"/>
        <v>0</v>
      </c>
      <c r="AC90" s="19">
        <f t="shared" si="145"/>
        <v>1</v>
      </c>
      <c r="AD90" s="19">
        <f t="shared" si="145"/>
        <v>1</v>
      </c>
      <c r="AE90" s="19">
        <f t="shared" si="145"/>
        <v>1</v>
      </c>
      <c r="AF90" s="19">
        <f t="shared" si="145"/>
        <v>1</v>
      </c>
      <c r="AG90" s="19">
        <f t="shared" si="145"/>
        <v>1</v>
      </c>
    </row>
    <row r="91" spans="1:33" outlineLevel="1">
      <c r="A91" s="24" t="s">
        <v>64</v>
      </c>
      <c r="B91"/>
      <c r="C91">
        <f t="shared" ref="C91:Q91" si="146">SUBTOTAL(9,C90:C90)</f>
        <v>287.74</v>
      </c>
      <c r="D91">
        <f t="shared" si="146"/>
        <v>64.319999999999993</v>
      </c>
      <c r="E91">
        <f t="shared" si="146"/>
        <v>2.44</v>
      </c>
      <c r="F91">
        <f t="shared" si="146"/>
        <v>0</v>
      </c>
      <c r="G91">
        <f t="shared" si="146"/>
        <v>0</v>
      </c>
      <c r="H91">
        <f t="shared" si="146"/>
        <v>692.6</v>
      </c>
      <c r="I91">
        <f t="shared" si="146"/>
        <v>1610.04</v>
      </c>
      <c r="J91">
        <f t="shared" si="146"/>
        <v>1851.28</v>
      </c>
      <c r="K91">
        <f t="shared" si="146"/>
        <v>530.20000000000005</v>
      </c>
      <c r="L91">
        <f t="shared" si="146"/>
        <v>0</v>
      </c>
      <c r="M91">
        <f t="shared" si="146"/>
        <v>0.6</v>
      </c>
      <c r="N91">
        <f t="shared" si="146"/>
        <v>500.79999999999995</v>
      </c>
      <c r="O91">
        <f t="shared" si="146"/>
        <v>430.52</v>
      </c>
      <c r="P91">
        <f t="shared" si="146"/>
        <v>15589.08</v>
      </c>
      <c r="Q91">
        <f t="shared" si="146"/>
        <v>5.12</v>
      </c>
    </row>
    <row r="92" spans="1:33" outlineLevel="2">
      <c r="A92" t="s">
        <v>11</v>
      </c>
      <c r="B92">
        <v>305</v>
      </c>
      <c r="C92">
        <v>0</v>
      </c>
      <c r="D92">
        <v>0</v>
      </c>
      <c r="E92">
        <v>0</v>
      </c>
      <c r="F92">
        <v>0</v>
      </c>
      <c r="G92">
        <v>0</v>
      </c>
      <c r="H92">
        <v>77.36</v>
      </c>
      <c r="I92">
        <v>238.68</v>
      </c>
      <c r="J92">
        <v>0</v>
      </c>
      <c r="K92">
        <v>0</v>
      </c>
      <c r="L92">
        <v>0</v>
      </c>
      <c r="M92">
        <v>0.88</v>
      </c>
      <c r="N92">
        <v>13.56</v>
      </c>
      <c r="O92">
        <v>0</v>
      </c>
      <c r="P92">
        <v>0</v>
      </c>
      <c r="Q92">
        <v>0</v>
      </c>
      <c r="S92" s="19">
        <f>IF(C$105&gt;0, C92/C$105, 0)</f>
        <v>0</v>
      </c>
      <c r="T92" s="19">
        <f t="shared" ref="T92:T104" si="147">IF(D$105&gt;0, D92/D$105, 0)</f>
        <v>0</v>
      </c>
      <c r="U92" s="19">
        <f t="shared" ref="U92:U104" si="148">IF(E$105&gt;0, E92/E$105, 0)</f>
        <v>0</v>
      </c>
      <c r="V92" s="19">
        <f t="shared" ref="V92:V104" si="149">IF(F$105&gt;0, F92/F$105, 0)</f>
        <v>0</v>
      </c>
      <c r="W92" s="19">
        <f t="shared" ref="W92:W104" si="150">IF(G$105&gt;0, G92/G$105, 0)</f>
        <v>0</v>
      </c>
      <c r="X92" s="19">
        <f t="shared" ref="X92:X104" si="151">IF(H$105&gt;0, H92/H$105, 0)</f>
        <v>2.8181738699618222E-2</v>
      </c>
      <c r="Y92" s="19">
        <f t="shared" ref="Y92:Y104" si="152">IF(I$105&gt;0, I92/I$105, 0)</f>
        <v>2.9244982478496339E-2</v>
      </c>
      <c r="Z92" s="19">
        <f t="shared" ref="Z92:Z104" si="153">IF(J$105&gt;0, J92/J$105, 0)</f>
        <v>0</v>
      </c>
      <c r="AA92" s="19">
        <f t="shared" ref="AA92:AA104" si="154">IF(K$105&gt;0, K92/K$105, 0)</f>
        <v>0</v>
      </c>
      <c r="AB92" s="19">
        <f t="shared" ref="AB92:AB104" si="155">IF(L$105&gt;0, L92/L$105, 0)</f>
        <v>0</v>
      </c>
      <c r="AC92" s="19">
        <f t="shared" ref="AC92:AC104" si="156">IF(M$105&gt;0, M92/M$105, 0)</f>
        <v>8.1481481481481474E-2</v>
      </c>
      <c r="AD92" s="19">
        <f t="shared" ref="AD92:AD104" si="157">IF(N$105&gt;0, N92/N$105, 0)</f>
        <v>9.6718972895863065E-2</v>
      </c>
      <c r="AE92" s="19">
        <f t="shared" ref="AE92:AE104" si="158">IF(O$105&gt;0, O92/O$105, 0)</f>
        <v>0</v>
      </c>
      <c r="AF92" s="19">
        <f t="shared" ref="AF92:AF104" si="159">IF(P$105&gt;0, P92/P$105, 0)</f>
        <v>0</v>
      </c>
      <c r="AG92" s="19">
        <f t="shared" ref="AG92:AG104" si="160">IF(Q$105&gt;0, Q92/Q$105, 0)</f>
        <v>0</v>
      </c>
    </row>
    <row r="93" spans="1:33" outlineLevel="2">
      <c r="A93" t="s">
        <v>11</v>
      </c>
      <c r="B93">
        <v>307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18</v>
      </c>
      <c r="J93">
        <v>169.28</v>
      </c>
      <c r="K93">
        <v>878.28</v>
      </c>
      <c r="L93">
        <v>0</v>
      </c>
      <c r="M93">
        <v>0</v>
      </c>
      <c r="N93">
        <v>0</v>
      </c>
      <c r="O93">
        <v>0</v>
      </c>
      <c r="P93">
        <v>1069.8</v>
      </c>
      <c r="Q93">
        <v>0</v>
      </c>
      <c r="S93" s="19">
        <f t="shared" ref="S93:S104" si="161">IF(C$105&gt;0, C93/C$105, 0)</f>
        <v>0</v>
      </c>
      <c r="T93" s="19">
        <f t="shared" si="147"/>
        <v>0</v>
      </c>
      <c r="U93" s="19">
        <f t="shared" si="148"/>
        <v>0</v>
      </c>
      <c r="V93" s="19">
        <f t="shared" si="149"/>
        <v>0</v>
      </c>
      <c r="W93" s="19">
        <f t="shared" si="150"/>
        <v>0</v>
      </c>
      <c r="X93" s="19">
        <f t="shared" si="151"/>
        <v>0</v>
      </c>
      <c r="Y93" s="19">
        <f t="shared" si="152"/>
        <v>2.205503957654324E-3</v>
      </c>
      <c r="Z93" s="19">
        <f t="shared" si="153"/>
        <v>1.9153221244144737E-2</v>
      </c>
      <c r="AA93" s="19">
        <f t="shared" si="154"/>
        <v>0.17144664204452287</v>
      </c>
      <c r="AB93" s="19">
        <f t="shared" si="155"/>
        <v>0</v>
      </c>
      <c r="AC93" s="19">
        <f t="shared" si="156"/>
        <v>0</v>
      </c>
      <c r="AD93" s="19">
        <f t="shared" si="157"/>
        <v>0</v>
      </c>
      <c r="AE93" s="19">
        <f t="shared" si="158"/>
        <v>0</v>
      </c>
      <c r="AF93" s="19">
        <f t="shared" si="159"/>
        <v>4.7568738561359132E-2</v>
      </c>
      <c r="AG93" s="19">
        <f t="shared" si="160"/>
        <v>0</v>
      </c>
    </row>
    <row r="94" spans="1:33" outlineLevel="2">
      <c r="A94" t="s">
        <v>11</v>
      </c>
      <c r="B94">
        <v>314</v>
      </c>
      <c r="C94">
        <v>132.38</v>
      </c>
      <c r="D94">
        <v>24.6</v>
      </c>
      <c r="E94">
        <v>0.4</v>
      </c>
      <c r="F94">
        <v>0</v>
      </c>
      <c r="G94">
        <v>0</v>
      </c>
      <c r="H94">
        <v>323.52</v>
      </c>
      <c r="I94">
        <v>2317.48</v>
      </c>
      <c r="J94">
        <v>3065.08</v>
      </c>
      <c r="K94">
        <v>1907.44</v>
      </c>
      <c r="L94">
        <v>0</v>
      </c>
      <c r="M94">
        <v>0</v>
      </c>
      <c r="N94">
        <v>3.04</v>
      </c>
      <c r="O94">
        <v>93.72</v>
      </c>
      <c r="P94">
        <v>5069.8</v>
      </c>
      <c r="Q94">
        <v>0</v>
      </c>
      <c r="S94" s="19">
        <f t="shared" si="161"/>
        <v>0.25732835704844098</v>
      </c>
      <c r="T94" s="19">
        <f t="shared" si="147"/>
        <v>0.71553228621291443</v>
      </c>
      <c r="U94" s="19">
        <f t="shared" si="148"/>
        <v>1</v>
      </c>
      <c r="V94" s="19">
        <f t="shared" si="149"/>
        <v>0</v>
      </c>
      <c r="W94" s="19">
        <f t="shared" si="150"/>
        <v>0</v>
      </c>
      <c r="X94" s="19">
        <f t="shared" si="151"/>
        <v>0.1178562061026433</v>
      </c>
      <c r="Y94" s="19">
        <f t="shared" si="152"/>
        <v>0.28395618398804129</v>
      </c>
      <c r="Z94" s="19">
        <f t="shared" si="153"/>
        <v>0.34679912199316604</v>
      </c>
      <c r="AA94" s="19">
        <f t="shared" si="154"/>
        <v>0.37234615714966152</v>
      </c>
      <c r="AB94" s="19">
        <f t="shared" si="155"/>
        <v>0</v>
      </c>
      <c r="AC94" s="19">
        <f t="shared" si="156"/>
        <v>0</v>
      </c>
      <c r="AD94" s="19">
        <f t="shared" si="157"/>
        <v>2.1683309557774609E-2</v>
      </c>
      <c r="AE94" s="19">
        <f t="shared" si="158"/>
        <v>8.9318389752973473E-2</v>
      </c>
      <c r="AF94" s="19">
        <f t="shared" si="159"/>
        <v>0.22542904352063803</v>
      </c>
      <c r="AG94" s="19">
        <f t="shared" si="160"/>
        <v>0</v>
      </c>
    </row>
    <row r="95" spans="1:33" outlineLevel="2">
      <c r="A95" t="s">
        <v>11</v>
      </c>
      <c r="B95">
        <v>315</v>
      </c>
      <c r="C95">
        <v>101.74</v>
      </c>
      <c r="D95">
        <v>1.96</v>
      </c>
      <c r="E95">
        <v>0</v>
      </c>
      <c r="F95">
        <v>0</v>
      </c>
      <c r="G95">
        <v>0</v>
      </c>
      <c r="H95">
        <v>323.44</v>
      </c>
      <c r="I95">
        <v>1015.52</v>
      </c>
      <c r="J95">
        <v>1474.6</v>
      </c>
      <c r="K95">
        <v>254.72</v>
      </c>
      <c r="L95">
        <v>0</v>
      </c>
      <c r="M95">
        <v>0</v>
      </c>
      <c r="N95">
        <v>0.08</v>
      </c>
      <c r="O95">
        <v>278.56</v>
      </c>
      <c r="P95">
        <v>4862.4399999999996</v>
      </c>
      <c r="Q95">
        <v>0</v>
      </c>
      <c r="S95" s="19">
        <f t="shared" si="161"/>
        <v>0.19776844724360468</v>
      </c>
      <c r="T95" s="19">
        <f t="shared" si="147"/>
        <v>5.7009889470622452E-2</v>
      </c>
      <c r="U95" s="19">
        <f t="shared" si="148"/>
        <v>0</v>
      </c>
      <c r="V95" s="19">
        <f t="shared" si="149"/>
        <v>0</v>
      </c>
      <c r="W95" s="19">
        <f t="shared" si="150"/>
        <v>0</v>
      </c>
      <c r="X95" s="19">
        <f t="shared" si="151"/>
        <v>0.11782706262932416</v>
      </c>
      <c r="Y95" s="19">
        <f t="shared" si="152"/>
        <v>0.12442963217095107</v>
      </c>
      <c r="Z95" s="19">
        <f t="shared" si="153"/>
        <v>0.16684392749654908</v>
      </c>
      <c r="AA95" s="19">
        <f t="shared" si="154"/>
        <v>4.9723196089607943E-2</v>
      </c>
      <c r="AB95" s="19">
        <f t="shared" si="155"/>
        <v>0</v>
      </c>
      <c r="AC95" s="19">
        <f t="shared" si="156"/>
        <v>0</v>
      </c>
      <c r="AD95" s="19">
        <f t="shared" si="157"/>
        <v>5.7061340941512136E-4</v>
      </c>
      <c r="AE95" s="19">
        <f t="shared" si="158"/>
        <v>0.26547727965843249</v>
      </c>
      <c r="AF95" s="19">
        <f t="shared" si="159"/>
        <v>0.21620876531154898</v>
      </c>
      <c r="AG95" s="19">
        <f t="shared" si="160"/>
        <v>0</v>
      </c>
    </row>
    <row r="96" spans="1:33" outlineLevel="2">
      <c r="A96" t="s">
        <v>11</v>
      </c>
      <c r="B96">
        <v>316</v>
      </c>
      <c r="C96">
        <v>205.06</v>
      </c>
      <c r="D96">
        <v>4.68</v>
      </c>
      <c r="E96">
        <v>0</v>
      </c>
      <c r="F96">
        <v>0</v>
      </c>
      <c r="G96">
        <v>0</v>
      </c>
      <c r="H96">
        <v>718.4</v>
      </c>
      <c r="I96">
        <v>944.4</v>
      </c>
      <c r="J96">
        <v>0</v>
      </c>
      <c r="K96">
        <v>0</v>
      </c>
      <c r="L96">
        <v>0</v>
      </c>
      <c r="M96">
        <v>3.96</v>
      </c>
      <c r="N96">
        <v>14.64</v>
      </c>
      <c r="O96">
        <v>0</v>
      </c>
      <c r="P96">
        <v>0</v>
      </c>
      <c r="Q96">
        <v>0</v>
      </c>
      <c r="S96" s="19">
        <f t="shared" si="161"/>
        <v>0.39860819531918201</v>
      </c>
      <c r="T96" s="19">
        <f t="shared" si="147"/>
        <v>0.13612565445026176</v>
      </c>
      <c r="U96" s="19">
        <f t="shared" si="148"/>
        <v>0</v>
      </c>
      <c r="V96" s="19">
        <f t="shared" si="149"/>
        <v>0</v>
      </c>
      <c r="W96" s="19">
        <f t="shared" si="150"/>
        <v>0</v>
      </c>
      <c r="X96" s="19">
        <f t="shared" si="151"/>
        <v>0.26170839040596861</v>
      </c>
      <c r="Y96" s="19">
        <f t="shared" si="152"/>
        <v>0.11571544097826354</v>
      </c>
      <c r="Z96" s="19">
        <f t="shared" si="153"/>
        <v>0</v>
      </c>
      <c r="AA96" s="19">
        <f t="shared" si="154"/>
        <v>0</v>
      </c>
      <c r="AB96" s="19">
        <f t="shared" si="155"/>
        <v>0</v>
      </c>
      <c r="AC96" s="19">
        <f t="shared" si="156"/>
        <v>0.36666666666666664</v>
      </c>
      <c r="AD96" s="19">
        <f t="shared" si="157"/>
        <v>0.1044222539229672</v>
      </c>
      <c r="AE96" s="19">
        <f t="shared" si="158"/>
        <v>0</v>
      </c>
      <c r="AF96" s="19">
        <f t="shared" si="159"/>
        <v>0</v>
      </c>
      <c r="AG96" s="19">
        <f t="shared" si="160"/>
        <v>0</v>
      </c>
    </row>
    <row r="97" spans="1:33" outlineLevel="2">
      <c r="A97" t="s">
        <v>11</v>
      </c>
      <c r="B97">
        <v>317</v>
      </c>
      <c r="C97">
        <v>0.2</v>
      </c>
      <c r="D97">
        <v>0</v>
      </c>
      <c r="E97">
        <v>0</v>
      </c>
      <c r="F97">
        <v>0</v>
      </c>
      <c r="G97">
        <v>0</v>
      </c>
      <c r="H97">
        <v>169</v>
      </c>
      <c r="I97">
        <v>165.96</v>
      </c>
      <c r="J97">
        <v>0</v>
      </c>
      <c r="K97">
        <v>0</v>
      </c>
      <c r="L97">
        <v>0</v>
      </c>
      <c r="M97">
        <v>2.08</v>
      </c>
      <c r="N97">
        <v>1.76</v>
      </c>
      <c r="O97">
        <v>0</v>
      </c>
      <c r="P97">
        <v>0</v>
      </c>
      <c r="Q97">
        <v>0</v>
      </c>
      <c r="S97" s="19">
        <f t="shared" si="161"/>
        <v>3.8877225721172535E-4</v>
      </c>
      <c r="T97" s="19">
        <f t="shared" si="147"/>
        <v>0</v>
      </c>
      <c r="U97" s="19">
        <f t="shared" si="148"/>
        <v>0</v>
      </c>
      <c r="V97" s="19">
        <f t="shared" si="149"/>
        <v>0</v>
      </c>
      <c r="W97" s="19">
        <f t="shared" si="150"/>
        <v>0</v>
      </c>
      <c r="X97" s="19">
        <f t="shared" si="151"/>
        <v>6.156558738670475E-2</v>
      </c>
      <c r="Y97" s="19">
        <f t="shared" si="152"/>
        <v>2.0334746489572869E-2</v>
      </c>
      <c r="Z97" s="19">
        <f t="shared" si="153"/>
        <v>0</v>
      </c>
      <c r="AA97" s="19">
        <f t="shared" si="154"/>
        <v>0</v>
      </c>
      <c r="AB97" s="19">
        <f t="shared" si="155"/>
        <v>0</v>
      </c>
      <c r="AC97" s="19">
        <f t="shared" si="156"/>
        <v>0.19259259259259259</v>
      </c>
      <c r="AD97" s="19">
        <f t="shared" si="157"/>
        <v>1.2553495007132669E-2</v>
      </c>
      <c r="AE97" s="19">
        <f t="shared" si="158"/>
        <v>0</v>
      </c>
      <c r="AF97" s="19">
        <f t="shared" si="159"/>
        <v>0</v>
      </c>
      <c r="AG97" s="19">
        <f t="shared" si="160"/>
        <v>0</v>
      </c>
    </row>
    <row r="98" spans="1:33" outlineLevel="2">
      <c r="A98" t="s">
        <v>11</v>
      </c>
      <c r="B98">
        <v>318</v>
      </c>
      <c r="C98">
        <v>16.54</v>
      </c>
      <c r="D98">
        <v>0.04</v>
      </c>
      <c r="E98">
        <v>0</v>
      </c>
      <c r="F98">
        <v>0</v>
      </c>
      <c r="G98">
        <v>0</v>
      </c>
      <c r="H98">
        <v>277.95999999999998</v>
      </c>
      <c r="I98">
        <v>1054.76</v>
      </c>
      <c r="J98">
        <v>844.44</v>
      </c>
      <c r="K98">
        <v>132.36000000000001</v>
      </c>
      <c r="L98">
        <v>0</v>
      </c>
      <c r="M98">
        <v>0</v>
      </c>
      <c r="N98">
        <v>12.76</v>
      </c>
      <c r="O98">
        <v>208.72</v>
      </c>
      <c r="P98">
        <v>500.96</v>
      </c>
      <c r="Q98">
        <v>0</v>
      </c>
      <c r="S98" s="19">
        <f t="shared" si="161"/>
        <v>3.2151465671409682E-2</v>
      </c>
      <c r="T98" s="19">
        <f t="shared" si="147"/>
        <v>1.1634671320535194E-3</v>
      </c>
      <c r="U98" s="19">
        <f t="shared" si="148"/>
        <v>0</v>
      </c>
      <c r="V98" s="19">
        <f t="shared" si="149"/>
        <v>0</v>
      </c>
      <c r="W98" s="19">
        <f t="shared" si="150"/>
        <v>0</v>
      </c>
      <c r="X98" s="19">
        <f t="shared" si="151"/>
        <v>0.10125899804738728</v>
      </c>
      <c r="Y98" s="19">
        <f t="shared" si="152"/>
        <v>0.12923763079863748</v>
      </c>
      <c r="Z98" s="19">
        <f t="shared" si="153"/>
        <v>9.5544341608019751E-2</v>
      </c>
      <c r="AA98" s="19">
        <f t="shared" si="154"/>
        <v>2.5837634400206141E-2</v>
      </c>
      <c r="AB98" s="19">
        <f t="shared" si="155"/>
        <v>0</v>
      </c>
      <c r="AC98" s="19">
        <f t="shared" si="156"/>
        <v>0</v>
      </c>
      <c r="AD98" s="19">
        <f t="shared" si="157"/>
        <v>9.1012838801711848E-2</v>
      </c>
      <c r="AE98" s="19">
        <f t="shared" si="158"/>
        <v>0.1989173528514791</v>
      </c>
      <c r="AF98" s="19">
        <f t="shared" si="159"/>
        <v>2.2275224593100086E-2</v>
      </c>
      <c r="AG98" s="19">
        <f t="shared" si="160"/>
        <v>0</v>
      </c>
    </row>
    <row r="99" spans="1:33" outlineLevel="2">
      <c r="A99" t="s">
        <v>11</v>
      </c>
      <c r="B99">
        <v>319</v>
      </c>
      <c r="C99">
        <v>0.94</v>
      </c>
      <c r="D99">
        <v>0</v>
      </c>
      <c r="E99">
        <v>0</v>
      </c>
      <c r="F99">
        <v>0</v>
      </c>
      <c r="G99">
        <v>0</v>
      </c>
      <c r="H99">
        <v>57.4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 s="19">
        <f t="shared" si="161"/>
        <v>1.8272296088951089E-3</v>
      </c>
      <c r="T99" s="19">
        <f t="shared" si="147"/>
        <v>0</v>
      </c>
      <c r="U99" s="19">
        <f t="shared" si="148"/>
        <v>0</v>
      </c>
      <c r="V99" s="19">
        <f t="shared" si="149"/>
        <v>0</v>
      </c>
      <c r="W99" s="19">
        <f t="shared" si="150"/>
        <v>0</v>
      </c>
      <c r="X99" s="19">
        <f t="shared" si="151"/>
        <v>2.0910442106490252E-2</v>
      </c>
      <c r="Y99" s="19">
        <f t="shared" si="152"/>
        <v>0</v>
      </c>
      <c r="Z99" s="19">
        <f t="shared" si="153"/>
        <v>0</v>
      </c>
      <c r="AA99" s="19">
        <f t="shared" si="154"/>
        <v>0</v>
      </c>
      <c r="AB99" s="19">
        <f t="shared" si="155"/>
        <v>0</v>
      </c>
      <c r="AC99" s="19">
        <f t="shared" si="156"/>
        <v>0</v>
      </c>
      <c r="AD99" s="19">
        <f t="shared" si="157"/>
        <v>0</v>
      </c>
      <c r="AE99" s="19">
        <f t="shared" si="158"/>
        <v>0</v>
      </c>
      <c r="AF99" s="19">
        <f t="shared" si="159"/>
        <v>0</v>
      </c>
      <c r="AG99" s="19">
        <f t="shared" si="160"/>
        <v>0</v>
      </c>
    </row>
    <row r="100" spans="1:33" outlineLevel="2">
      <c r="A100" t="s">
        <v>11</v>
      </c>
      <c r="B100">
        <v>330</v>
      </c>
      <c r="C100">
        <v>11.04</v>
      </c>
      <c r="D100">
        <v>0.42</v>
      </c>
      <c r="E100">
        <v>0</v>
      </c>
      <c r="F100">
        <v>0</v>
      </c>
      <c r="G100">
        <v>0</v>
      </c>
      <c r="H100">
        <v>399.08</v>
      </c>
      <c r="I100">
        <v>1209.1199999999999</v>
      </c>
      <c r="J100">
        <v>1472.56</v>
      </c>
      <c r="K100">
        <v>1121.76</v>
      </c>
      <c r="L100">
        <v>0</v>
      </c>
      <c r="M100">
        <v>3.88</v>
      </c>
      <c r="N100">
        <v>94.32</v>
      </c>
      <c r="O100">
        <v>457.44</v>
      </c>
      <c r="P100">
        <v>7254</v>
      </c>
      <c r="Q100">
        <v>0</v>
      </c>
      <c r="S100" s="19">
        <f t="shared" si="161"/>
        <v>2.1460228598087237E-2</v>
      </c>
      <c r="T100" s="19">
        <f t="shared" si="147"/>
        <v>1.2216404886561952E-2</v>
      </c>
      <c r="U100" s="19">
        <f t="shared" si="148"/>
        <v>0</v>
      </c>
      <c r="V100" s="19">
        <f t="shared" si="149"/>
        <v>0</v>
      </c>
      <c r="W100" s="19">
        <f t="shared" si="150"/>
        <v>0</v>
      </c>
      <c r="X100" s="19">
        <f t="shared" si="151"/>
        <v>0.14538221665258064</v>
      </c>
      <c r="Y100" s="19">
        <f t="shared" si="152"/>
        <v>0.14815105251549979</v>
      </c>
      <c r="Z100" s="19">
        <f t="shared" si="153"/>
        <v>0.16661311126700007</v>
      </c>
      <c r="AA100" s="19">
        <f t="shared" si="154"/>
        <v>0.21897570840718675</v>
      </c>
      <c r="AB100" s="19">
        <f t="shared" si="155"/>
        <v>0</v>
      </c>
      <c r="AC100" s="19">
        <f t="shared" si="156"/>
        <v>0.35925925925925922</v>
      </c>
      <c r="AD100" s="19">
        <f t="shared" si="157"/>
        <v>0.67275320970042796</v>
      </c>
      <c r="AE100" s="19">
        <f t="shared" si="158"/>
        <v>0.43595608417200366</v>
      </c>
      <c r="AF100" s="19">
        <f t="shared" si="159"/>
        <v>0.32254966304365223</v>
      </c>
      <c r="AG100" s="19">
        <f t="shared" si="160"/>
        <v>0</v>
      </c>
    </row>
    <row r="101" spans="1:33" outlineLevel="2">
      <c r="A101" t="s">
        <v>11</v>
      </c>
      <c r="B101">
        <v>331</v>
      </c>
      <c r="C101">
        <v>0.44</v>
      </c>
      <c r="D101">
        <v>0</v>
      </c>
      <c r="E101">
        <v>0</v>
      </c>
      <c r="F101">
        <v>0</v>
      </c>
      <c r="G101">
        <v>0</v>
      </c>
      <c r="H101">
        <v>40.56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S101" s="19">
        <f t="shared" si="161"/>
        <v>8.5529896586579576E-4</v>
      </c>
      <c r="T101" s="19">
        <f t="shared" si="147"/>
        <v>0</v>
      </c>
      <c r="U101" s="19">
        <f t="shared" si="148"/>
        <v>0</v>
      </c>
      <c r="V101" s="19">
        <f t="shared" si="149"/>
        <v>0</v>
      </c>
      <c r="W101" s="19">
        <f t="shared" si="150"/>
        <v>0</v>
      </c>
      <c r="X101" s="19">
        <f t="shared" si="151"/>
        <v>1.4775740972809141E-2</v>
      </c>
      <c r="Y101" s="19">
        <f t="shared" si="152"/>
        <v>0</v>
      </c>
      <c r="Z101" s="19">
        <f t="shared" si="153"/>
        <v>0</v>
      </c>
      <c r="AA101" s="19">
        <f t="shared" si="154"/>
        <v>0</v>
      </c>
      <c r="AB101" s="19">
        <f t="shared" si="155"/>
        <v>0</v>
      </c>
      <c r="AC101" s="19">
        <f t="shared" si="156"/>
        <v>0</v>
      </c>
      <c r="AD101" s="19">
        <f t="shared" si="157"/>
        <v>0</v>
      </c>
      <c r="AE101" s="19">
        <f t="shared" si="158"/>
        <v>0</v>
      </c>
      <c r="AF101" s="19">
        <f t="shared" si="159"/>
        <v>0</v>
      </c>
      <c r="AG101" s="19">
        <f t="shared" si="160"/>
        <v>0</v>
      </c>
    </row>
    <row r="102" spans="1:33" outlineLevel="2">
      <c r="A102" t="s">
        <v>11</v>
      </c>
      <c r="B102">
        <v>332</v>
      </c>
      <c r="C102">
        <v>46.1</v>
      </c>
      <c r="D102">
        <v>2.68</v>
      </c>
      <c r="E102">
        <v>0</v>
      </c>
      <c r="F102">
        <v>0</v>
      </c>
      <c r="G102">
        <v>0</v>
      </c>
      <c r="H102">
        <v>283.36</v>
      </c>
      <c r="I102">
        <v>1187.04</v>
      </c>
      <c r="J102">
        <v>1803.24</v>
      </c>
      <c r="K102">
        <v>828.2</v>
      </c>
      <c r="L102">
        <v>0</v>
      </c>
      <c r="M102">
        <v>0</v>
      </c>
      <c r="N102">
        <v>0.04</v>
      </c>
      <c r="O102">
        <v>10.84</v>
      </c>
      <c r="P102">
        <v>3732.56</v>
      </c>
      <c r="Q102">
        <v>0</v>
      </c>
      <c r="S102" s="19">
        <f t="shared" si="161"/>
        <v>8.961200528730269E-2</v>
      </c>
      <c r="T102" s="19">
        <f t="shared" si="147"/>
        <v>7.7952297847585811E-2</v>
      </c>
      <c r="U102" s="19">
        <f t="shared" si="148"/>
        <v>0</v>
      </c>
      <c r="V102" s="19">
        <f t="shared" si="149"/>
        <v>0</v>
      </c>
      <c r="W102" s="19">
        <f t="shared" si="150"/>
        <v>0</v>
      </c>
      <c r="X102" s="19">
        <f t="shared" si="151"/>
        <v>0.10322618249642992</v>
      </c>
      <c r="Y102" s="19">
        <f t="shared" si="152"/>
        <v>0.14544563432744381</v>
      </c>
      <c r="Z102" s="19">
        <f t="shared" si="153"/>
        <v>0.20402796949605126</v>
      </c>
      <c r="AA102" s="19">
        <f t="shared" si="154"/>
        <v>0.16167066190881479</v>
      </c>
      <c r="AB102" s="19">
        <f t="shared" si="155"/>
        <v>0</v>
      </c>
      <c r="AC102" s="19">
        <f t="shared" si="156"/>
        <v>0</v>
      </c>
      <c r="AD102" s="19">
        <f t="shared" si="157"/>
        <v>2.8530670470756068E-4</v>
      </c>
      <c r="AE102" s="19">
        <f t="shared" si="158"/>
        <v>1.0330893565111314E-2</v>
      </c>
      <c r="AF102" s="19">
        <f t="shared" si="159"/>
        <v>0.1659685649697015</v>
      </c>
      <c r="AG102" s="19">
        <f t="shared" si="160"/>
        <v>0</v>
      </c>
    </row>
    <row r="103" spans="1:33" outlineLevel="2">
      <c r="A103" t="s">
        <v>11</v>
      </c>
      <c r="B103">
        <v>341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74.959999999999994</v>
      </c>
      <c r="I103">
        <v>10.44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 s="19">
        <f t="shared" si="161"/>
        <v>0</v>
      </c>
      <c r="T103" s="19">
        <f t="shared" si="147"/>
        <v>0</v>
      </c>
      <c r="U103" s="19">
        <f t="shared" si="148"/>
        <v>0</v>
      </c>
      <c r="V103" s="19">
        <f t="shared" si="149"/>
        <v>0</v>
      </c>
      <c r="W103" s="19">
        <f t="shared" si="150"/>
        <v>0</v>
      </c>
      <c r="X103" s="19">
        <f t="shared" si="151"/>
        <v>2.7307434500043713E-2</v>
      </c>
      <c r="Y103" s="19">
        <f t="shared" si="152"/>
        <v>1.2791922954395079E-3</v>
      </c>
      <c r="Z103" s="19">
        <f t="shared" si="153"/>
        <v>0</v>
      </c>
      <c r="AA103" s="19">
        <f t="shared" si="154"/>
        <v>0</v>
      </c>
      <c r="AB103" s="19">
        <f t="shared" si="155"/>
        <v>0</v>
      </c>
      <c r="AC103" s="19">
        <f t="shared" si="156"/>
        <v>0</v>
      </c>
      <c r="AD103" s="19">
        <f t="shared" si="157"/>
        <v>0</v>
      </c>
      <c r="AE103" s="19">
        <f t="shared" si="158"/>
        <v>0</v>
      </c>
      <c r="AF103" s="19">
        <f t="shared" si="159"/>
        <v>0</v>
      </c>
      <c r="AG103" s="19">
        <f t="shared" si="160"/>
        <v>0</v>
      </c>
    </row>
    <row r="104" spans="1:33" outlineLevel="2">
      <c r="A104" t="s">
        <v>11</v>
      </c>
      <c r="B104">
        <v>342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S104" s="19">
        <f t="shared" si="161"/>
        <v>0</v>
      </c>
      <c r="T104" s="19">
        <f t="shared" si="147"/>
        <v>0</v>
      </c>
      <c r="U104" s="19">
        <f t="shared" si="148"/>
        <v>0</v>
      </c>
      <c r="V104" s="19">
        <f t="shared" si="149"/>
        <v>0</v>
      </c>
      <c r="W104" s="19">
        <f t="shared" si="150"/>
        <v>0</v>
      </c>
      <c r="X104" s="19">
        <f t="shared" si="151"/>
        <v>0</v>
      </c>
      <c r="Y104" s="19">
        <f t="shared" si="152"/>
        <v>0</v>
      </c>
      <c r="Z104" s="19">
        <f t="shared" si="153"/>
        <v>1.0183068950691319E-3</v>
      </c>
      <c r="AA104" s="19">
        <f t="shared" si="154"/>
        <v>0</v>
      </c>
      <c r="AB104" s="19">
        <f t="shared" si="155"/>
        <v>0</v>
      </c>
      <c r="AC104" s="19">
        <f t="shared" si="156"/>
        <v>0</v>
      </c>
      <c r="AD104" s="19">
        <f t="shared" si="157"/>
        <v>0</v>
      </c>
      <c r="AE104" s="19">
        <f t="shared" si="158"/>
        <v>0</v>
      </c>
      <c r="AF104" s="19">
        <f t="shared" si="159"/>
        <v>0</v>
      </c>
      <c r="AG104" s="19">
        <f t="shared" si="160"/>
        <v>0</v>
      </c>
    </row>
    <row r="105" spans="1:33" outlineLevel="1">
      <c r="A105" s="24" t="s">
        <v>65</v>
      </c>
      <c r="B105"/>
      <c r="C105">
        <f t="shared" ref="C105:Q105" si="162">SUBTOTAL(9,C92:C104)</f>
        <v>514.44000000000005</v>
      </c>
      <c r="D105">
        <f t="shared" si="162"/>
        <v>34.380000000000003</v>
      </c>
      <c r="E105">
        <f t="shared" si="162"/>
        <v>0.4</v>
      </c>
      <c r="F105">
        <f t="shared" si="162"/>
        <v>0</v>
      </c>
      <c r="G105">
        <f t="shared" si="162"/>
        <v>0</v>
      </c>
      <c r="H105">
        <f t="shared" si="162"/>
        <v>2745.04</v>
      </c>
      <c r="I105">
        <f t="shared" si="162"/>
        <v>8161.4</v>
      </c>
      <c r="J105">
        <f t="shared" si="162"/>
        <v>8838.1999999999989</v>
      </c>
      <c r="K105">
        <f t="shared" si="162"/>
        <v>5122.76</v>
      </c>
      <c r="L105">
        <f t="shared" si="162"/>
        <v>0</v>
      </c>
      <c r="M105">
        <f t="shared" si="162"/>
        <v>10.8</v>
      </c>
      <c r="N105">
        <f t="shared" si="162"/>
        <v>140.19999999999999</v>
      </c>
      <c r="O105">
        <f t="shared" si="162"/>
        <v>1049.28</v>
      </c>
      <c r="P105">
        <f t="shared" si="162"/>
        <v>22489.56</v>
      </c>
      <c r="Q105">
        <f t="shared" si="162"/>
        <v>0</v>
      </c>
    </row>
    <row r="106" spans="1:33" outlineLevel="2">
      <c r="A106" t="s">
        <v>12</v>
      </c>
      <c r="B106">
        <v>253</v>
      </c>
      <c r="C106">
        <v>12.76</v>
      </c>
      <c r="D106">
        <v>3.42</v>
      </c>
      <c r="E106">
        <v>0.42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S106" s="19">
        <f>IF(C$111&gt;0, C106/C$111, 0)</f>
        <v>0.99843505477308303</v>
      </c>
      <c r="T106" s="19">
        <f t="shared" ref="T106:T110" si="163">IF(D$111&gt;0, D106/D$111, 0)</f>
        <v>1</v>
      </c>
      <c r="U106" s="19">
        <f t="shared" ref="U106:U110" si="164">IF(E$111&gt;0, E106/E$111, 0)</f>
        <v>1</v>
      </c>
      <c r="V106" s="19">
        <f t="shared" ref="V106:V110" si="165">IF(F$111&gt;0, F106/F$111, 0)</f>
        <v>0</v>
      </c>
      <c r="W106" s="19">
        <f t="shared" ref="W106:W110" si="166">IF(G$111&gt;0, G106/G$111, 0)</f>
        <v>0</v>
      </c>
      <c r="X106" s="19">
        <f t="shared" ref="X106:X110" si="167">IF(H$111&gt;0, H106/H$111, 0)</f>
        <v>0</v>
      </c>
      <c r="Y106" s="19">
        <f t="shared" ref="Y106:Y110" si="168">IF(I$111&gt;0, I106/I$111, 0)</f>
        <v>0</v>
      </c>
      <c r="Z106" s="19">
        <f t="shared" ref="Z106:Z110" si="169">IF(J$111&gt;0, J106/J$111, 0)</f>
        <v>0</v>
      </c>
      <c r="AA106" s="19">
        <f t="shared" ref="AA106:AA110" si="170">IF(K$111&gt;0, K106/K$111, 0)</f>
        <v>0</v>
      </c>
      <c r="AB106" s="19">
        <f t="shared" ref="AB106:AB110" si="171">IF(L$111&gt;0, L106/L$111, 0)</f>
        <v>0</v>
      </c>
      <c r="AC106" s="19">
        <f t="shared" ref="AC106:AC110" si="172">IF(M$111&gt;0, M106/M$111, 0)</f>
        <v>0</v>
      </c>
      <c r="AD106" s="19">
        <f t="shared" ref="AD106:AD110" si="173">IF(N$111&gt;0, N106/N$111, 0)</f>
        <v>0</v>
      </c>
      <c r="AE106" s="19">
        <f t="shared" ref="AE106:AE110" si="174">IF(O$111&gt;0, O106/O$111, 0)</f>
        <v>0</v>
      </c>
      <c r="AF106" s="19">
        <f t="shared" ref="AF106:AF110" si="175">IF(P$111&gt;0, P106/P$111, 0)</f>
        <v>0</v>
      </c>
      <c r="AG106" s="19">
        <f t="shared" ref="AG106:AG110" si="176">IF(Q$111&gt;0, Q106/Q$111, 0)</f>
        <v>0</v>
      </c>
    </row>
    <row r="107" spans="1:33" outlineLevel="2">
      <c r="A107" t="s">
        <v>12</v>
      </c>
      <c r="B107">
        <v>305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138.88</v>
      </c>
      <c r="I107">
        <v>6.12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S107" s="19">
        <f t="shared" ref="S107:S110" si="177">IF(C$111&gt;0, C107/C$111, 0)</f>
        <v>0</v>
      </c>
      <c r="T107" s="19">
        <f t="shared" si="163"/>
        <v>0</v>
      </c>
      <c r="U107" s="19">
        <f t="shared" si="164"/>
        <v>0</v>
      </c>
      <c r="V107" s="19">
        <f t="shared" si="165"/>
        <v>0</v>
      </c>
      <c r="W107" s="19">
        <f t="shared" si="166"/>
        <v>0</v>
      </c>
      <c r="X107" s="19">
        <f t="shared" si="167"/>
        <v>0.1302618743903354</v>
      </c>
      <c r="Y107" s="19">
        <f t="shared" si="168"/>
        <v>3.2762312633832974E-2</v>
      </c>
      <c r="Z107" s="19">
        <f t="shared" si="169"/>
        <v>0</v>
      </c>
      <c r="AA107" s="19">
        <f t="shared" si="170"/>
        <v>0</v>
      </c>
      <c r="AB107" s="19">
        <f t="shared" si="171"/>
        <v>0</v>
      </c>
      <c r="AC107" s="19">
        <f t="shared" si="172"/>
        <v>0</v>
      </c>
      <c r="AD107" s="19">
        <f t="shared" si="173"/>
        <v>0</v>
      </c>
      <c r="AE107" s="19">
        <f t="shared" si="174"/>
        <v>0</v>
      </c>
      <c r="AF107" s="19">
        <f t="shared" si="175"/>
        <v>0</v>
      </c>
      <c r="AG107" s="19">
        <f t="shared" si="176"/>
        <v>0</v>
      </c>
    </row>
    <row r="108" spans="1:33" outlineLevel="2">
      <c r="A108" t="s">
        <v>12</v>
      </c>
      <c r="B108">
        <v>316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18.84</v>
      </c>
      <c r="I108">
        <v>47.72</v>
      </c>
      <c r="J108">
        <v>0</v>
      </c>
      <c r="K108">
        <v>0</v>
      </c>
      <c r="L108">
        <v>0</v>
      </c>
      <c r="M108">
        <v>0</v>
      </c>
      <c r="N108">
        <v>5.44</v>
      </c>
      <c r="O108">
        <v>0</v>
      </c>
      <c r="P108">
        <v>0</v>
      </c>
      <c r="Q108">
        <v>0</v>
      </c>
      <c r="S108" s="19">
        <f t="shared" si="177"/>
        <v>0</v>
      </c>
      <c r="T108" s="19">
        <f t="shared" si="163"/>
        <v>0</v>
      </c>
      <c r="U108" s="19">
        <f t="shared" si="164"/>
        <v>0</v>
      </c>
      <c r="V108" s="19">
        <f t="shared" si="165"/>
        <v>0</v>
      </c>
      <c r="W108" s="19">
        <f t="shared" si="166"/>
        <v>0</v>
      </c>
      <c r="X108" s="19">
        <f t="shared" si="167"/>
        <v>1.7670893674495383E-2</v>
      </c>
      <c r="Y108" s="19">
        <f t="shared" si="168"/>
        <v>0.25546038543897215</v>
      </c>
      <c r="Z108" s="19">
        <f t="shared" si="169"/>
        <v>0</v>
      </c>
      <c r="AA108" s="19">
        <f t="shared" si="170"/>
        <v>0</v>
      </c>
      <c r="AB108" s="19">
        <f t="shared" si="171"/>
        <v>0</v>
      </c>
      <c r="AC108" s="19">
        <f t="shared" si="172"/>
        <v>0</v>
      </c>
      <c r="AD108" s="19">
        <f t="shared" si="173"/>
        <v>0.78160919540229878</v>
      </c>
      <c r="AE108" s="19">
        <f t="shared" si="174"/>
        <v>0</v>
      </c>
      <c r="AF108" s="19">
        <f t="shared" si="175"/>
        <v>0</v>
      </c>
      <c r="AG108" s="19">
        <f t="shared" si="176"/>
        <v>0</v>
      </c>
    </row>
    <row r="109" spans="1:33" outlineLevel="2">
      <c r="A109" t="s">
        <v>12</v>
      </c>
      <c r="B109">
        <v>317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908.44</v>
      </c>
      <c r="I109">
        <v>132.96</v>
      </c>
      <c r="J109">
        <v>0</v>
      </c>
      <c r="K109">
        <v>0</v>
      </c>
      <c r="L109">
        <v>0</v>
      </c>
      <c r="M109">
        <v>0.48</v>
      </c>
      <c r="N109">
        <v>1.52</v>
      </c>
      <c r="O109">
        <v>0</v>
      </c>
      <c r="P109">
        <v>0</v>
      </c>
      <c r="Q109">
        <v>0</v>
      </c>
      <c r="S109" s="19">
        <f t="shared" si="177"/>
        <v>0</v>
      </c>
      <c r="T109" s="19">
        <f t="shared" si="163"/>
        <v>0</v>
      </c>
      <c r="U109" s="19">
        <f t="shared" si="164"/>
        <v>0</v>
      </c>
      <c r="V109" s="19">
        <f t="shared" si="165"/>
        <v>0</v>
      </c>
      <c r="W109" s="19">
        <f t="shared" si="166"/>
        <v>0</v>
      </c>
      <c r="X109" s="19">
        <f t="shared" si="167"/>
        <v>0.8520672319351692</v>
      </c>
      <c r="Y109" s="19">
        <f t="shared" si="168"/>
        <v>0.71177730192719491</v>
      </c>
      <c r="Z109" s="19">
        <f t="shared" si="169"/>
        <v>0</v>
      </c>
      <c r="AA109" s="19">
        <f t="shared" si="170"/>
        <v>0</v>
      </c>
      <c r="AB109" s="19">
        <f t="shared" si="171"/>
        <v>0</v>
      </c>
      <c r="AC109" s="19">
        <f t="shared" si="172"/>
        <v>1</v>
      </c>
      <c r="AD109" s="19">
        <f t="shared" si="173"/>
        <v>0.21839080459770113</v>
      </c>
      <c r="AE109" s="19">
        <f t="shared" si="174"/>
        <v>0</v>
      </c>
      <c r="AF109" s="19">
        <f t="shared" si="175"/>
        <v>0</v>
      </c>
      <c r="AG109" s="19">
        <f t="shared" si="176"/>
        <v>0</v>
      </c>
    </row>
    <row r="110" spans="1:33" outlineLevel="2">
      <c r="A110" t="s">
        <v>12</v>
      </c>
      <c r="B110">
        <v>326</v>
      </c>
      <c r="C110">
        <v>0.02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s="19">
        <f t="shared" si="177"/>
        <v>1.5649452269170579E-3</v>
      </c>
      <c r="T110" s="19">
        <f t="shared" si="163"/>
        <v>0</v>
      </c>
      <c r="U110" s="19">
        <f t="shared" si="164"/>
        <v>0</v>
      </c>
      <c r="V110" s="19">
        <f t="shared" si="165"/>
        <v>0</v>
      </c>
      <c r="W110" s="19">
        <f t="shared" si="166"/>
        <v>0</v>
      </c>
      <c r="X110" s="19">
        <f t="shared" si="167"/>
        <v>0</v>
      </c>
      <c r="Y110" s="19">
        <f t="shared" si="168"/>
        <v>0</v>
      </c>
      <c r="Z110" s="19">
        <f t="shared" si="169"/>
        <v>0</v>
      </c>
      <c r="AA110" s="19">
        <f t="shared" si="170"/>
        <v>0</v>
      </c>
      <c r="AB110" s="19">
        <f t="shared" si="171"/>
        <v>0</v>
      </c>
      <c r="AC110" s="19">
        <f t="shared" si="172"/>
        <v>0</v>
      </c>
      <c r="AD110" s="19">
        <f t="shared" si="173"/>
        <v>0</v>
      </c>
      <c r="AE110" s="19">
        <f t="shared" si="174"/>
        <v>0</v>
      </c>
      <c r="AF110" s="19">
        <f t="shared" si="175"/>
        <v>0</v>
      </c>
      <c r="AG110" s="19">
        <f t="shared" si="176"/>
        <v>0</v>
      </c>
    </row>
    <row r="111" spans="1:33" outlineLevel="1">
      <c r="A111" s="24" t="s">
        <v>66</v>
      </c>
      <c r="B111"/>
      <c r="C111">
        <f t="shared" ref="C111:Q111" si="178">SUBTOTAL(9,C106:C110)</f>
        <v>12.78</v>
      </c>
      <c r="D111">
        <f t="shared" si="178"/>
        <v>3.42</v>
      </c>
      <c r="E111">
        <f t="shared" si="178"/>
        <v>0.42</v>
      </c>
      <c r="F111">
        <f t="shared" si="178"/>
        <v>0</v>
      </c>
      <c r="G111">
        <f t="shared" si="178"/>
        <v>0</v>
      </c>
      <c r="H111">
        <f t="shared" si="178"/>
        <v>1066.1600000000001</v>
      </c>
      <c r="I111">
        <f t="shared" si="178"/>
        <v>186.8</v>
      </c>
      <c r="J111">
        <f t="shared" si="178"/>
        <v>0</v>
      </c>
      <c r="K111">
        <f t="shared" si="178"/>
        <v>0</v>
      </c>
      <c r="L111">
        <f t="shared" si="178"/>
        <v>0</v>
      </c>
      <c r="M111">
        <f t="shared" si="178"/>
        <v>0.48</v>
      </c>
      <c r="N111">
        <f t="shared" si="178"/>
        <v>6.9600000000000009</v>
      </c>
      <c r="O111">
        <f t="shared" si="178"/>
        <v>0</v>
      </c>
      <c r="P111">
        <f t="shared" si="178"/>
        <v>0</v>
      </c>
      <c r="Q111">
        <f t="shared" si="178"/>
        <v>0</v>
      </c>
    </row>
    <row r="112" spans="1:33" outlineLevel="2">
      <c r="A112" t="s">
        <v>13</v>
      </c>
      <c r="B112">
        <v>234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30.8</v>
      </c>
      <c r="K112">
        <v>5.2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s="19">
        <f>IF(C$125&gt;0, C112/C$125, 0)</f>
        <v>0</v>
      </c>
      <c r="T112" s="19">
        <f t="shared" ref="T112:T124" si="179">IF(D$125&gt;0, D112/D$125, 0)</f>
        <v>0</v>
      </c>
      <c r="U112" s="19">
        <f t="shared" ref="U112:U124" si="180">IF(E$125&gt;0, E112/E$125, 0)</f>
        <v>0</v>
      </c>
      <c r="V112" s="19">
        <f t="shared" ref="V112:V124" si="181">IF(F$125&gt;0, F112/F$125, 0)</f>
        <v>0</v>
      </c>
      <c r="W112" s="19">
        <f t="shared" ref="W112:W124" si="182">IF(G$125&gt;0, G112/G$125, 0)</f>
        <v>0</v>
      </c>
      <c r="X112" s="19">
        <f t="shared" ref="X112:X124" si="183">IF(H$125&gt;0, H112/H$125, 0)</f>
        <v>0</v>
      </c>
      <c r="Y112" s="19">
        <f t="shared" ref="Y112:Y124" si="184">IF(I$125&gt;0, I112/I$125, 0)</f>
        <v>0</v>
      </c>
      <c r="Z112" s="19">
        <f t="shared" ref="Z112:Z124" si="185">IF(J$125&gt;0, J112/J$125, 0)</f>
        <v>2.3336869222609486E-2</v>
      </c>
      <c r="AA112" s="19">
        <f t="shared" ref="AA112:AA124" si="186">IF(K$125&gt;0, K112/K$125, 0)</f>
        <v>0.99236641221374045</v>
      </c>
      <c r="AB112" s="19">
        <f t="shared" ref="AB112:AB124" si="187">IF(L$125&gt;0, L112/L$125, 0)</f>
        <v>0</v>
      </c>
      <c r="AC112" s="19">
        <f t="shared" ref="AC112:AC124" si="188">IF(M$125&gt;0, M112/M$125, 0)</f>
        <v>0</v>
      </c>
      <c r="AD112" s="19">
        <f t="shared" ref="AD112:AD124" si="189">IF(N$125&gt;0, N112/N$125, 0)</f>
        <v>0</v>
      </c>
      <c r="AE112" s="19">
        <f t="shared" ref="AE112:AE124" si="190">IF(O$125&gt;0, O112/O$125, 0)</f>
        <v>0</v>
      </c>
      <c r="AF112" s="19">
        <f t="shared" ref="AF112:AF124" si="191">IF(P$125&gt;0, P112/P$125, 0)</f>
        <v>0</v>
      </c>
      <c r="AG112" s="19">
        <f t="shared" ref="AG112:AG124" si="192">IF(Q$125&gt;0, Q112/Q$125, 0)</f>
        <v>0</v>
      </c>
    </row>
    <row r="113" spans="1:33" outlineLevel="2">
      <c r="A113" t="s">
        <v>13</v>
      </c>
      <c r="B113">
        <v>252</v>
      </c>
      <c r="C113">
        <v>52.62</v>
      </c>
      <c r="D113">
        <v>9.1999999999999993</v>
      </c>
      <c r="E113">
        <v>0.14000000000000001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S113" s="19">
        <f t="shared" ref="S113:S124" si="193">IF(C$125&gt;0, C113/C$125, 0)</f>
        <v>4.5368326665747E-2</v>
      </c>
      <c r="T113" s="19">
        <f t="shared" si="179"/>
        <v>3.5761486433957865E-2</v>
      </c>
      <c r="U113" s="19">
        <f t="shared" si="180"/>
        <v>1.6275284817484309E-3</v>
      </c>
      <c r="V113" s="19">
        <f t="shared" si="181"/>
        <v>0</v>
      </c>
      <c r="W113" s="19">
        <f t="shared" si="182"/>
        <v>0</v>
      </c>
      <c r="X113" s="19">
        <f t="shared" si="183"/>
        <v>0</v>
      </c>
      <c r="Y113" s="19">
        <f t="shared" si="184"/>
        <v>0</v>
      </c>
      <c r="Z113" s="19">
        <f t="shared" si="185"/>
        <v>0</v>
      </c>
      <c r="AA113" s="19">
        <f t="shared" si="186"/>
        <v>0</v>
      </c>
      <c r="AB113" s="19">
        <f t="shared" si="187"/>
        <v>0</v>
      </c>
      <c r="AC113" s="19">
        <f t="shared" si="188"/>
        <v>0</v>
      </c>
      <c r="AD113" s="19">
        <f t="shared" si="189"/>
        <v>0</v>
      </c>
      <c r="AE113" s="19">
        <f t="shared" si="190"/>
        <v>0</v>
      </c>
      <c r="AF113" s="19">
        <f t="shared" si="191"/>
        <v>0</v>
      </c>
      <c r="AG113" s="19">
        <f t="shared" si="192"/>
        <v>0</v>
      </c>
    </row>
    <row r="114" spans="1:33" outlineLevel="2">
      <c r="A114" t="s">
        <v>13</v>
      </c>
      <c r="B114">
        <v>253</v>
      </c>
      <c r="C114">
        <v>84.72</v>
      </c>
      <c r="D114">
        <v>14.76</v>
      </c>
      <c r="E114">
        <v>2.78</v>
      </c>
      <c r="F114">
        <v>0.64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S114" s="19">
        <f t="shared" si="193"/>
        <v>7.3044557870051041E-2</v>
      </c>
      <c r="T114" s="19">
        <f t="shared" si="179"/>
        <v>5.7373863017958486E-2</v>
      </c>
      <c r="U114" s="19">
        <f t="shared" si="180"/>
        <v>3.2318065566147407E-2</v>
      </c>
      <c r="V114" s="19">
        <f t="shared" si="181"/>
        <v>4.5261669024045263E-2</v>
      </c>
      <c r="W114" s="19">
        <f t="shared" si="182"/>
        <v>0</v>
      </c>
      <c r="X114" s="19">
        <f t="shared" si="183"/>
        <v>0</v>
      </c>
      <c r="Y114" s="19">
        <f t="shared" si="184"/>
        <v>0</v>
      </c>
      <c r="Z114" s="19">
        <f t="shared" si="185"/>
        <v>0</v>
      </c>
      <c r="AA114" s="19">
        <f t="shared" si="186"/>
        <v>0</v>
      </c>
      <c r="AB114" s="19">
        <f t="shared" si="187"/>
        <v>0</v>
      </c>
      <c r="AC114" s="19">
        <f t="shared" si="188"/>
        <v>0</v>
      </c>
      <c r="AD114" s="19">
        <f t="shared" si="189"/>
        <v>0</v>
      </c>
      <c r="AE114" s="19">
        <f t="shared" si="190"/>
        <v>0</v>
      </c>
      <c r="AF114" s="19">
        <f t="shared" si="191"/>
        <v>0</v>
      </c>
      <c r="AG114" s="19">
        <f t="shared" si="192"/>
        <v>0</v>
      </c>
    </row>
    <row r="115" spans="1:33" outlineLevel="2">
      <c r="A115" t="s">
        <v>13</v>
      </c>
      <c r="B115">
        <v>254</v>
      </c>
      <c r="C115">
        <v>72</v>
      </c>
      <c r="D115">
        <v>26.1</v>
      </c>
      <c r="E115">
        <v>11.8</v>
      </c>
      <c r="F115">
        <v>1.22</v>
      </c>
      <c r="G115">
        <v>0.04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S115" s="19">
        <f t="shared" si="193"/>
        <v>6.2077527934887577E-2</v>
      </c>
      <c r="T115" s="19">
        <f t="shared" si="179"/>
        <v>0.10145378216590221</v>
      </c>
      <c r="U115" s="19">
        <f t="shared" si="180"/>
        <v>0.13717740060451059</v>
      </c>
      <c r="V115" s="19">
        <f t="shared" si="181"/>
        <v>8.6280056577086289E-2</v>
      </c>
      <c r="W115" s="19">
        <f t="shared" si="182"/>
        <v>0.5</v>
      </c>
      <c r="X115" s="19">
        <f t="shared" si="183"/>
        <v>0</v>
      </c>
      <c r="Y115" s="19">
        <f t="shared" si="184"/>
        <v>0</v>
      </c>
      <c r="Z115" s="19">
        <f t="shared" si="185"/>
        <v>0</v>
      </c>
      <c r="AA115" s="19">
        <f t="shared" si="186"/>
        <v>0</v>
      </c>
      <c r="AB115" s="19">
        <f t="shared" si="187"/>
        <v>0</v>
      </c>
      <c r="AC115" s="19">
        <f t="shared" si="188"/>
        <v>0</v>
      </c>
      <c r="AD115" s="19">
        <f t="shared" si="189"/>
        <v>0</v>
      </c>
      <c r="AE115" s="19">
        <f t="shared" si="190"/>
        <v>0</v>
      </c>
      <c r="AF115" s="19">
        <f t="shared" si="191"/>
        <v>0</v>
      </c>
      <c r="AG115" s="19">
        <f t="shared" si="192"/>
        <v>0</v>
      </c>
    </row>
    <row r="116" spans="1:33" outlineLevel="2">
      <c r="A116" t="s">
        <v>13</v>
      </c>
      <c r="B116">
        <v>255</v>
      </c>
      <c r="C116">
        <v>30.38</v>
      </c>
      <c r="D116">
        <v>2.98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S116" s="19">
        <f t="shared" si="193"/>
        <v>2.6193268036970616E-2</v>
      </c>
      <c r="T116" s="19">
        <f t="shared" si="179"/>
        <v>1.158361191012983E-2</v>
      </c>
      <c r="U116" s="19">
        <f t="shared" si="180"/>
        <v>0</v>
      </c>
      <c r="V116" s="19">
        <f t="shared" si="181"/>
        <v>0</v>
      </c>
      <c r="W116" s="19">
        <f t="shared" si="182"/>
        <v>0</v>
      </c>
      <c r="X116" s="19">
        <f t="shared" si="183"/>
        <v>0</v>
      </c>
      <c r="Y116" s="19">
        <f t="shared" si="184"/>
        <v>0</v>
      </c>
      <c r="Z116" s="19">
        <f t="shared" si="185"/>
        <v>0</v>
      </c>
      <c r="AA116" s="19">
        <f t="shared" si="186"/>
        <v>0</v>
      </c>
      <c r="AB116" s="19">
        <f t="shared" si="187"/>
        <v>0</v>
      </c>
      <c r="AC116" s="19">
        <f t="shared" si="188"/>
        <v>0</v>
      </c>
      <c r="AD116" s="19">
        <f t="shared" si="189"/>
        <v>0</v>
      </c>
      <c r="AE116" s="19">
        <f t="shared" si="190"/>
        <v>0</v>
      </c>
      <c r="AF116" s="19">
        <f t="shared" si="191"/>
        <v>0</v>
      </c>
      <c r="AG116" s="19">
        <f t="shared" si="192"/>
        <v>0</v>
      </c>
    </row>
    <row r="117" spans="1:33" outlineLevel="2">
      <c r="A117" t="s">
        <v>13</v>
      </c>
      <c r="B117">
        <v>317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91.44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s="19">
        <f t="shared" si="193"/>
        <v>0</v>
      </c>
      <c r="T117" s="19">
        <f t="shared" si="179"/>
        <v>0</v>
      </c>
      <c r="U117" s="19">
        <f t="shared" si="180"/>
        <v>0</v>
      </c>
      <c r="V117" s="19">
        <f t="shared" si="181"/>
        <v>0</v>
      </c>
      <c r="W117" s="19">
        <f t="shared" si="182"/>
        <v>0</v>
      </c>
      <c r="X117" s="19">
        <f t="shared" si="183"/>
        <v>0.76200000000000001</v>
      </c>
      <c r="Y117" s="19">
        <f t="shared" si="184"/>
        <v>0</v>
      </c>
      <c r="Z117" s="19">
        <f t="shared" si="185"/>
        <v>0</v>
      </c>
      <c r="AA117" s="19">
        <f t="shared" si="186"/>
        <v>0</v>
      </c>
      <c r="AB117" s="19">
        <f t="shared" si="187"/>
        <v>0</v>
      </c>
      <c r="AC117" s="19">
        <f t="shared" si="188"/>
        <v>0</v>
      </c>
      <c r="AD117" s="19">
        <f t="shared" si="189"/>
        <v>0</v>
      </c>
      <c r="AE117" s="19">
        <f t="shared" si="190"/>
        <v>0</v>
      </c>
      <c r="AF117" s="19">
        <f t="shared" si="191"/>
        <v>0</v>
      </c>
      <c r="AG117" s="19">
        <f t="shared" si="192"/>
        <v>0</v>
      </c>
    </row>
    <row r="118" spans="1:33" outlineLevel="2">
      <c r="A118" t="s">
        <v>13</v>
      </c>
      <c r="B118">
        <v>320</v>
      </c>
      <c r="C118">
        <v>165.28</v>
      </c>
      <c r="D118">
        <v>7.2</v>
      </c>
      <c r="E118">
        <v>0</v>
      </c>
      <c r="F118">
        <v>0</v>
      </c>
      <c r="G118">
        <v>0</v>
      </c>
      <c r="H118">
        <v>28.56</v>
      </c>
      <c r="I118">
        <v>134.12</v>
      </c>
      <c r="J118">
        <v>1289</v>
      </c>
      <c r="K118">
        <v>0.04</v>
      </c>
      <c r="L118">
        <v>0</v>
      </c>
      <c r="M118">
        <v>0</v>
      </c>
      <c r="N118">
        <v>11.84</v>
      </c>
      <c r="O118">
        <v>522.84</v>
      </c>
      <c r="P118">
        <v>0</v>
      </c>
      <c r="Q118">
        <v>0</v>
      </c>
      <c r="S118" s="19">
        <f t="shared" si="193"/>
        <v>0.14250241412608636</v>
      </c>
      <c r="T118" s="19">
        <f t="shared" si="179"/>
        <v>2.7987250252662677E-2</v>
      </c>
      <c r="U118" s="19">
        <f t="shared" si="180"/>
        <v>0</v>
      </c>
      <c r="V118" s="19">
        <f t="shared" si="181"/>
        <v>0</v>
      </c>
      <c r="W118" s="19">
        <f t="shared" si="182"/>
        <v>0</v>
      </c>
      <c r="X118" s="19">
        <f t="shared" si="183"/>
        <v>0.23799999999999999</v>
      </c>
      <c r="Y118" s="19">
        <f t="shared" si="184"/>
        <v>1</v>
      </c>
      <c r="Z118" s="19">
        <f t="shared" si="185"/>
        <v>0.97666313077739053</v>
      </c>
      <c r="AA118" s="19">
        <f t="shared" si="186"/>
        <v>7.6335877862595417E-3</v>
      </c>
      <c r="AB118" s="19">
        <f t="shared" si="187"/>
        <v>0</v>
      </c>
      <c r="AC118" s="19">
        <f t="shared" si="188"/>
        <v>0</v>
      </c>
      <c r="AD118" s="19">
        <f t="shared" si="189"/>
        <v>1</v>
      </c>
      <c r="AE118" s="19">
        <f t="shared" si="190"/>
        <v>1</v>
      </c>
      <c r="AF118" s="19">
        <f t="shared" si="191"/>
        <v>0</v>
      </c>
      <c r="AG118" s="19">
        <f t="shared" si="192"/>
        <v>0</v>
      </c>
    </row>
    <row r="119" spans="1:33" outlineLevel="2">
      <c r="A119" t="s">
        <v>13</v>
      </c>
      <c r="B119">
        <v>321</v>
      </c>
      <c r="C119">
        <v>5.0599999999999996</v>
      </c>
      <c r="D119">
        <v>0.3</v>
      </c>
      <c r="E119">
        <v>0.02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s="19">
        <f t="shared" si="193"/>
        <v>4.3626707132018213E-3</v>
      </c>
      <c r="T119" s="19">
        <f t="shared" si="179"/>
        <v>1.1661354271942782E-3</v>
      </c>
      <c r="U119" s="19">
        <f t="shared" si="180"/>
        <v>2.325040688212044E-4</v>
      </c>
      <c r="V119" s="19">
        <f t="shared" si="181"/>
        <v>0</v>
      </c>
      <c r="W119" s="19">
        <f t="shared" si="182"/>
        <v>0</v>
      </c>
      <c r="X119" s="19">
        <f t="shared" si="183"/>
        <v>0</v>
      </c>
      <c r="Y119" s="19">
        <f t="shared" si="184"/>
        <v>0</v>
      </c>
      <c r="Z119" s="19">
        <f t="shared" si="185"/>
        <v>0</v>
      </c>
      <c r="AA119" s="19">
        <f t="shared" si="186"/>
        <v>0</v>
      </c>
      <c r="AB119" s="19">
        <f t="shared" si="187"/>
        <v>0</v>
      </c>
      <c r="AC119" s="19">
        <f t="shared" si="188"/>
        <v>0</v>
      </c>
      <c r="AD119" s="19">
        <f t="shared" si="189"/>
        <v>0</v>
      </c>
      <c r="AE119" s="19">
        <f t="shared" si="190"/>
        <v>0</v>
      </c>
      <c r="AF119" s="19">
        <f t="shared" si="191"/>
        <v>0</v>
      </c>
      <c r="AG119" s="19">
        <f t="shared" si="192"/>
        <v>0</v>
      </c>
    </row>
    <row r="120" spans="1:33" outlineLevel="2">
      <c r="A120" t="s">
        <v>13</v>
      </c>
      <c r="B120">
        <v>322</v>
      </c>
      <c r="C120">
        <v>585.34</v>
      </c>
      <c r="D120">
        <v>169.06</v>
      </c>
      <c r="E120">
        <v>69.739999999999995</v>
      </c>
      <c r="F120">
        <v>12.28</v>
      </c>
      <c r="G120">
        <v>0.04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s="19">
        <f t="shared" si="193"/>
        <v>0.50467305835287635</v>
      </c>
      <c r="T120" s="19">
        <f t="shared" si="179"/>
        <v>0.65715618440488222</v>
      </c>
      <c r="U120" s="19">
        <f t="shared" si="180"/>
        <v>0.8107416879795396</v>
      </c>
      <c r="V120" s="19">
        <f t="shared" si="181"/>
        <v>0.86845827439886847</v>
      </c>
      <c r="W120" s="19">
        <f t="shared" si="182"/>
        <v>0.5</v>
      </c>
      <c r="X120" s="19">
        <f t="shared" si="183"/>
        <v>0</v>
      </c>
      <c r="Y120" s="19">
        <f t="shared" si="184"/>
        <v>0</v>
      </c>
      <c r="Z120" s="19">
        <f t="shared" si="185"/>
        <v>0</v>
      </c>
      <c r="AA120" s="19">
        <f t="shared" si="186"/>
        <v>0</v>
      </c>
      <c r="AB120" s="19">
        <f t="shared" si="187"/>
        <v>0</v>
      </c>
      <c r="AC120" s="19">
        <f t="shared" si="188"/>
        <v>0</v>
      </c>
      <c r="AD120" s="19">
        <f t="shared" si="189"/>
        <v>0</v>
      </c>
      <c r="AE120" s="19">
        <f t="shared" si="190"/>
        <v>0</v>
      </c>
      <c r="AF120" s="19">
        <f t="shared" si="191"/>
        <v>0</v>
      </c>
      <c r="AG120" s="19">
        <f t="shared" si="192"/>
        <v>0</v>
      </c>
    </row>
    <row r="121" spans="1:33" outlineLevel="2">
      <c r="A121" t="s">
        <v>13</v>
      </c>
      <c r="B121">
        <v>323</v>
      </c>
      <c r="C121">
        <v>55.12</v>
      </c>
      <c r="D121">
        <v>8.98</v>
      </c>
      <c r="E121">
        <v>0.56000000000000005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s="19">
        <f t="shared" si="193"/>
        <v>4.7523796385708375E-2</v>
      </c>
      <c r="T121" s="19">
        <f t="shared" si="179"/>
        <v>3.4906320454015399E-2</v>
      </c>
      <c r="U121" s="19">
        <f t="shared" si="180"/>
        <v>6.5101139269937236E-3</v>
      </c>
      <c r="V121" s="19">
        <f t="shared" si="181"/>
        <v>0</v>
      </c>
      <c r="W121" s="19">
        <f t="shared" si="182"/>
        <v>0</v>
      </c>
      <c r="X121" s="19">
        <f t="shared" si="183"/>
        <v>0</v>
      </c>
      <c r="Y121" s="19">
        <f t="shared" si="184"/>
        <v>0</v>
      </c>
      <c r="Z121" s="19">
        <f t="shared" si="185"/>
        <v>0</v>
      </c>
      <c r="AA121" s="19">
        <f t="shared" si="186"/>
        <v>0</v>
      </c>
      <c r="AB121" s="19">
        <f t="shared" si="187"/>
        <v>0</v>
      </c>
      <c r="AC121" s="19">
        <f t="shared" si="188"/>
        <v>0</v>
      </c>
      <c r="AD121" s="19">
        <f t="shared" si="189"/>
        <v>0</v>
      </c>
      <c r="AE121" s="19">
        <f t="shared" si="190"/>
        <v>0</v>
      </c>
      <c r="AF121" s="19">
        <f t="shared" si="191"/>
        <v>0</v>
      </c>
      <c r="AG121" s="19">
        <f t="shared" si="192"/>
        <v>0</v>
      </c>
    </row>
    <row r="122" spans="1:33" outlineLevel="2">
      <c r="A122" t="s">
        <v>13</v>
      </c>
      <c r="B122">
        <v>324</v>
      </c>
      <c r="C122">
        <v>58.26</v>
      </c>
      <c r="D122">
        <v>10.34</v>
      </c>
      <c r="E122">
        <v>0.9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S122" s="19">
        <f t="shared" si="193"/>
        <v>5.0231066353979864E-2</v>
      </c>
      <c r="T122" s="19">
        <f t="shared" si="179"/>
        <v>4.0192801057296119E-2</v>
      </c>
      <c r="U122" s="19">
        <f t="shared" si="180"/>
        <v>1.0462683096954197E-2</v>
      </c>
      <c r="V122" s="19">
        <f t="shared" si="181"/>
        <v>0</v>
      </c>
      <c r="W122" s="19">
        <f t="shared" si="182"/>
        <v>0</v>
      </c>
      <c r="X122" s="19">
        <f t="shared" si="183"/>
        <v>0</v>
      </c>
      <c r="Y122" s="19">
        <f t="shared" si="184"/>
        <v>0</v>
      </c>
      <c r="Z122" s="19">
        <f t="shared" si="185"/>
        <v>0</v>
      </c>
      <c r="AA122" s="19">
        <f t="shared" si="186"/>
        <v>0</v>
      </c>
      <c r="AB122" s="19">
        <f t="shared" si="187"/>
        <v>0</v>
      </c>
      <c r="AC122" s="19">
        <f t="shared" si="188"/>
        <v>0</v>
      </c>
      <c r="AD122" s="19">
        <f t="shared" si="189"/>
        <v>0</v>
      </c>
      <c r="AE122" s="19">
        <f t="shared" si="190"/>
        <v>0</v>
      </c>
      <c r="AF122" s="19">
        <f t="shared" si="191"/>
        <v>0</v>
      </c>
      <c r="AG122" s="19">
        <f t="shared" si="192"/>
        <v>0</v>
      </c>
    </row>
    <row r="123" spans="1:33" outlineLevel="2">
      <c r="A123" t="s">
        <v>13</v>
      </c>
      <c r="B123">
        <v>325</v>
      </c>
      <c r="C123">
        <v>16.059999999999999</v>
      </c>
      <c r="D123">
        <v>4.4000000000000004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S123" s="19">
        <f t="shared" si="193"/>
        <v>1.3846737481031867E-2</v>
      </c>
      <c r="T123" s="19">
        <f t="shared" si="179"/>
        <v>1.7103319598849417E-2</v>
      </c>
      <c r="U123" s="19">
        <f t="shared" si="180"/>
        <v>0</v>
      </c>
      <c r="V123" s="19">
        <f t="shared" si="181"/>
        <v>0</v>
      </c>
      <c r="W123" s="19">
        <f t="shared" si="182"/>
        <v>0</v>
      </c>
      <c r="X123" s="19">
        <f t="shared" si="183"/>
        <v>0</v>
      </c>
      <c r="Y123" s="19">
        <f t="shared" si="184"/>
        <v>0</v>
      </c>
      <c r="Z123" s="19">
        <f t="shared" si="185"/>
        <v>0</v>
      </c>
      <c r="AA123" s="19">
        <f t="shared" si="186"/>
        <v>0</v>
      </c>
      <c r="AB123" s="19">
        <f t="shared" si="187"/>
        <v>0</v>
      </c>
      <c r="AC123" s="19">
        <f t="shared" si="188"/>
        <v>0</v>
      </c>
      <c r="AD123" s="19">
        <f t="shared" si="189"/>
        <v>0</v>
      </c>
      <c r="AE123" s="19">
        <f t="shared" si="190"/>
        <v>0</v>
      </c>
      <c r="AF123" s="19">
        <f t="shared" si="191"/>
        <v>0</v>
      </c>
      <c r="AG123" s="19">
        <f t="shared" si="192"/>
        <v>0</v>
      </c>
    </row>
    <row r="124" spans="1:33" outlineLevel="2">
      <c r="A124" t="s">
        <v>13</v>
      </c>
      <c r="B124">
        <v>326</v>
      </c>
      <c r="C124">
        <v>35</v>
      </c>
      <c r="D124">
        <v>3.94</v>
      </c>
      <c r="E124">
        <v>0.08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S124" s="19">
        <f t="shared" si="193"/>
        <v>3.0176576079459238E-2</v>
      </c>
      <c r="T124" s="19">
        <f t="shared" si="179"/>
        <v>1.531524527715152E-2</v>
      </c>
      <c r="U124" s="19">
        <f t="shared" si="180"/>
        <v>9.300162752848176E-4</v>
      </c>
      <c r="V124" s="19">
        <f t="shared" si="181"/>
        <v>0</v>
      </c>
      <c r="W124" s="19">
        <f t="shared" si="182"/>
        <v>0</v>
      </c>
      <c r="X124" s="19">
        <f t="shared" si="183"/>
        <v>0</v>
      </c>
      <c r="Y124" s="19">
        <f t="shared" si="184"/>
        <v>0</v>
      </c>
      <c r="Z124" s="19">
        <f t="shared" si="185"/>
        <v>0</v>
      </c>
      <c r="AA124" s="19">
        <f t="shared" si="186"/>
        <v>0</v>
      </c>
      <c r="AB124" s="19">
        <f t="shared" si="187"/>
        <v>0</v>
      </c>
      <c r="AC124" s="19">
        <f t="shared" si="188"/>
        <v>0</v>
      </c>
      <c r="AD124" s="19">
        <f t="shared" si="189"/>
        <v>0</v>
      </c>
      <c r="AE124" s="19">
        <f t="shared" si="190"/>
        <v>0</v>
      </c>
      <c r="AF124" s="19">
        <f t="shared" si="191"/>
        <v>0</v>
      </c>
      <c r="AG124" s="19">
        <f t="shared" si="192"/>
        <v>0</v>
      </c>
    </row>
    <row r="125" spans="1:33" outlineLevel="1">
      <c r="A125" s="24" t="s">
        <v>67</v>
      </c>
      <c r="B125"/>
      <c r="C125">
        <f t="shared" ref="C125:Q125" si="194">SUBTOTAL(9,C112:C124)</f>
        <v>1159.8399999999999</v>
      </c>
      <c r="D125">
        <f t="shared" si="194"/>
        <v>257.26</v>
      </c>
      <c r="E125">
        <f t="shared" si="194"/>
        <v>86.02</v>
      </c>
      <c r="F125">
        <f t="shared" si="194"/>
        <v>14.139999999999999</v>
      </c>
      <c r="G125">
        <f t="shared" si="194"/>
        <v>0.08</v>
      </c>
      <c r="H125">
        <f t="shared" si="194"/>
        <v>120</v>
      </c>
      <c r="I125">
        <f t="shared" si="194"/>
        <v>134.12</v>
      </c>
      <c r="J125">
        <f t="shared" si="194"/>
        <v>1319.8</v>
      </c>
      <c r="K125">
        <f t="shared" si="194"/>
        <v>5.24</v>
      </c>
      <c r="L125">
        <f t="shared" si="194"/>
        <v>0</v>
      </c>
      <c r="M125">
        <f t="shared" si="194"/>
        <v>0</v>
      </c>
      <c r="N125">
        <f t="shared" si="194"/>
        <v>11.84</v>
      </c>
      <c r="O125">
        <f t="shared" si="194"/>
        <v>522.84</v>
      </c>
      <c r="P125">
        <f t="shared" si="194"/>
        <v>0</v>
      </c>
      <c r="Q125">
        <f t="shared" si="194"/>
        <v>0</v>
      </c>
    </row>
    <row r="126" spans="1:33" outlineLevel="2">
      <c r="A126" t="s">
        <v>14</v>
      </c>
      <c r="B126">
        <v>197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324</v>
      </c>
      <c r="Q126">
        <v>0</v>
      </c>
      <c r="S126" s="19">
        <f>IF(C$138&gt;0, C126/C$138, 0)</f>
        <v>0</v>
      </c>
      <c r="T126" s="19">
        <f t="shared" ref="T126:T137" si="195">IF(D$138&gt;0, D126/D$138, 0)</f>
        <v>0</v>
      </c>
      <c r="U126" s="19">
        <f t="shared" ref="U126:U137" si="196">IF(E$138&gt;0, E126/E$138, 0)</f>
        <v>0</v>
      </c>
      <c r="V126" s="19">
        <f t="shared" ref="V126:V137" si="197">IF(F$138&gt;0, F126/F$138, 0)</f>
        <v>0</v>
      </c>
      <c r="W126" s="19">
        <f t="shared" ref="W126:W137" si="198">IF(G$138&gt;0, G126/G$138, 0)</f>
        <v>0</v>
      </c>
      <c r="X126" s="19">
        <f t="shared" ref="X126:X137" si="199">IF(H$138&gt;0, H126/H$138, 0)</f>
        <v>0</v>
      </c>
      <c r="Y126" s="19">
        <f t="shared" ref="Y126:Y137" si="200">IF(I$138&gt;0, I126/I$138, 0)</f>
        <v>0</v>
      </c>
      <c r="Z126" s="19">
        <f t="shared" ref="Z126:Z137" si="201">IF(J$138&gt;0, J126/J$138, 0)</f>
        <v>0</v>
      </c>
      <c r="AA126" s="19">
        <f t="shared" ref="AA126:AA137" si="202">IF(K$138&gt;0, K126/K$138, 0)</f>
        <v>0</v>
      </c>
      <c r="AB126" s="19">
        <f t="shared" ref="AB126:AB137" si="203">IF(L$138&gt;0, L126/L$138, 0)</f>
        <v>0</v>
      </c>
      <c r="AC126" s="19">
        <f t="shared" ref="AC126:AC137" si="204">IF(M$138&gt;0, M126/M$138, 0)</f>
        <v>0</v>
      </c>
      <c r="AD126" s="19">
        <f t="shared" ref="AD126:AD137" si="205">IF(N$138&gt;0, N126/N$138, 0)</f>
        <v>0</v>
      </c>
      <c r="AE126" s="19">
        <f t="shared" ref="AE126:AE137" si="206">IF(O$138&gt;0, O126/O$138, 0)</f>
        <v>0</v>
      </c>
      <c r="AF126" s="19">
        <f t="shared" ref="AF126:AF137" si="207">IF(P$138&gt;0, P126/P$138, 0)</f>
        <v>9.7024347121970403E-3</v>
      </c>
      <c r="AG126" s="19">
        <f t="shared" ref="AG126:AG137" si="208">IF(Q$138&gt;0, Q126/Q$138, 0)</f>
        <v>0</v>
      </c>
    </row>
    <row r="127" spans="1:33" outlineLevel="2">
      <c r="A127" t="s">
        <v>14</v>
      </c>
      <c r="B127">
        <v>198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378</v>
      </c>
      <c r="Q127">
        <v>0</v>
      </c>
      <c r="S127" s="19">
        <f t="shared" ref="S127:S137" si="209">IF(C$138&gt;0, C127/C$138, 0)</f>
        <v>0</v>
      </c>
      <c r="T127" s="19">
        <f t="shared" si="195"/>
        <v>0</v>
      </c>
      <c r="U127" s="19">
        <f t="shared" si="196"/>
        <v>0</v>
      </c>
      <c r="V127" s="19">
        <f t="shared" si="197"/>
        <v>0</v>
      </c>
      <c r="W127" s="19">
        <f t="shared" si="198"/>
        <v>0</v>
      </c>
      <c r="X127" s="19">
        <f t="shared" si="199"/>
        <v>0</v>
      </c>
      <c r="Y127" s="19">
        <f t="shared" si="200"/>
        <v>0</v>
      </c>
      <c r="Z127" s="19">
        <f t="shared" si="201"/>
        <v>0</v>
      </c>
      <c r="AA127" s="19">
        <f t="shared" si="202"/>
        <v>0</v>
      </c>
      <c r="AB127" s="19">
        <f t="shared" si="203"/>
        <v>0</v>
      </c>
      <c r="AC127" s="19">
        <f t="shared" si="204"/>
        <v>0</v>
      </c>
      <c r="AD127" s="19">
        <f t="shared" si="205"/>
        <v>0</v>
      </c>
      <c r="AE127" s="19">
        <f t="shared" si="206"/>
        <v>0</v>
      </c>
      <c r="AF127" s="19">
        <f t="shared" si="207"/>
        <v>1.1319507164229881E-2</v>
      </c>
      <c r="AG127" s="19">
        <f t="shared" si="208"/>
        <v>0</v>
      </c>
    </row>
    <row r="128" spans="1:33" outlineLevel="2">
      <c r="A128" t="s">
        <v>14</v>
      </c>
      <c r="B128">
        <v>211</v>
      </c>
      <c r="C128">
        <v>12.12</v>
      </c>
      <c r="D128">
        <v>0.6</v>
      </c>
      <c r="E128">
        <v>0</v>
      </c>
      <c r="F128">
        <v>0</v>
      </c>
      <c r="G128">
        <v>0</v>
      </c>
      <c r="H128">
        <v>958.08</v>
      </c>
      <c r="I128">
        <v>1252.56</v>
      </c>
      <c r="J128">
        <v>1227.44</v>
      </c>
      <c r="K128">
        <v>238.28</v>
      </c>
      <c r="L128">
        <v>0</v>
      </c>
      <c r="M128">
        <v>13.48</v>
      </c>
      <c r="N128">
        <v>270.08</v>
      </c>
      <c r="O128">
        <v>2685.4</v>
      </c>
      <c r="P128">
        <v>4219.28</v>
      </c>
      <c r="Q128">
        <v>0</v>
      </c>
      <c r="S128" s="19">
        <f t="shared" si="209"/>
        <v>1.5457488081664509E-3</v>
      </c>
      <c r="T128" s="19">
        <f t="shared" si="195"/>
        <v>4.1299559471365639E-3</v>
      </c>
      <c r="U128" s="19">
        <f t="shared" si="196"/>
        <v>0</v>
      </c>
      <c r="V128" s="19">
        <f t="shared" si="197"/>
        <v>0</v>
      </c>
      <c r="W128" s="19">
        <f t="shared" si="198"/>
        <v>0</v>
      </c>
      <c r="X128" s="19">
        <f t="shared" si="199"/>
        <v>0.40779773559206606</v>
      </c>
      <c r="Y128" s="19">
        <f t="shared" si="200"/>
        <v>0.32530984115771</v>
      </c>
      <c r="Z128" s="19">
        <f t="shared" si="201"/>
        <v>0.22516050922698755</v>
      </c>
      <c r="AA128" s="19">
        <f t="shared" si="202"/>
        <v>0.12636022315083895</v>
      </c>
      <c r="AB128" s="19">
        <f t="shared" si="203"/>
        <v>0</v>
      </c>
      <c r="AC128" s="19">
        <f t="shared" si="204"/>
        <v>6.1384335154826955E-2</v>
      </c>
      <c r="AD128" s="19">
        <f t="shared" si="205"/>
        <v>0.38503649635036497</v>
      </c>
      <c r="AE128" s="19">
        <f t="shared" si="206"/>
        <v>0.34829729393209924</v>
      </c>
      <c r="AF128" s="19">
        <f t="shared" si="207"/>
        <v>0.12634965658172445</v>
      </c>
      <c r="AG128" s="19">
        <f t="shared" si="208"/>
        <v>0</v>
      </c>
    </row>
    <row r="129" spans="1:33" outlineLevel="2">
      <c r="A129" t="s">
        <v>14</v>
      </c>
      <c r="B129">
        <v>212</v>
      </c>
      <c r="C129">
        <v>1445.94</v>
      </c>
      <c r="D129">
        <v>60.94</v>
      </c>
      <c r="E129">
        <v>4.34</v>
      </c>
      <c r="F129">
        <v>0.06</v>
      </c>
      <c r="G129">
        <v>0</v>
      </c>
      <c r="H129">
        <v>64.48</v>
      </c>
      <c r="I129">
        <v>246.56</v>
      </c>
      <c r="J129">
        <v>778.52</v>
      </c>
      <c r="K129">
        <v>838.8</v>
      </c>
      <c r="L129">
        <v>6.28</v>
      </c>
      <c r="M129">
        <v>69.56</v>
      </c>
      <c r="N129">
        <v>80.12</v>
      </c>
      <c r="O129">
        <v>386.08</v>
      </c>
      <c r="P129">
        <v>16302.16</v>
      </c>
      <c r="Q129">
        <v>44.84</v>
      </c>
      <c r="S129" s="19">
        <f t="shared" si="209"/>
        <v>0.18441089370298666</v>
      </c>
      <c r="T129" s="19">
        <f t="shared" si="195"/>
        <v>0.419465859030837</v>
      </c>
      <c r="U129" s="19">
        <f t="shared" si="196"/>
        <v>0.95594713656387664</v>
      </c>
      <c r="V129" s="19">
        <f t="shared" si="197"/>
        <v>1</v>
      </c>
      <c r="W129" s="19">
        <f t="shared" si="198"/>
        <v>0</v>
      </c>
      <c r="X129" s="19">
        <f t="shared" si="199"/>
        <v>2.7445305184302375E-2</v>
      </c>
      <c r="Y129" s="19">
        <f t="shared" si="200"/>
        <v>6.4035570699882624E-2</v>
      </c>
      <c r="Z129" s="19">
        <f t="shared" si="201"/>
        <v>0.14281102102212273</v>
      </c>
      <c r="AA129" s="19">
        <f t="shared" si="202"/>
        <v>0.44481683388838211</v>
      </c>
      <c r="AB129" s="19">
        <f t="shared" si="203"/>
        <v>1</v>
      </c>
      <c r="AC129" s="19">
        <f t="shared" si="204"/>
        <v>0.31675774134790524</v>
      </c>
      <c r="AD129" s="19">
        <f t="shared" si="205"/>
        <v>0.11422217153284674</v>
      </c>
      <c r="AE129" s="19">
        <f t="shared" si="206"/>
        <v>5.0074707396032203E-2</v>
      </c>
      <c r="AF129" s="19">
        <f t="shared" si="207"/>
        <v>0.48818099712280899</v>
      </c>
      <c r="AG129" s="19">
        <f t="shared" si="208"/>
        <v>1</v>
      </c>
    </row>
    <row r="130" spans="1:33" outlineLevel="2">
      <c r="A130" t="s">
        <v>14</v>
      </c>
      <c r="B130">
        <v>213</v>
      </c>
      <c r="C130">
        <v>208.38</v>
      </c>
      <c r="D130">
        <v>0</v>
      </c>
      <c r="E130">
        <v>0</v>
      </c>
      <c r="F130">
        <v>0</v>
      </c>
      <c r="G130">
        <v>0</v>
      </c>
      <c r="H130">
        <v>4.32</v>
      </c>
      <c r="I130">
        <v>23.36</v>
      </c>
      <c r="J130">
        <v>124.32</v>
      </c>
      <c r="K130">
        <v>15.16</v>
      </c>
      <c r="L130">
        <v>0</v>
      </c>
      <c r="M130">
        <v>0</v>
      </c>
      <c r="N130">
        <v>0</v>
      </c>
      <c r="O130">
        <v>22.28</v>
      </c>
      <c r="P130">
        <v>947.56</v>
      </c>
      <c r="Q130">
        <v>0</v>
      </c>
      <c r="S130" s="19">
        <f t="shared" si="209"/>
        <v>2.657616638991131E-2</v>
      </c>
      <c r="T130" s="19">
        <f t="shared" si="195"/>
        <v>0</v>
      </c>
      <c r="U130" s="19">
        <f t="shared" si="196"/>
        <v>0</v>
      </c>
      <c r="V130" s="19">
        <f t="shared" si="197"/>
        <v>0</v>
      </c>
      <c r="W130" s="19">
        <f t="shared" si="198"/>
        <v>0</v>
      </c>
      <c r="X130" s="19">
        <f t="shared" si="199"/>
        <v>1.8387673448540054E-3</v>
      </c>
      <c r="Y130" s="19">
        <f t="shared" si="200"/>
        <v>6.0669651668934866E-3</v>
      </c>
      <c r="Z130" s="19">
        <f t="shared" si="201"/>
        <v>2.2805150970392922E-2</v>
      </c>
      <c r="AA130" s="19">
        <f t="shared" si="202"/>
        <v>8.0393695776679458E-3</v>
      </c>
      <c r="AB130" s="19">
        <f t="shared" si="203"/>
        <v>0</v>
      </c>
      <c r="AC130" s="19">
        <f t="shared" si="204"/>
        <v>0</v>
      </c>
      <c r="AD130" s="19">
        <f t="shared" si="205"/>
        <v>0</v>
      </c>
      <c r="AE130" s="19">
        <f t="shared" si="206"/>
        <v>2.8897235826346808E-3</v>
      </c>
      <c r="AF130" s="19">
        <f t="shared" si="207"/>
        <v>2.8375429123115515E-2</v>
      </c>
      <c r="AG130" s="19">
        <f t="shared" si="208"/>
        <v>0</v>
      </c>
    </row>
    <row r="131" spans="1:33" outlineLevel="2">
      <c r="A131" t="s">
        <v>14</v>
      </c>
      <c r="B131">
        <v>214</v>
      </c>
      <c r="C131">
        <v>600.34</v>
      </c>
      <c r="D131">
        <v>14.68</v>
      </c>
      <c r="E131">
        <v>0.2</v>
      </c>
      <c r="F131">
        <v>0</v>
      </c>
      <c r="G131">
        <v>0</v>
      </c>
      <c r="H131">
        <v>213.4</v>
      </c>
      <c r="I131">
        <v>432.84</v>
      </c>
      <c r="J131">
        <v>900.8</v>
      </c>
      <c r="K131">
        <v>352.28</v>
      </c>
      <c r="L131">
        <v>0</v>
      </c>
      <c r="M131">
        <v>136.56</v>
      </c>
      <c r="N131">
        <v>220.36</v>
      </c>
      <c r="O131">
        <v>853.28</v>
      </c>
      <c r="P131">
        <v>877.6</v>
      </c>
      <c r="Q131">
        <v>0</v>
      </c>
      <c r="S131" s="19">
        <f t="shared" si="209"/>
        <v>7.6565580816390033E-2</v>
      </c>
      <c r="T131" s="19">
        <f t="shared" si="195"/>
        <v>0.10104625550660792</v>
      </c>
      <c r="U131" s="19">
        <f t="shared" si="196"/>
        <v>4.405286343612335E-2</v>
      </c>
      <c r="V131" s="19">
        <f t="shared" si="197"/>
        <v>0</v>
      </c>
      <c r="W131" s="19">
        <f t="shared" si="198"/>
        <v>0</v>
      </c>
      <c r="X131" s="19">
        <f t="shared" si="199"/>
        <v>9.0831701711075172E-2</v>
      </c>
      <c r="Y131" s="19">
        <f t="shared" si="200"/>
        <v>0.1124154624502644</v>
      </c>
      <c r="Z131" s="19">
        <f t="shared" si="201"/>
        <v>0.16524195619473894</v>
      </c>
      <c r="AA131" s="19">
        <f t="shared" si="202"/>
        <v>0.18681458541034723</v>
      </c>
      <c r="AB131" s="19">
        <f t="shared" si="203"/>
        <v>0</v>
      </c>
      <c r="AC131" s="19">
        <f t="shared" si="204"/>
        <v>0.62185792349726765</v>
      </c>
      <c r="AD131" s="19">
        <f t="shared" si="205"/>
        <v>0.31415374087591247</v>
      </c>
      <c r="AE131" s="19">
        <f t="shared" si="206"/>
        <v>0.11067070639993358</v>
      </c>
      <c r="AF131" s="19">
        <f t="shared" si="207"/>
        <v>2.6280421924148527E-2</v>
      </c>
      <c r="AG131" s="19">
        <f t="shared" si="208"/>
        <v>0</v>
      </c>
    </row>
    <row r="132" spans="1:33" outlineLevel="2">
      <c r="A132" t="s">
        <v>14</v>
      </c>
      <c r="B132">
        <v>215</v>
      </c>
      <c r="C132">
        <v>1046.2</v>
      </c>
      <c r="D132">
        <v>0.32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S132" s="19">
        <f t="shared" si="209"/>
        <v>0.13342924118017666</v>
      </c>
      <c r="T132" s="19">
        <f t="shared" si="195"/>
        <v>2.2026431718061676E-3</v>
      </c>
      <c r="U132" s="19">
        <f t="shared" si="196"/>
        <v>0</v>
      </c>
      <c r="V132" s="19">
        <f t="shared" si="197"/>
        <v>0</v>
      </c>
      <c r="W132" s="19">
        <f t="shared" si="198"/>
        <v>0</v>
      </c>
      <c r="X132" s="19">
        <f t="shared" si="199"/>
        <v>0</v>
      </c>
      <c r="Y132" s="19">
        <f t="shared" si="200"/>
        <v>0</v>
      </c>
      <c r="Z132" s="19">
        <f t="shared" si="201"/>
        <v>0</v>
      </c>
      <c r="AA132" s="19">
        <f t="shared" si="202"/>
        <v>0</v>
      </c>
      <c r="AB132" s="19">
        <f t="shared" si="203"/>
        <v>0</v>
      </c>
      <c r="AC132" s="19">
        <f t="shared" si="204"/>
        <v>0</v>
      </c>
      <c r="AD132" s="19">
        <f t="shared" si="205"/>
        <v>0</v>
      </c>
      <c r="AE132" s="19">
        <f t="shared" si="206"/>
        <v>0</v>
      </c>
      <c r="AF132" s="19">
        <f t="shared" si="207"/>
        <v>0</v>
      </c>
      <c r="AG132" s="19">
        <f t="shared" si="208"/>
        <v>0</v>
      </c>
    </row>
    <row r="133" spans="1:33" outlineLevel="2">
      <c r="A133" t="s">
        <v>14</v>
      </c>
      <c r="B133">
        <v>216</v>
      </c>
      <c r="C133">
        <v>12.36</v>
      </c>
      <c r="D133">
        <v>1.06</v>
      </c>
      <c r="E133">
        <v>0</v>
      </c>
      <c r="F133">
        <v>0</v>
      </c>
      <c r="G133">
        <v>0</v>
      </c>
      <c r="H133">
        <v>509.28</v>
      </c>
      <c r="I133">
        <v>864.2</v>
      </c>
      <c r="J133">
        <v>847.96</v>
      </c>
      <c r="K133">
        <v>113.88</v>
      </c>
      <c r="L133">
        <v>0</v>
      </c>
      <c r="M133">
        <v>0</v>
      </c>
      <c r="N133">
        <v>130.88</v>
      </c>
      <c r="O133">
        <v>2455.3200000000002</v>
      </c>
      <c r="P133">
        <v>5701.6</v>
      </c>
      <c r="Q133">
        <v>0</v>
      </c>
      <c r="S133" s="19">
        <f t="shared" si="209"/>
        <v>1.5763576954568757E-3</v>
      </c>
      <c r="T133" s="19">
        <f t="shared" si="195"/>
        <v>7.2962555066079298E-3</v>
      </c>
      <c r="U133" s="19">
        <f t="shared" si="196"/>
        <v>0</v>
      </c>
      <c r="V133" s="19">
        <f t="shared" si="197"/>
        <v>0</v>
      </c>
      <c r="W133" s="19">
        <f t="shared" si="198"/>
        <v>0</v>
      </c>
      <c r="X133" s="19">
        <f t="shared" si="199"/>
        <v>0.21677023921001104</v>
      </c>
      <c r="Y133" s="19">
        <f t="shared" si="200"/>
        <v>0.22444654525810578</v>
      </c>
      <c r="Z133" s="19">
        <f t="shared" si="201"/>
        <v>0.15554903327585573</v>
      </c>
      <c r="AA133" s="19">
        <f t="shared" si="202"/>
        <v>6.0390726088708817E-2</v>
      </c>
      <c r="AB133" s="19">
        <f t="shared" si="203"/>
        <v>0</v>
      </c>
      <c r="AC133" s="19">
        <f t="shared" si="204"/>
        <v>0</v>
      </c>
      <c r="AD133" s="19">
        <f t="shared" si="205"/>
        <v>0.18658759124087593</v>
      </c>
      <c r="AE133" s="19">
        <f t="shared" si="206"/>
        <v>0.31845583962812318</v>
      </c>
      <c r="AF133" s="19">
        <f t="shared" si="207"/>
        <v>0.17073889430574893</v>
      </c>
      <c r="AG133" s="19">
        <f t="shared" si="208"/>
        <v>0</v>
      </c>
    </row>
    <row r="134" spans="1:33" outlineLevel="2">
      <c r="A134" t="s">
        <v>14</v>
      </c>
      <c r="B134">
        <v>217</v>
      </c>
      <c r="C134">
        <v>1571.64</v>
      </c>
      <c r="D134">
        <v>2.64</v>
      </c>
      <c r="E134">
        <v>0</v>
      </c>
      <c r="F134">
        <v>0</v>
      </c>
      <c r="G134">
        <v>0</v>
      </c>
      <c r="H134">
        <v>260.72000000000003</v>
      </c>
      <c r="I134">
        <v>434.16</v>
      </c>
      <c r="J134">
        <v>293.95999999999998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S134" s="19">
        <f t="shared" si="209"/>
        <v>0.20044229842134664</v>
      </c>
      <c r="T134" s="19">
        <f t="shared" si="195"/>
        <v>1.8171806167400884E-2</v>
      </c>
      <c r="U134" s="19">
        <f t="shared" si="196"/>
        <v>0</v>
      </c>
      <c r="V134" s="19">
        <f t="shared" si="197"/>
        <v>0</v>
      </c>
      <c r="W134" s="19">
        <f t="shared" si="198"/>
        <v>0</v>
      </c>
      <c r="X134" s="19">
        <f t="shared" si="199"/>
        <v>0.11097301438665191</v>
      </c>
      <c r="Y134" s="19">
        <f t="shared" si="200"/>
        <v>0.11275828753674984</v>
      </c>
      <c r="Z134" s="19">
        <f t="shared" si="201"/>
        <v>5.3923762703158809E-2</v>
      </c>
      <c r="AA134" s="19">
        <f t="shared" si="202"/>
        <v>0</v>
      </c>
      <c r="AB134" s="19">
        <f t="shared" si="203"/>
        <v>0</v>
      </c>
      <c r="AC134" s="19">
        <f t="shared" si="204"/>
        <v>0</v>
      </c>
      <c r="AD134" s="19">
        <f t="shared" si="205"/>
        <v>0</v>
      </c>
      <c r="AE134" s="19">
        <f t="shared" si="206"/>
        <v>0</v>
      </c>
      <c r="AF134" s="19">
        <f t="shared" si="207"/>
        <v>0</v>
      </c>
      <c r="AG134" s="19">
        <f t="shared" si="208"/>
        <v>0</v>
      </c>
    </row>
    <row r="135" spans="1:33" outlineLevel="2">
      <c r="A135" t="s">
        <v>14</v>
      </c>
      <c r="B135">
        <v>218</v>
      </c>
      <c r="C135">
        <v>2943.88</v>
      </c>
      <c r="D135">
        <v>65.040000000000006</v>
      </c>
      <c r="E135">
        <v>0</v>
      </c>
      <c r="F135">
        <v>0</v>
      </c>
      <c r="G135">
        <v>0</v>
      </c>
      <c r="H135">
        <v>338.04</v>
      </c>
      <c r="I135">
        <v>582.64</v>
      </c>
      <c r="J135">
        <v>1248.52</v>
      </c>
      <c r="K135">
        <v>327.32</v>
      </c>
      <c r="L135">
        <v>0</v>
      </c>
      <c r="M135">
        <v>0</v>
      </c>
      <c r="N135">
        <v>0</v>
      </c>
      <c r="O135">
        <v>1307.72</v>
      </c>
      <c r="P135">
        <v>4535.4799999999996</v>
      </c>
      <c r="Q135">
        <v>0</v>
      </c>
      <c r="S135" s="19">
        <f t="shared" si="209"/>
        <v>0.37545371298556535</v>
      </c>
      <c r="T135" s="19">
        <f t="shared" si="195"/>
        <v>0.44768722466960359</v>
      </c>
      <c r="U135" s="19">
        <f t="shared" si="196"/>
        <v>0</v>
      </c>
      <c r="V135" s="19">
        <f t="shared" si="197"/>
        <v>0</v>
      </c>
      <c r="W135" s="19">
        <f t="shared" si="198"/>
        <v>0</v>
      </c>
      <c r="X135" s="19">
        <f t="shared" si="199"/>
        <v>0.14388354473482592</v>
      </c>
      <c r="Y135" s="19">
        <f t="shared" si="200"/>
        <v>0.15132091544686732</v>
      </c>
      <c r="Z135" s="19">
        <f t="shared" si="201"/>
        <v>0.22902740580401362</v>
      </c>
      <c r="AA135" s="19">
        <f t="shared" si="202"/>
        <v>0.1735782618840549</v>
      </c>
      <c r="AB135" s="19">
        <f t="shared" si="203"/>
        <v>0</v>
      </c>
      <c r="AC135" s="19">
        <f t="shared" si="204"/>
        <v>0</v>
      </c>
      <c r="AD135" s="19">
        <f t="shared" si="205"/>
        <v>0</v>
      </c>
      <c r="AE135" s="19">
        <f t="shared" si="206"/>
        <v>0.16961172906117705</v>
      </c>
      <c r="AF135" s="19">
        <f t="shared" si="207"/>
        <v>0.1358185141619612</v>
      </c>
      <c r="AG135" s="19">
        <f t="shared" si="208"/>
        <v>0</v>
      </c>
    </row>
    <row r="136" spans="1:33" outlineLevel="2">
      <c r="A136" t="s">
        <v>14</v>
      </c>
      <c r="B136">
        <v>219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108</v>
      </c>
      <c r="Q136">
        <v>0</v>
      </c>
      <c r="S136" s="19">
        <f t="shared" si="209"/>
        <v>0</v>
      </c>
      <c r="T136" s="19">
        <f t="shared" si="195"/>
        <v>0</v>
      </c>
      <c r="U136" s="19">
        <f t="shared" si="196"/>
        <v>0</v>
      </c>
      <c r="V136" s="19">
        <f t="shared" si="197"/>
        <v>0</v>
      </c>
      <c r="W136" s="19">
        <f t="shared" si="198"/>
        <v>0</v>
      </c>
      <c r="X136" s="19">
        <f t="shared" si="199"/>
        <v>0</v>
      </c>
      <c r="Y136" s="19">
        <f t="shared" si="200"/>
        <v>0</v>
      </c>
      <c r="Z136" s="19">
        <f t="shared" si="201"/>
        <v>0</v>
      </c>
      <c r="AA136" s="19">
        <f t="shared" si="202"/>
        <v>0</v>
      </c>
      <c r="AB136" s="19">
        <f t="shared" si="203"/>
        <v>0</v>
      </c>
      <c r="AC136" s="19">
        <f t="shared" si="204"/>
        <v>0</v>
      </c>
      <c r="AD136" s="19">
        <f t="shared" si="205"/>
        <v>0</v>
      </c>
      <c r="AE136" s="19">
        <f t="shared" si="206"/>
        <v>0</v>
      </c>
      <c r="AF136" s="19">
        <f t="shared" si="207"/>
        <v>3.2341449040656804E-3</v>
      </c>
      <c r="AG136" s="19">
        <f t="shared" si="208"/>
        <v>0</v>
      </c>
    </row>
    <row r="137" spans="1:33" outlineLevel="2">
      <c r="A137" t="s">
        <v>14</v>
      </c>
      <c r="B137">
        <v>227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1.08</v>
      </c>
      <c r="I137">
        <v>14.04</v>
      </c>
      <c r="J137">
        <v>29.88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S137" s="19">
        <f t="shared" si="209"/>
        <v>0</v>
      </c>
      <c r="T137" s="19">
        <f t="shared" si="195"/>
        <v>0</v>
      </c>
      <c r="U137" s="19">
        <f t="shared" si="196"/>
        <v>0</v>
      </c>
      <c r="V137" s="19">
        <f t="shared" si="197"/>
        <v>0</v>
      </c>
      <c r="W137" s="19">
        <f t="shared" si="198"/>
        <v>0</v>
      </c>
      <c r="X137" s="19">
        <f t="shared" si="199"/>
        <v>4.5969183621350136E-4</v>
      </c>
      <c r="Y137" s="19">
        <f t="shared" si="200"/>
        <v>3.6464122835267359E-3</v>
      </c>
      <c r="Z137" s="19">
        <f t="shared" si="201"/>
        <v>5.4811608027295735E-3</v>
      </c>
      <c r="AA137" s="19">
        <f t="shared" si="202"/>
        <v>0</v>
      </c>
      <c r="AB137" s="19">
        <f t="shared" si="203"/>
        <v>0</v>
      </c>
      <c r="AC137" s="19">
        <f t="shared" si="204"/>
        <v>0</v>
      </c>
      <c r="AD137" s="19">
        <f t="shared" si="205"/>
        <v>0</v>
      </c>
      <c r="AE137" s="19">
        <f t="shared" si="206"/>
        <v>0</v>
      </c>
      <c r="AF137" s="19">
        <f t="shared" si="207"/>
        <v>0</v>
      </c>
      <c r="AG137" s="19">
        <f t="shared" si="208"/>
        <v>0</v>
      </c>
    </row>
    <row r="138" spans="1:33" outlineLevel="1">
      <c r="A138" s="24" t="s">
        <v>68</v>
      </c>
      <c r="B138"/>
      <c r="C138">
        <f t="shared" ref="C138:Q138" si="210">SUBTOTAL(9,C126:C137)</f>
        <v>7840.8600000000006</v>
      </c>
      <c r="D138">
        <f t="shared" si="210"/>
        <v>145.28</v>
      </c>
      <c r="E138">
        <f t="shared" si="210"/>
        <v>4.54</v>
      </c>
      <c r="F138">
        <f t="shared" si="210"/>
        <v>0.06</v>
      </c>
      <c r="G138">
        <f t="shared" si="210"/>
        <v>0</v>
      </c>
      <c r="H138">
        <f t="shared" si="210"/>
        <v>2349.4</v>
      </c>
      <c r="I138">
        <f t="shared" si="210"/>
        <v>3850.3599999999992</v>
      </c>
      <c r="J138">
        <f t="shared" si="210"/>
        <v>5451.4000000000005</v>
      </c>
      <c r="K138">
        <f t="shared" si="210"/>
        <v>1885.72</v>
      </c>
      <c r="L138">
        <f t="shared" si="210"/>
        <v>6.28</v>
      </c>
      <c r="M138">
        <f t="shared" si="210"/>
        <v>219.60000000000002</v>
      </c>
      <c r="N138">
        <f t="shared" si="210"/>
        <v>701.43999999999994</v>
      </c>
      <c r="O138">
        <f t="shared" si="210"/>
        <v>7710.0800000000008</v>
      </c>
      <c r="P138">
        <f t="shared" si="210"/>
        <v>33393.679999999993</v>
      </c>
      <c r="Q138">
        <f t="shared" si="210"/>
        <v>44.84</v>
      </c>
    </row>
    <row r="139" spans="1:33" outlineLevel="2">
      <c r="A139" t="s">
        <v>15</v>
      </c>
      <c r="B139">
        <v>96</v>
      </c>
      <c r="C139">
        <v>37804.300000000003</v>
      </c>
      <c r="D139">
        <v>10452.120000000001</v>
      </c>
      <c r="E139">
        <v>351.34</v>
      </c>
      <c r="F139">
        <v>12.94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S139" s="19">
        <f>IF(C$185&gt;0, C139/C$185, 0)</f>
        <v>9.3510362119491389E-2</v>
      </c>
      <c r="T139" s="19">
        <f t="shared" ref="T139:T184" si="211">IF(D$185&gt;0, D139/D$185, 0)</f>
        <v>4.4524848388497587E-2</v>
      </c>
      <c r="U139" s="19">
        <f t="shared" ref="U139:U184" si="212">IF(E$185&gt;0, E139/E$185, 0)</f>
        <v>7.0651609981555851E-3</v>
      </c>
      <c r="V139" s="19">
        <f t="shared" ref="V139:V184" si="213">IF(F$185&gt;0, F139/F$185, 0)</f>
        <v>7.0608521040684477E-3</v>
      </c>
      <c r="W139" s="19">
        <f t="shared" ref="W139:W184" si="214">IF(G$185&gt;0, G139/G$185, 0)</f>
        <v>0</v>
      </c>
      <c r="X139" s="19">
        <f t="shared" ref="X139:X184" si="215">IF(H$185&gt;0, H139/H$185, 0)</f>
        <v>0</v>
      </c>
      <c r="Y139" s="19">
        <f t="shared" ref="Y139:Y184" si="216">IF(I$185&gt;0, I139/I$185, 0)</f>
        <v>0</v>
      </c>
      <c r="Z139" s="19">
        <f t="shared" ref="Z139:Z184" si="217">IF(J$185&gt;0, J139/J$185, 0)</f>
        <v>0</v>
      </c>
      <c r="AA139" s="19">
        <f t="shared" ref="AA139:AA184" si="218">IF(K$185&gt;0, K139/K$185, 0)</f>
        <v>0</v>
      </c>
      <c r="AB139" s="19">
        <f t="shared" ref="AB139:AB184" si="219">IF(L$185&gt;0, L139/L$185, 0)</f>
        <v>0</v>
      </c>
      <c r="AC139" s="19">
        <f t="shared" ref="AC139:AC184" si="220">IF(M$185&gt;0, M139/M$185, 0)</f>
        <v>0</v>
      </c>
      <c r="AD139" s="19">
        <f t="shared" ref="AD139:AD184" si="221">IF(N$185&gt;0, N139/N$185, 0)</f>
        <v>0</v>
      </c>
      <c r="AE139" s="19">
        <f t="shared" ref="AE139:AE184" si="222">IF(O$185&gt;0, O139/O$185, 0)</f>
        <v>0</v>
      </c>
      <c r="AF139" s="19">
        <f t="shared" ref="AF139:AF184" si="223">IF(P$185&gt;0, P139/P$185, 0)</f>
        <v>0</v>
      </c>
      <c r="AG139" s="19">
        <f t="shared" ref="AG139:AG184" si="224">IF(Q$185&gt;0, Q139/Q$185, 0)</f>
        <v>0</v>
      </c>
    </row>
    <row r="140" spans="1:33" outlineLevel="2">
      <c r="A140" s="21" t="s">
        <v>15</v>
      </c>
      <c r="B140" s="21">
        <v>97</v>
      </c>
      <c r="C140" s="21">
        <v>8447.9599999999991</v>
      </c>
      <c r="D140" s="22">
        <v>10257.120000000001</v>
      </c>
      <c r="E140">
        <v>1609.28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S140" s="19">
        <f t="shared" ref="S140:S184" si="225">IF(C$185&gt;0, C140/C$185, 0)</f>
        <v>2.0896347737452574E-2</v>
      </c>
      <c r="T140" s="19">
        <f t="shared" si="211"/>
        <v>4.3694170455623009E-2</v>
      </c>
      <c r="U140" s="19">
        <f t="shared" si="212"/>
        <v>3.2361308963146304E-2</v>
      </c>
      <c r="V140" s="19">
        <f t="shared" si="213"/>
        <v>0</v>
      </c>
      <c r="W140" s="19">
        <f t="shared" si="214"/>
        <v>0</v>
      </c>
      <c r="X140" s="19">
        <f t="shared" si="215"/>
        <v>0</v>
      </c>
      <c r="Y140" s="19">
        <f t="shared" si="216"/>
        <v>0</v>
      </c>
      <c r="Z140" s="19">
        <f t="shared" si="217"/>
        <v>0</v>
      </c>
      <c r="AA140" s="19">
        <f t="shared" si="218"/>
        <v>0</v>
      </c>
      <c r="AB140" s="19">
        <f t="shared" si="219"/>
        <v>0</v>
      </c>
      <c r="AC140" s="19">
        <f t="shared" si="220"/>
        <v>0</v>
      </c>
      <c r="AD140" s="19">
        <f t="shared" si="221"/>
        <v>0</v>
      </c>
      <c r="AE140" s="19">
        <f t="shared" si="222"/>
        <v>0</v>
      </c>
      <c r="AF140" s="19">
        <f t="shared" si="223"/>
        <v>0</v>
      </c>
      <c r="AG140" s="19">
        <f t="shared" si="224"/>
        <v>0</v>
      </c>
    </row>
    <row r="141" spans="1:33" outlineLevel="2">
      <c r="A141" t="s">
        <v>15</v>
      </c>
      <c r="B141">
        <v>98</v>
      </c>
      <c r="C141">
        <v>4102.9799999999996</v>
      </c>
      <c r="D141">
        <v>14797.2</v>
      </c>
      <c r="E141">
        <v>1449.84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S141" s="19">
        <f t="shared" si="225"/>
        <v>1.0148875804314077E-2</v>
      </c>
      <c r="T141" s="19">
        <f t="shared" si="211"/>
        <v>6.3034397478624091E-2</v>
      </c>
      <c r="U141" s="19">
        <f t="shared" si="212"/>
        <v>2.9155100533858638E-2</v>
      </c>
      <c r="V141" s="19">
        <f t="shared" si="213"/>
        <v>0</v>
      </c>
      <c r="W141" s="19">
        <f t="shared" si="214"/>
        <v>0</v>
      </c>
      <c r="X141" s="19">
        <f t="shared" si="215"/>
        <v>0</v>
      </c>
      <c r="Y141" s="19">
        <f t="shared" si="216"/>
        <v>0</v>
      </c>
      <c r="Z141" s="19">
        <f t="shared" si="217"/>
        <v>0</v>
      </c>
      <c r="AA141" s="19">
        <f t="shared" si="218"/>
        <v>0</v>
      </c>
      <c r="AB141" s="19">
        <f t="shared" si="219"/>
        <v>0</v>
      </c>
      <c r="AC141" s="19">
        <f t="shared" si="220"/>
        <v>0</v>
      </c>
      <c r="AD141" s="19">
        <f t="shared" si="221"/>
        <v>0</v>
      </c>
      <c r="AE141" s="19">
        <f t="shared" si="222"/>
        <v>0</v>
      </c>
      <c r="AF141" s="19">
        <f t="shared" si="223"/>
        <v>0</v>
      </c>
      <c r="AG141" s="19">
        <f t="shared" si="224"/>
        <v>0</v>
      </c>
    </row>
    <row r="142" spans="1:33" outlineLevel="2">
      <c r="A142" s="21" t="s">
        <v>15</v>
      </c>
      <c r="B142" s="21">
        <v>99</v>
      </c>
      <c r="C142" s="21">
        <v>39212.06</v>
      </c>
      <c r="D142" s="22">
        <v>11953.62</v>
      </c>
      <c r="E142">
        <v>1613.14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S142" s="19">
        <f t="shared" si="225"/>
        <v>9.699250958359823E-2</v>
      </c>
      <c r="T142" s="19">
        <f t="shared" si="211"/>
        <v>5.0921068471631831E-2</v>
      </c>
      <c r="U142" s="19">
        <f t="shared" si="212"/>
        <v>3.243893041658992E-2</v>
      </c>
      <c r="V142" s="19">
        <f t="shared" si="213"/>
        <v>0</v>
      </c>
      <c r="W142" s="19">
        <f t="shared" si="214"/>
        <v>0</v>
      </c>
      <c r="X142" s="19">
        <f t="shared" si="215"/>
        <v>0</v>
      </c>
      <c r="Y142" s="19">
        <f t="shared" si="216"/>
        <v>0</v>
      </c>
      <c r="Z142" s="19">
        <f t="shared" si="217"/>
        <v>0</v>
      </c>
      <c r="AA142" s="19">
        <f t="shared" si="218"/>
        <v>0</v>
      </c>
      <c r="AB142" s="19">
        <f t="shared" si="219"/>
        <v>0</v>
      </c>
      <c r="AC142" s="19">
        <f t="shared" si="220"/>
        <v>0</v>
      </c>
      <c r="AD142" s="19">
        <f t="shared" si="221"/>
        <v>0</v>
      </c>
      <c r="AE142" s="19">
        <f t="shared" si="222"/>
        <v>0</v>
      </c>
      <c r="AF142" s="19">
        <f t="shared" si="223"/>
        <v>0</v>
      </c>
      <c r="AG142" s="19">
        <f t="shared" si="224"/>
        <v>0</v>
      </c>
    </row>
    <row r="143" spans="1:33" outlineLevel="2">
      <c r="A143" s="21" t="s">
        <v>15</v>
      </c>
      <c r="B143" s="21">
        <v>100</v>
      </c>
      <c r="C143" s="21">
        <v>4475.8999999999996</v>
      </c>
      <c r="D143" s="22">
        <v>6806.92</v>
      </c>
      <c r="E143">
        <v>191.92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S143" s="19">
        <f t="shared" si="225"/>
        <v>1.1071307491757059E-2</v>
      </c>
      <c r="T143" s="19">
        <f t="shared" si="211"/>
        <v>2.8996708896628812E-2</v>
      </c>
      <c r="U143" s="19">
        <f t="shared" si="212"/>
        <v>3.8593547525645243E-3</v>
      </c>
      <c r="V143" s="19">
        <f t="shared" si="213"/>
        <v>0</v>
      </c>
      <c r="W143" s="19">
        <f t="shared" si="214"/>
        <v>0</v>
      </c>
      <c r="X143" s="19">
        <f t="shared" si="215"/>
        <v>0</v>
      </c>
      <c r="Y143" s="19">
        <f t="shared" si="216"/>
        <v>0</v>
      </c>
      <c r="Z143" s="19">
        <f t="shared" si="217"/>
        <v>0</v>
      </c>
      <c r="AA143" s="19">
        <f t="shared" si="218"/>
        <v>0</v>
      </c>
      <c r="AB143" s="19">
        <f t="shared" si="219"/>
        <v>0</v>
      </c>
      <c r="AC143" s="19">
        <f t="shared" si="220"/>
        <v>0</v>
      </c>
      <c r="AD143" s="19">
        <f t="shared" si="221"/>
        <v>0</v>
      </c>
      <c r="AE143" s="19">
        <f t="shared" si="222"/>
        <v>0</v>
      </c>
      <c r="AF143" s="19">
        <f t="shared" si="223"/>
        <v>0</v>
      </c>
      <c r="AG143" s="19">
        <f t="shared" si="224"/>
        <v>0</v>
      </c>
    </row>
    <row r="144" spans="1:33" outlineLevel="2">
      <c r="A144" t="s">
        <v>15</v>
      </c>
      <c r="B144">
        <v>101</v>
      </c>
      <c r="C144">
        <v>5878.34</v>
      </c>
      <c r="D144">
        <v>9424.02</v>
      </c>
      <c r="E144">
        <v>2851.84</v>
      </c>
      <c r="F144">
        <v>186.72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S144" s="19">
        <f t="shared" si="225"/>
        <v>1.4540295735180678E-2</v>
      </c>
      <c r="T144" s="19">
        <f t="shared" si="211"/>
        <v>4.0145258733172692E-2</v>
      </c>
      <c r="U144" s="19">
        <f t="shared" si="212"/>
        <v>5.7348177665452346E-2</v>
      </c>
      <c r="V144" s="19">
        <f t="shared" si="213"/>
        <v>0.10188580408590886</v>
      </c>
      <c r="W144" s="19">
        <f t="shared" si="214"/>
        <v>0</v>
      </c>
      <c r="X144" s="19">
        <f t="shared" si="215"/>
        <v>0</v>
      </c>
      <c r="Y144" s="19">
        <f t="shared" si="216"/>
        <v>0</v>
      </c>
      <c r="Z144" s="19">
        <f t="shared" si="217"/>
        <v>0</v>
      </c>
      <c r="AA144" s="19">
        <f t="shared" si="218"/>
        <v>0</v>
      </c>
      <c r="AB144" s="19">
        <f t="shared" si="219"/>
        <v>0</v>
      </c>
      <c r="AC144" s="19">
        <f t="shared" si="220"/>
        <v>0</v>
      </c>
      <c r="AD144" s="19">
        <f t="shared" si="221"/>
        <v>0</v>
      </c>
      <c r="AE144" s="19">
        <f t="shared" si="222"/>
        <v>0</v>
      </c>
      <c r="AF144" s="19">
        <f t="shared" si="223"/>
        <v>0</v>
      </c>
      <c r="AG144" s="19">
        <f t="shared" si="224"/>
        <v>0</v>
      </c>
    </row>
    <row r="145" spans="1:33" outlineLevel="2">
      <c r="A145" s="21" t="s">
        <v>15</v>
      </c>
      <c r="B145" s="21">
        <v>102</v>
      </c>
      <c r="C145" s="21">
        <v>15239.52</v>
      </c>
      <c r="D145" s="22">
        <v>5348.34</v>
      </c>
      <c r="E145">
        <v>404.16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S145" s="19">
        <f t="shared" si="225"/>
        <v>3.7695527591497031E-2</v>
      </c>
      <c r="T145" s="19">
        <f t="shared" si="211"/>
        <v>2.278332315646368E-2</v>
      </c>
      <c r="U145" s="19">
        <f t="shared" si="212"/>
        <v>8.1273281408736891E-3</v>
      </c>
      <c r="V145" s="19">
        <f t="shared" si="213"/>
        <v>1.0913218089750305E-3</v>
      </c>
      <c r="W145" s="19">
        <f t="shared" si="214"/>
        <v>0</v>
      </c>
      <c r="X145" s="19">
        <f t="shared" si="215"/>
        <v>0</v>
      </c>
      <c r="Y145" s="19">
        <f t="shared" si="216"/>
        <v>0</v>
      </c>
      <c r="Z145" s="19">
        <f t="shared" si="217"/>
        <v>0</v>
      </c>
      <c r="AA145" s="19">
        <f t="shared" si="218"/>
        <v>0</v>
      </c>
      <c r="AB145" s="19">
        <f t="shared" si="219"/>
        <v>0</v>
      </c>
      <c r="AC145" s="19">
        <f t="shared" si="220"/>
        <v>0</v>
      </c>
      <c r="AD145" s="19">
        <f t="shared" si="221"/>
        <v>0</v>
      </c>
      <c r="AE145" s="19">
        <f t="shared" si="222"/>
        <v>0</v>
      </c>
      <c r="AF145" s="19">
        <f t="shared" si="223"/>
        <v>0</v>
      </c>
      <c r="AG145" s="19">
        <f t="shared" si="224"/>
        <v>0</v>
      </c>
    </row>
    <row r="146" spans="1:33" outlineLevel="2">
      <c r="A146" t="s">
        <v>15</v>
      </c>
      <c r="B146">
        <v>103</v>
      </c>
      <c r="C146">
        <v>5347.44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S146" s="19">
        <f t="shared" si="225"/>
        <v>1.3227094558350583E-2</v>
      </c>
      <c r="T146" s="19">
        <f t="shared" si="211"/>
        <v>0</v>
      </c>
      <c r="U146" s="19">
        <f t="shared" si="212"/>
        <v>0</v>
      </c>
      <c r="V146" s="19">
        <f t="shared" si="213"/>
        <v>0</v>
      </c>
      <c r="W146" s="19">
        <f t="shared" si="214"/>
        <v>0</v>
      </c>
      <c r="X146" s="19">
        <f t="shared" si="215"/>
        <v>0</v>
      </c>
      <c r="Y146" s="19">
        <f t="shared" si="216"/>
        <v>0</v>
      </c>
      <c r="Z146" s="19">
        <f t="shared" si="217"/>
        <v>0</v>
      </c>
      <c r="AA146" s="19">
        <f t="shared" si="218"/>
        <v>0</v>
      </c>
      <c r="AB146" s="19">
        <f t="shared" si="219"/>
        <v>0</v>
      </c>
      <c r="AC146" s="19">
        <f t="shared" si="220"/>
        <v>0</v>
      </c>
      <c r="AD146" s="19">
        <f t="shared" si="221"/>
        <v>0</v>
      </c>
      <c r="AE146" s="19">
        <f t="shared" si="222"/>
        <v>0</v>
      </c>
      <c r="AF146" s="19">
        <f t="shared" si="223"/>
        <v>0</v>
      </c>
      <c r="AG146" s="19">
        <f t="shared" si="224"/>
        <v>0</v>
      </c>
    </row>
    <row r="147" spans="1:33" outlineLevel="2">
      <c r="A147" s="21" t="s">
        <v>15</v>
      </c>
      <c r="B147" s="21">
        <v>104</v>
      </c>
      <c r="C147" s="21">
        <v>3789.26</v>
      </c>
      <c r="D147" s="22">
        <v>10224.42</v>
      </c>
      <c r="E147">
        <v>4595.78</v>
      </c>
      <c r="F147">
        <v>0.48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S147" s="19">
        <f t="shared" si="225"/>
        <v>9.3728775500380619E-3</v>
      </c>
      <c r="T147" s="19">
        <f t="shared" si="211"/>
        <v>4.3554872156110189E-2</v>
      </c>
      <c r="U147" s="19">
        <f t="shared" si="212"/>
        <v>9.2417389457800078E-2</v>
      </c>
      <c r="V147" s="19">
        <f t="shared" si="213"/>
        <v>2.6191723415400735E-4</v>
      </c>
      <c r="W147" s="19">
        <f t="shared" si="214"/>
        <v>0</v>
      </c>
      <c r="X147" s="19">
        <f t="shared" si="215"/>
        <v>0</v>
      </c>
      <c r="Y147" s="19">
        <f t="shared" si="216"/>
        <v>0</v>
      </c>
      <c r="Z147" s="19">
        <f t="shared" si="217"/>
        <v>0</v>
      </c>
      <c r="AA147" s="19">
        <f t="shared" si="218"/>
        <v>0</v>
      </c>
      <c r="AB147" s="19">
        <f t="shared" si="219"/>
        <v>0</v>
      </c>
      <c r="AC147" s="19">
        <f t="shared" si="220"/>
        <v>0</v>
      </c>
      <c r="AD147" s="19">
        <f t="shared" si="221"/>
        <v>0</v>
      </c>
      <c r="AE147" s="19">
        <f t="shared" si="222"/>
        <v>0</v>
      </c>
      <c r="AF147" s="19">
        <f t="shared" si="223"/>
        <v>0</v>
      </c>
      <c r="AG147" s="19">
        <f t="shared" si="224"/>
        <v>0</v>
      </c>
    </row>
    <row r="148" spans="1:33" outlineLevel="2">
      <c r="A148" s="21" t="s">
        <v>15</v>
      </c>
      <c r="B148" s="21">
        <v>105</v>
      </c>
      <c r="C148" s="21">
        <v>4246.62</v>
      </c>
      <c r="D148" s="22">
        <v>5277.42</v>
      </c>
      <c r="E148">
        <v>7434.58</v>
      </c>
      <c r="F148">
        <v>202.92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S148" s="19">
        <f t="shared" si="225"/>
        <v>1.0504174762761762E-2</v>
      </c>
      <c r="T148" s="19">
        <f t="shared" si="211"/>
        <v>2.2481211982107448E-2</v>
      </c>
      <c r="U148" s="19">
        <f t="shared" si="212"/>
        <v>0.14950334335306983</v>
      </c>
      <c r="V148" s="19">
        <f t="shared" si="213"/>
        <v>0.11072551073860661</v>
      </c>
      <c r="W148" s="19">
        <f t="shared" si="214"/>
        <v>0</v>
      </c>
      <c r="X148" s="19">
        <f t="shared" si="215"/>
        <v>0</v>
      </c>
      <c r="Y148" s="19">
        <f t="shared" si="216"/>
        <v>0</v>
      </c>
      <c r="Z148" s="19">
        <f t="shared" si="217"/>
        <v>0</v>
      </c>
      <c r="AA148" s="19">
        <f t="shared" si="218"/>
        <v>0</v>
      </c>
      <c r="AB148" s="19">
        <f t="shared" si="219"/>
        <v>0</v>
      </c>
      <c r="AC148" s="19">
        <f t="shared" si="220"/>
        <v>0</v>
      </c>
      <c r="AD148" s="19">
        <f t="shared" si="221"/>
        <v>0</v>
      </c>
      <c r="AE148" s="19">
        <f t="shared" si="222"/>
        <v>0</v>
      </c>
      <c r="AF148" s="19">
        <f t="shared" si="223"/>
        <v>0</v>
      </c>
      <c r="AG148" s="19">
        <f t="shared" si="224"/>
        <v>0</v>
      </c>
    </row>
    <row r="149" spans="1:33" outlineLevel="2">
      <c r="A149" s="21" t="s">
        <v>15</v>
      </c>
      <c r="B149" s="21">
        <v>106</v>
      </c>
      <c r="C149" s="21">
        <v>2418.98</v>
      </c>
      <c r="D149" s="22">
        <v>4603.3</v>
      </c>
      <c r="E149">
        <v>6713.38</v>
      </c>
      <c r="F149">
        <v>18.239999999999998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S149" s="19">
        <f t="shared" si="225"/>
        <v>5.9834382797673081E-3</v>
      </c>
      <c r="T149" s="19">
        <f t="shared" si="211"/>
        <v>1.9609537068725858E-2</v>
      </c>
      <c r="U149" s="19">
        <f t="shared" si="212"/>
        <v>0.13500059925370794</v>
      </c>
      <c r="V149" s="19">
        <f t="shared" si="213"/>
        <v>9.9528548978522792E-3</v>
      </c>
      <c r="W149" s="19">
        <f t="shared" si="214"/>
        <v>0</v>
      </c>
      <c r="X149" s="19">
        <f t="shared" si="215"/>
        <v>0</v>
      </c>
      <c r="Y149" s="19">
        <f t="shared" si="216"/>
        <v>0</v>
      </c>
      <c r="Z149" s="19">
        <f t="shared" si="217"/>
        <v>0</v>
      </c>
      <c r="AA149" s="19">
        <f t="shared" si="218"/>
        <v>0</v>
      </c>
      <c r="AB149" s="19">
        <f t="shared" si="219"/>
        <v>0</v>
      </c>
      <c r="AC149" s="19">
        <f t="shared" si="220"/>
        <v>0</v>
      </c>
      <c r="AD149" s="19">
        <f t="shared" si="221"/>
        <v>0</v>
      </c>
      <c r="AE149" s="19">
        <f t="shared" si="222"/>
        <v>0</v>
      </c>
      <c r="AF149" s="19">
        <f t="shared" si="223"/>
        <v>0</v>
      </c>
      <c r="AG149" s="19">
        <f t="shared" si="224"/>
        <v>0</v>
      </c>
    </row>
    <row r="150" spans="1:33" outlineLevel="2">
      <c r="A150" t="s">
        <v>15</v>
      </c>
      <c r="B150">
        <v>107</v>
      </c>
      <c r="C150">
        <v>2191.38</v>
      </c>
      <c r="D150">
        <v>3176.88</v>
      </c>
      <c r="E150">
        <v>1705.28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S150" s="19">
        <f t="shared" si="225"/>
        <v>5.4204610941456666E-3</v>
      </c>
      <c r="T150" s="19">
        <f t="shared" si="211"/>
        <v>1.35331492891825E-2</v>
      </c>
      <c r="U150" s="19">
        <f t="shared" si="212"/>
        <v>3.4291790706821763E-2</v>
      </c>
      <c r="V150" s="19">
        <f t="shared" si="213"/>
        <v>0</v>
      </c>
      <c r="W150" s="19">
        <f t="shared" si="214"/>
        <v>0</v>
      </c>
      <c r="X150" s="19">
        <f t="shared" si="215"/>
        <v>0</v>
      </c>
      <c r="Y150" s="19">
        <f t="shared" si="216"/>
        <v>0</v>
      </c>
      <c r="Z150" s="19">
        <f t="shared" si="217"/>
        <v>0</v>
      </c>
      <c r="AA150" s="19">
        <f t="shared" si="218"/>
        <v>0</v>
      </c>
      <c r="AB150" s="19">
        <f t="shared" si="219"/>
        <v>0</v>
      </c>
      <c r="AC150" s="19">
        <f t="shared" si="220"/>
        <v>0</v>
      </c>
      <c r="AD150" s="19">
        <f t="shared" si="221"/>
        <v>0</v>
      </c>
      <c r="AE150" s="19">
        <f t="shared" si="222"/>
        <v>0</v>
      </c>
      <c r="AF150" s="19">
        <f t="shared" si="223"/>
        <v>0</v>
      </c>
      <c r="AG150" s="19">
        <f t="shared" si="224"/>
        <v>0</v>
      </c>
    </row>
    <row r="151" spans="1:33" outlineLevel="2">
      <c r="A151" s="21" t="s">
        <v>15</v>
      </c>
      <c r="B151" s="21">
        <v>108</v>
      </c>
      <c r="C151" s="21">
        <v>4063.76</v>
      </c>
      <c r="D151" s="22">
        <v>3065.16</v>
      </c>
      <c r="E151">
        <v>5386.22</v>
      </c>
      <c r="F151">
        <v>435.6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S151" s="19">
        <f t="shared" si="225"/>
        <v>1.0051863654840966E-2</v>
      </c>
      <c r="T151" s="19">
        <f t="shared" si="211"/>
        <v>1.3057234731947896E-2</v>
      </c>
      <c r="U151" s="19">
        <f t="shared" si="212"/>
        <v>0.1083124935147879</v>
      </c>
      <c r="V151" s="19">
        <f t="shared" si="213"/>
        <v>0.23768988999476168</v>
      </c>
      <c r="W151" s="19">
        <f t="shared" si="214"/>
        <v>0</v>
      </c>
      <c r="X151" s="19">
        <f t="shared" si="215"/>
        <v>0</v>
      </c>
      <c r="Y151" s="19">
        <f t="shared" si="216"/>
        <v>0</v>
      </c>
      <c r="Z151" s="19">
        <f t="shared" si="217"/>
        <v>0</v>
      </c>
      <c r="AA151" s="19">
        <f t="shared" si="218"/>
        <v>0</v>
      </c>
      <c r="AB151" s="19">
        <f t="shared" si="219"/>
        <v>0</v>
      </c>
      <c r="AC151" s="19">
        <f t="shared" si="220"/>
        <v>0</v>
      </c>
      <c r="AD151" s="19">
        <f t="shared" si="221"/>
        <v>0</v>
      </c>
      <c r="AE151" s="19">
        <f t="shared" si="222"/>
        <v>0</v>
      </c>
      <c r="AF151" s="19">
        <f t="shared" si="223"/>
        <v>0</v>
      </c>
      <c r="AG151" s="19">
        <f t="shared" si="224"/>
        <v>0</v>
      </c>
    </row>
    <row r="152" spans="1:33" outlineLevel="2">
      <c r="A152" s="21" t="s">
        <v>15</v>
      </c>
      <c r="B152" s="21">
        <v>109</v>
      </c>
      <c r="C152" s="21">
        <v>11237.52</v>
      </c>
      <c r="D152" s="22">
        <v>11765.68</v>
      </c>
      <c r="E152">
        <v>2012.58</v>
      </c>
      <c r="F152">
        <v>69.599999999999994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S152" s="19">
        <f t="shared" si="225"/>
        <v>2.7796429626392415E-2</v>
      </c>
      <c r="T152" s="19">
        <f t="shared" si="211"/>
        <v>5.0120465339814145E-2</v>
      </c>
      <c r="U152" s="19">
        <f t="shared" si="212"/>
        <v>4.0471343205066228E-2</v>
      </c>
      <c r="V152" s="19">
        <f t="shared" si="213"/>
        <v>3.797799895233106E-2</v>
      </c>
      <c r="W152" s="19">
        <f t="shared" si="214"/>
        <v>0</v>
      </c>
      <c r="X152" s="19">
        <f t="shared" si="215"/>
        <v>0</v>
      </c>
      <c r="Y152" s="19">
        <f t="shared" si="216"/>
        <v>0</v>
      </c>
      <c r="Z152" s="19">
        <f t="shared" si="217"/>
        <v>0</v>
      </c>
      <c r="AA152" s="19">
        <f t="shared" si="218"/>
        <v>0</v>
      </c>
      <c r="AB152" s="19">
        <f t="shared" si="219"/>
        <v>0</v>
      </c>
      <c r="AC152" s="19">
        <f t="shared" si="220"/>
        <v>0</v>
      </c>
      <c r="AD152" s="19">
        <f t="shared" si="221"/>
        <v>0</v>
      </c>
      <c r="AE152" s="19">
        <f t="shared" si="222"/>
        <v>0</v>
      </c>
      <c r="AF152" s="19">
        <f t="shared" si="223"/>
        <v>0</v>
      </c>
      <c r="AG152" s="19">
        <f t="shared" si="224"/>
        <v>0</v>
      </c>
    </row>
    <row r="153" spans="1:33" outlineLevel="2">
      <c r="A153" s="21" t="s">
        <v>15</v>
      </c>
      <c r="B153" s="21">
        <v>110</v>
      </c>
      <c r="C153" s="21">
        <v>6078.18</v>
      </c>
      <c r="D153" s="22">
        <v>4682.66</v>
      </c>
      <c r="E153">
        <v>4715.66</v>
      </c>
      <c r="F153">
        <v>863.74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S153" s="19">
        <f t="shared" si="225"/>
        <v>1.5034607513628083E-2</v>
      </c>
      <c r="T153" s="19">
        <f t="shared" si="211"/>
        <v>1.9947601687971633E-2</v>
      </c>
      <c r="U153" s="19">
        <f t="shared" si="212"/>
        <v>9.4828078535214799E-2</v>
      </c>
      <c r="V153" s="19">
        <f t="shared" si="213"/>
        <v>0.47130914964204651</v>
      </c>
      <c r="W153" s="19">
        <f t="shared" si="214"/>
        <v>0</v>
      </c>
      <c r="X153" s="19">
        <f t="shared" si="215"/>
        <v>0</v>
      </c>
      <c r="Y153" s="19">
        <f t="shared" si="216"/>
        <v>0</v>
      </c>
      <c r="Z153" s="19">
        <f t="shared" si="217"/>
        <v>0</v>
      </c>
      <c r="AA153" s="19">
        <f t="shared" si="218"/>
        <v>0</v>
      </c>
      <c r="AB153" s="19">
        <f t="shared" si="219"/>
        <v>0</v>
      </c>
      <c r="AC153" s="19">
        <f t="shared" si="220"/>
        <v>0</v>
      </c>
      <c r="AD153" s="19">
        <f t="shared" si="221"/>
        <v>0</v>
      </c>
      <c r="AE153" s="19">
        <f t="shared" si="222"/>
        <v>0</v>
      </c>
      <c r="AF153" s="19">
        <f t="shared" si="223"/>
        <v>0</v>
      </c>
      <c r="AG153" s="19">
        <f t="shared" si="224"/>
        <v>0</v>
      </c>
    </row>
    <row r="154" spans="1:33" outlineLevel="2">
      <c r="A154" t="s">
        <v>15</v>
      </c>
      <c r="B154">
        <v>111</v>
      </c>
      <c r="C154">
        <v>3661.78</v>
      </c>
      <c r="D154">
        <v>2648.64</v>
      </c>
      <c r="E154">
        <v>1493.92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S154" s="19">
        <f t="shared" si="225"/>
        <v>9.0575509611846051E-3</v>
      </c>
      <c r="T154" s="19">
        <f t="shared" si="211"/>
        <v>1.1282906667327798E-2</v>
      </c>
      <c r="U154" s="19">
        <f t="shared" si="212"/>
        <v>3.0041513401162959E-2</v>
      </c>
      <c r="V154" s="19">
        <f t="shared" si="213"/>
        <v>0</v>
      </c>
      <c r="W154" s="19">
        <f t="shared" si="214"/>
        <v>0</v>
      </c>
      <c r="X154" s="19">
        <f t="shared" si="215"/>
        <v>0</v>
      </c>
      <c r="Y154" s="19">
        <f t="shared" si="216"/>
        <v>0</v>
      </c>
      <c r="Z154" s="19">
        <f t="shared" si="217"/>
        <v>0</v>
      </c>
      <c r="AA154" s="19">
        <f t="shared" si="218"/>
        <v>0</v>
      </c>
      <c r="AB154" s="19">
        <f t="shared" si="219"/>
        <v>0</v>
      </c>
      <c r="AC154" s="19">
        <f t="shared" si="220"/>
        <v>0</v>
      </c>
      <c r="AD154" s="19">
        <f t="shared" si="221"/>
        <v>0</v>
      </c>
      <c r="AE154" s="19">
        <f t="shared" si="222"/>
        <v>0</v>
      </c>
      <c r="AF154" s="19">
        <f t="shared" si="223"/>
        <v>0</v>
      </c>
      <c r="AG154" s="19">
        <f t="shared" si="224"/>
        <v>0</v>
      </c>
    </row>
    <row r="155" spans="1:33" outlineLevel="2">
      <c r="A155" s="21" t="s">
        <v>15</v>
      </c>
      <c r="B155" s="21">
        <v>112</v>
      </c>
      <c r="C155" s="21">
        <v>7678.9</v>
      </c>
      <c r="D155" s="22">
        <v>5082.3</v>
      </c>
      <c r="E155">
        <v>2556.3000000000002</v>
      </c>
      <c r="F155">
        <v>39.119999999999997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S155" s="19">
        <f t="shared" si="225"/>
        <v>1.8994048816652134E-2</v>
      </c>
      <c r="T155" s="19">
        <f t="shared" si="211"/>
        <v>2.1650022862812642E-2</v>
      </c>
      <c r="U155" s="19">
        <f t="shared" si="212"/>
        <v>5.1405109180808123E-2</v>
      </c>
      <c r="V155" s="19">
        <f t="shared" si="213"/>
        <v>2.1346254583551598E-2</v>
      </c>
      <c r="W155" s="19">
        <f t="shared" si="214"/>
        <v>0</v>
      </c>
      <c r="X155" s="19">
        <f t="shared" si="215"/>
        <v>0</v>
      </c>
      <c r="Y155" s="19">
        <f t="shared" si="216"/>
        <v>0</v>
      </c>
      <c r="Z155" s="19">
        <f t="shared" si="217"/>
        <v>0</v>
      </c>
      <c r="AA155" s="19">
        <f t="shared" si="218"/>
        <v>0</v>
      </c>
      <c r="AB155" s="19">
        <f t="shared" si="219"/>
        <v>0</v>
      </c>
      <c r="AC155" s="19">
        <f t="shared" si="220"/>
        <v>0</v>
      </c>
      <c r="AD155" s="19">
        <f t="shared" si="221"/>
        <v>0</v>
      </c>
      <c r="AE155" s="19">
        <f t="shared" si="222"/>
        <v>0</v>
      </c>
      <c r="AF155" s="19">
        <f t="shared" si="223"/>
        <v>0</v>
      </c>
      <c r="AG155" s="19">
        <f t="shared" si="224"/>
        <v>0</v>
      </c>
    </row>
    <row r="156" spans="1:33" outlineLevel="2">
      <c r="A156" s="21" t="s">
        <v>15</v>
      </c>
      <c r="B156" s="21">
        <v>113</v>
      </c>
      <c r="C156" s="21">
        <v>8689.24</v>
      </c>
      <c r="D156" s="22">
        <v>3979.38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S156" s="19">
        <f t="shared" si="225"/>
        <v>2.1493162919116852E-2</v>
      </c>
      <c r="T156" s="19">
        <f t="shared" si="211"/>
        <v>1.6951708474474032E-2</v>
      </c>
      <c r="U156" s="19">
        <f t="shared" si="212"/>
        <v>4.0218369659905422E-5</v>
      </c>
      <c r="V156" s="19">
        <f t="shared" si="213"/>
        <v>0</v>
      </c>
      <c r="W156" s="19">
        <f t="shared" si="214"/>
        <v>0</v>
      </c>
      <c r="X156" s="19">
        <f t="shared" si="215"/>
        <v>0</v>
      </c>
      <c r="Y156" s="19">
        <f t="shared" si="216"/>
        <v>0</v>
      </c>
      <c r="Z156" s="19">
        <f t="shared" si="217"/>
        <v>0</v>
      </c>
      <c r="AA156" s="19">
        <f t="shared" si="218"/>
        <v>0</v>
      </c>
      <c r="AB156" s="19">
        <f t="shared" si="219"/>
        <v>0</v>
      </c>
      <c r="AC156" s="19">
        <f t="shared" si="220"/>
        <v>0</v>
      </c>
      <c r="AD156" s="19">
        <f t="shared" si="221"/>
        <v>0</v>
      </c>
      <c r="AE156" s="19">
        <f t="shared" si="222"/>
        <v>0</v>
      </c>
      <c r="AF156" s="19">
        <f t="shared" si="223"/>
        <v>0</v>
      </c>
      <c r="AG156" s="19">
        <f t="shared" si="224"/>
        <v>0</v>
      </c>
    </row>
    <row r="157" spans="1:33" outlineLevel="2">
      <c r="A157" t="s">
        <v>15</v>
      </c>
      <c r="B157">
        <v>114</v>
      </c>
      <c r="C157">
        <v>81.72</v>
      </c>
      <c r="D157">
        <v>16.96</v>
      </c>
      <c r="E157">
        <v>0.04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S157" s="19">
        <f t="shared" si="225"/>
        <v>2.0213750267574946E-4</v>
      </c>
      <c r="T157" s="19">
        <f t="shared" si="211"/>
        <v>7.2247680725911974E-5</v>
      </c>
      <c r="U157" s="19">
        <f t="shared" si="212"/>
        <v>8.0436739319810847E-7</v>
      </c>
      <c r="V157" s="19">
        <f t="shared" si="213"/>
        <v>0</v>
      </c>
      <c r="W157" s="19">
        <f t="shared" si="214"/>
        <v>0</v>
      </c>
      <c r="X157" s="19">
        <f t="shared" si="215"/>
        <v>0</v>
      </c>
      <c r="Y157" s="19">
        <f t="shared" si="216"/>
        <v>0</v>
      </c>
      <c r="Z157" s="19">
        <f t="shared" si="217"/>
        <v>0</v>
      </c>
      <c r="AA157" s="19">
        <f t="shared" si="218"/>
        <v>0</v>
      </c>
      <c r="AB157" s="19">
        <f t="shared" si="219"/>
        <v>0</v>
      </c>
      <c r="AC157" s="19">
        <f t="shared" si="220"/>
        <v>0</v>
      </c>
      <c r="AD157" s="19">
        <f t="shared" si="221"/>
        <v>0</v>
      </c>
      <c r="AE157" s="19">
        <f t="shared" si="222"/>
        <v>0</v>
      </c>
      <c r="AF157" s="19">
        <f t="shared" si="223"/>
        <v>0</v>
      </c>
      <c r="AG157" s="19">
        <f t="shared" si="224"/>
        <v>0</v>
      </c>
    </row>
    <row r="158" spans="1:33" outlineLevel="2">
      <c r="A158" s="21" t="s">
        <v>15</v>
      </c>
      <c r="B158" s="21">
        <v>115</v>
      </c>
      <c r="C158" s="21">
        <v>16764.28</v>
      </c>
      <c r="D158" s="22">
        <v>5054.3599999999997</v>
      </c>
      <c r="E158">
        <v>213.5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S158" s="19">
        <f t="shared" si="225"/>
        <v>4.1467078969126443E-2</v>
      </c>
      <c r="T158" s="19">
        <f t="shared" si="211"/>
        <v>2.1531001624635636E-2</v>
      </c>
      <c r="U158" s="19">
        <f t="shared" si="212"/>
        <v>4.2933109611949039E-3</v>
      </c>
      <c r="V158" s="19">
        <f t="shared" si="213"/>
        <v>5.4566090448751527E-4</v>
      </c>
      <c r="W158" s="19">
        <f t="shared" si="214"/>
        <v>0</v>
      </c>
      <c r="X158" s="19">
        <f t="shared" si="215"/>
        <v>0</v>
      </c>
      <c r="Y158" s="19">
        <f t="shared" si="216"/>
        <v>0</v>
      </c>
      <c r="Z158" s="19">
        <f t="shared" si="217"/>
        <v>0</v>
      </c>
      <c r="AA158" s="19">
        <f t="shared" si="218"/>
        <v>0</v>
      </c>
      <c r="AB158" s="19">
        <f t="shared" si="219"/>
        <v>0</v>
      </c>
      <c r="AC158" s="19">
        <f t="shared" si="220"/>
        <v>0</v>
      </c>
      <c r="AD158" s="19">
        <f t="shared" si="221"/>
        <v>0</v>
      </c>
      <c r="AE158" s="19">
        <f t="shared" si="222"/>
        <v>0</v>
      </c>
      <c r="AF158" s="19">
        <f t="shared" si="223"/>
        <v>0</v>
      </c>
      <c r="AG158" s="19">
        <f t="shared" si="224"/>
        <v>0</v>
      </c>
    </row>
    <row r="159" spans="1:33" outlineLevel="2">
      <c r="A159" s="21" t="s">
        <v>15</v>
      </c>
      <c r="B159" s="21">
        <v>116</v>
      </c>
      <c r="C159" s="21">
        <v>19861.38</v>
      </c>
      <c r="D159" s="22">
        <v>26803.74</v>
      </c>
      <c r="E159">
        <v>1889.7</v>
      </c>
      <c r="F159">
        <v>0.28000000000000003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s="19">
        <f t="shared" si="225"/>
        <v>4.912787264921778E-2</v>
      </c>
      <c r="T159" s="19">
        <f t="shared" si="211"/>
        <v>0.11418089916157757</v>
      </c>
      <c r="U159" s="19">
        <f t="shared" si="212"/>
        <v>3.8000326573161644E-2</v>
      </c>
      <c r="V159" s="19">
        <f t="shared" si="213"/>
        <v>1.527850532565043E-4</v>
      </c>
      <c r="W159" s="19">
        <f t="shared" si="214"/>
        <v>0</v>
      </c>
      <c r="X159" s="19">
        <f t="shared" si="215"/>
        <v>0</v>
      </c>
      <c r="Y159" s="19">
        <f t="shared" si="216"/>
        <v>0</v>
      </c>
      <c r="Z159" s="19">
        <f t="shared" si="217"/>
        <v>0</v>
      </c>
      <c r="AA159" s="19">
        <f t="shared" si="218"/>
        <v>0</v>
      </c>
      <c r="AB159" s="19">
        <f t="shared" si="219"/>
        <v>0</v>
      </c>
      <c r="AC159" s="19">
        <f t="shared" si="220"/>
        <v>0</v>
      </c>
      <c r="AD159" s="19">
        <f t="shared" si="221"/>
        <v>0</v>
      </c>
      <c r="AE159" s="19">
        <f t="shared" si="222"/>
        <v>0</v>
      </c>
      <c r="AF159" s="19">
        <f t="shared" si="223"/>
        <v>0</v>
      </c>
      <c r="AG159" s="19">
        <f t="shared" si="224"/>
        <v>0</v>
      </c>
    </row>
    <row r="160" spans="1:33" outlineLevel="2">
      <c r="A160" t="s">
        <v>15</v>
      </c>
      <c r="B160">
        <v>117</v>
      </c>
      <c r="C160">
        <v>22434.82</v>
      </c>
      <c r="D160">
        <v>27048.7</v>
      </c>
      <c r="E160">
        <v>331.7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s="19">
        <f t="shared" si="225"/>
        <v>5.5493373565589296E-2</v>
      </c>
      <c r="T160" s="19">
        <f t="shared" si="211"/>
        <v>0.11522440104074146</v>
      </c>
      <c r="U160" s="19">
        <f t="shared" si="212"/>
        <v>6.6702166080953142E-3</v>
      </c>
      <c r="V160" s="19">
        <f t="shared" si="213"/>
        <v>0</v>
      </c>
      <c r="W160" s="19">
        <f t="shared" si="214"/>
        <v>0</v>
      </c>
      <c r="X160" s="19">
        <f t="shared" si="215"/>
        <v>0</v>
      </c>
      <c r="Y160" s="19">
        <f t="shared" si="216"/>
        <v>0</v>
      </c>
      <c r="Z160" s="19">
        <f t="shared" si="217"/>
        <v>0</v>
      </c>
      <c r="AA160" s="19">
        <f t="shared" si="218"/>
        <v>0</v>
      </c>
      <c r="AB160" s="19">
        <f t="shared" si="219"/>
        <v>0</v>
      </c>
      <c r="AC160" s="19">
        <f t="shared" si="220"/>
        <v>0</v>
      </c>
      <c r="AD160" s="19">
        <f t="shared" si="221"/>
        <v>0</v>
      </c>
      <c r="AE160" s="19">
        <f t="shared" si="222"/>
        <v>0</v>
      </c>
      <c r="AF160" s="19">
        <f t="shared" si="223"/>
        <v>0</v>
      </c>
      <c r="AG160" s="19">
        <f t="shared" si="224"/>
        <v>0</v>
      </c>
    </row>
    <row r="161" spans="1:33" outlineLevel="2">
      <c r="A161" s="21" t="s">
        <v>15</v>
      </c>
      <c r="B161" s="21">
        <v>118</v>
      </c>
      <c r="C161" s="21">
        <v>9208.18</v>
      </c>
      <c r="D161" s="22">
        <v>9584.2199999999993</v>
      </c>
      <c r="E161">
        <v>944.72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s="19">
        <f t="shared" si="225"/>
        <v>2.2776780584786865E-2</v>
      </c>
      <c r="T161" s="19">
        <f t="shared" si="211"/>
        <v>4.082769260418042E-2</v>
      </c>
      <c r="U161" s="19">
        <f t="shared" si="212"/>
        <v>1.8997549092552926E-2</v>
      </c>
      <c r="V161" s="19">
        <f t="shared" si="213"/>
        <v>0</v>
      </c>
      <c r="W161" s="19">
        <f t="shared" si="214"/>
        <v>0</v>
      </c>
      <c r="X161" s="19">
        <f t="shared" si="215"/>
        <v>0</v>
      </c>
      <c r="Y161" s="19">
        <f t="shared" si="216"/>
        <v>0</v>
      </c>
      <c r="Z161" s="19">
        <f t="shared" si="217"/>
        <v>0</v>
      </c>
      <c r="AA161" s="19">
        <f t="shared" si="218"/>
        <v>0</v>
      </c>
      <c r="AB161" s="19">
        <f t="shared" si="219"/>
        <v>0</v>
      </c>
      <c r="AC161" s="19">
        <f t="shared" si="220"/>
        <v>0</v>
      </c>
      <c r="AD161" s="19">
        <f t="shared" si="221"/>
        <v>0</v>
      </c>
      <c r="AE161" s="19">
        <f t="shared" si="222"/>
        <v>0</v>
      </c>
      <c r="AF161" s="19">
        <f t="shared" si="223"/>
        <v>0</v>
      </c>
      <c r="AG161" s="19">
        <f t="shared" si="224"/>
        <v>0</v>
      </c>
    </row>
    <row r="162" spans="1:33" outlineLevel="2">
      <c r="A162" s="21" t="s">
        <v>15</v>
      </c>
      <c r="B162" s="21">
        <v>119</v>
      </c>
      <c r="C162" s="21">
        <v>11937.8</v>
      </c>
      <c r="D162" s="22">
        <v>2085.6</v>
      </c>
      <c r="E162">
        <v>4.4400000000000004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s="19">
        <f t="shared" si="225"/>
        <v>2.952859862264515E-2</v>
      </c>
      <c r="T162" s="19">
        <f t="shared" si="211"/>
        <v>8.8844199836062496E-3</v>
      </c>
      <c r="U162" s="19">
        <f t="shared" si="212"/>
        <v>8.9284780644990051E-5</v>
      </c>
      <c r="V162" s="19">
        <f t="shared" si="213"/>
        <v>0</v>
      </c>
      <c r="W162" s="19">
        <f t="shared" si="214"/>
        <v>0</v>
      </c>
      <c r="X162" s="19">
        <f t="shared" si="215"/>
        <v>0</v>
      </c>
      <c r="Y162" s="19">
        <f t="shared" si="216"/>
        <v>0</v>
      </c>
      <c r="Z162" s="19">
        <f t="shared" si="217"/>
        <v>0</v>
      </c>
      <c r="AA162" s="19">
        <f t="shared" si="218"/>
        <v>0</v>
      </c>
      <c r="AB162" s="19">
        <f t="shared" si="219"/>
        <v>0</v>
      </c>
      <c r="AC162" s="19">
        <f t="shared" si="220"/>
        <v>0</v>
      </c>
      <c r="AD162" s="19">
        <f t="shared" si="221"/>
        <v>0</v>
      </c>
      <c r="AE162" s="19">
        <f t="shared" si="222"/>
        <v>0</v>
      </c>
      <c r="AF162" s="19">
        <f t="shared" si="223"/>
        <v>0</v>
      </c>
      <c r="AG162" s="19">
        <f t="shared" si="224"/>
        <v>0</v>
      </c>
    </row>
    <row r="163" spans="1:33" outlineLevel="2">
      <c r="A163" s="21" t="s">
        <v>15</v>
      </c>
      <c r="B163" s="21">
        <v>120</v>
      </c>
      <c r="C163" s="21">
        <v>23586.32</v>
      </c>
      <c r="D163" s="22">
        <v>1251.8599999999999</v>
      </c>
      <c r="E163">
        <v>41.12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s="19">
        <f t="shared" si="225"/>
        <v>5.8341652252950106E-2</v>
      </c>
      <c r="T163" s="19">
        <f t="shared" si="211"/>
        <v>5.3327819335813762E-3</v>
      </c>
      <c r="U163" s="19">
        <f t="shared" si="212"/>
        <v>8.2688968020765553E-4</v>
      </c>
      <c r="V163" s="19">
        <f t="shared" si="213"/>
        <v>0</v>
      </c>
      <c r="W163" s="19">
        <f t="shared" si="214"/>
        <v>0</v>
      </c>
      <c r="X163" s="19">
        <f t="shared" si="215"/>
        <v>0</v>
      </c>
      <c r="Y163" s="19">
        <f t="shared" si="216"/>
        <v>0</v>
      </c>
      <c r="Z163" s="19">
        <f t="shared" si="217"/>
        <v>0</v>
      </c>
      <c r="AA163" s="19">
        <f t="shared" si="218"/>
        <v>0</v>
      </c>
      <c r="AB163" s="19">
        <f t="shared" si="219"/>
        <v>0</v>
      </c>
      <c r="AC163" s="19">
        <f t="shared" si="220"/>
        <v>0</v>
      </c>
      <c r="AD163" s="19">
        <f t="shared" si="221"/>
        <v>0</v>
      </c>
      <c r="AE163" s="19">
        <f t="shared" si="222"/>
        <v>0</v>
      </c>
      <c r="AF163" s="19">
        <f t="shared" si="223"/>
        <v>0</v>
      </c>
      <c r="AG163" s="19">
        <f t="shared" si="224"/>
        <v>0</v>
      </c>
    </row>
    <row r="164" spans="1:33" outlineLevel="2">
      <c r="A164" t="s">
        <v>15</v>
      </c>
      <c r="B164">
        <v>121</v>
      </c>
      <c r="C164">
        <v>16027.04</v>
      </c>
      <c r="D164">
        <v>818.1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S164" s="19">
        <f t="shared" si="225"/>
        <v>3.964348801865325E-2</v>
      </c>
      <c r="T164" s="19">
        <f t="shared" si="211"/>
        <v>3.4850134199214964E-3</v>
      </c>
      <c r="U164" s="19">
        <f t="shared" si="212"/>
        <v>0</v>
      </c>
      <c r="V164" s="19">
        <f t="shared" si="213"/>
        <v>0</v>
      </c>
      <c r="W164" s="19">
        <f t="shared" si="214"/>
        <v>0</v>
      </c>
      <c r="X164" s="19">
        <f t="shared" si="215"/>
        <v>0</v>
      </c>
      <c r="Y164" s="19">
        <f t="shared" si="216"/>
        <v>0</v>
      </c>
      <c r="Z164" s="19">
        <f t="shared" si="217"/>
        <v>0</v>
      </c>
      <c r="AA164" s="19">
        <f t="shared" si="218"/>
        <v>0</v>
      </c>
      <c r="AB164" s="19">
        <f t="shared" si="219"/>
        <v>0</v>
      </c>
      <c r="AC164" s="19">
        <f t="shared" si="220"/>
        <v>0</v>
      </c>
      <c r="AD164" s="19">
        <f t="shared" si="221"/>
        <v>0</v>
      </c>
      <c r="AE164" s="19">
        <f t="shared" si="222"/>
        <v>0</v>
      </c>
      <c r="AF164" s="19">
        <f t="shared" si="223"/>
        <v>0</v>
      </c>
      <c r="AG164" s="19">
        <f t="shared" si="224"/>
        <v>0</v>
      </c>
    </row>
    <row r="165" spans="1:33" outlineLevel="2">
      <c r="A165" s="21" t="s">
        <v>15</v>
      </c>
      <c r="B165" s="21">
        <v>122</v>
      </c>
      <c r="C165" s="21">
        <v>9097.84</v>
      </c>
      <c r="D165" s="22">
        <v>245.96</v>
      </c>
      <c r="E165">
        <v>67.84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S165" s="19">
        <f t="shared" si="225"/>
        <v>2.2503850432495601E-2</v>
      </c>
      <c r="T165" s="19">
        <f t="shared" si="211"/>
        <v>1.0477617659991336E-3</v>
      </c>
      <c r="U165" s="19">
        <f t="shared" si="212"/>
        <v>1.3642070988639922E-3</v>
      </c>
      <c r="V165" s="19">
        <f t="shared" si="213"/>
        <v>0</v>
      </c>
      <c r="W165" s="19">
        <f t="shared" si="214"/>
        <v>0</v>
      </c>
      <c r="X165" s="19">
        <f t="shared" si="215"/>
        <v>0</v>
      </c>
      <c r="Y165" s="19">
        <f t="shared" si="216"/>
        <v>0</v>
      </c>
      <c r="Z165" s="19">
        <f t="shared" si="217"/>
        <v>0</v>
      </c>
      <c r="AA165" s="19">
        <f t="shared" si="218"/>
        <v>0</v>
      </c>
      <c r="AB165" s="19">
        <f t="shared" si="219"/>
        <v>0</v>
      </c>
      <c r="AC165" s="19">
        <f t="shared" si="220"/>
        <v>0</v>
      </c>
      <c r="AD165" s="19">
        <f t="shared" si="221"/>
        <v>0</v>
      </c>
      <c r="AE165" s="19">
        <f t="shared" si="222"/>
        <v>0</v>
      </c>
      <c r="AF165" s="19">
        <f t="shared" si="223"/>
        <v>0</v>
      </c>
      <c r="AG165" s="19">
        <f t="shared" si="224"/>
        <v>0</v>
      </c>
    </row>
    <row r="166" spans="1:33" outlineLevel="2">
      <c r="A166" s="21" t="s">
        <v>15</v>
      </c>
      <c r="B166" s="21">
        <v>123</v>
      </c>
      <c r="C166" s="21">
        <v>2416.14</v>
      </c>
      <c r="D166" s="22">
        <v>5378.06</v>
      </c>
      <c r="E166">
        <v>1061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S166" s="19">
        <f t="shared" si="225"/>
        <v>5.9764134326356494E-3</v>
      </c>
      <c r="T166" s="19">
        <f t="shared" si="211"/>
        <v>2.2909926993207437E-2</v>
      </c>
      <c r="U166" s="19">
        <f t="shared" si="212"/>
        <v>2.1335845104579827E-2</v>
      </c>
      <c r="V166" s="19">
        <f t="shared" si="213"/>
        <v>0</v>
      </c>
      <c r="W166" s="19">
        <f t="shared" si="214"/>
        <v>0</v>
      </c>
      <c r="X166" s="19">
        <f t="shared" si="215"/>
        <v>0</v>
      </c>
      <c r="Y166" s="19">
        <f t="shared" si="216"/>
        <v>0</v>
      </c>
      <c r="Z166" s="19">
        <f t="shared" si="217"/>
        <v>0</v>
      </c>
      <c r="AA166" s="19">
        <f t="shared" si="218"/>
        <v>0</v>
      </c>
      <c r="AB166" s="19">
        <f t="shared" si="219"/>
        <v>0</v>
      </c>
      <c r="AC166" s="19">
        <f t="shared" si="220"/>
        <v>0</v>
      </c>
      <c r="AD166" s="19">
        <f t="shared" si="221"/>
        <v>0</v>
      </c>
      <c r="AE166" s="19">
        <f t="shared" si="222"/>
        <v>0</v>
      </c>
      <c r="AF166" s="19">
        <f t="shared" si="223"/>
        <v>0</v>
      </c>
      <c r="AG166" s="19">
        <f t="shared" si="224"/>
        <v>0</v>
      </c>
    </row>
    <row r="167" spans="1:33" outlineLevel="2">
      <c r="A167" s="21" t="s">
        <v>15</v>
      </c>
      <c r="B167" s="21">
        <v>124</v>
      </c>
      <c r="C167" s="21">
        <v>7329.6</v>
      </c>
      <c r="D167" s="22">
        <v>19.46</v>
      </c>
      <c r="E167">
        <v>0.6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S167" s="19">
        <f t="shared" si="225"/>
        <v>1.8130042090212597E-2</v>
      </c>
      <c r="T167" s="19">
        <f t="shared" si="211"/>
        <v>8.2897397814047575E-5</v>
      </c>
      <c r="U167" s="19">
        <f t="shared" si="212"/>
        <v>1.2065510897971627E-5</v>
      </c>
      <c r="V167" s="19">
        <f t="shared" si="213"/>
        <v>0</v>
      </c>
      <c r="W167" s="19">
        <f t="shared" si="214"/>
        <v>0</v>
      </c>
      <c r="X167" s="19">
        <f t="shared" si="215"/>
        <v>0</v>
      </c>
      <c r="Y167" s="19">
        <f t="shared" si="216"/>
        <v>0</v>
      </c>
      <c r="Z167" s="19">
        <f t="shared" si="217"/>
        <v>0</v>
      </c>
      <c r="AA167" s="19">
        <f t="shared" si="218"/>
        <v>0</v>
      </c>
      <c r="AB167" s="19">
        <f t="shared" si="219"/>
        <v>0</v>
      </c>
      <c r="AC167" s="19">
        <f t="shared" si="220"/>
        <v>0</v>
      </c>
      <c r="AD167" s="19">
        <f t="shared" si="221"/>
        <v>0</v>
      </c>
      <c r="AE167" s="19">
        <f t="shared" si="222"/>
        <v>0</v>
      </c>
      <c r="AF167" s="19">
        <f t="shared" si="223"/>
        <v>0</v>
      </c>
      <c r="AG167" s="19">
        <f t="shared" si="224"/>
        <v>0</v>
      </c>
    </row>
    <row r="168" spans="1:33" outlineLevel="2">
      <c r="A168" s="21" t="s">
        <v>15</v>
      </c>
      <c r="B168" s="21">
        <v>125</v>
      </c>
      <c r="C168" s="21">
        <v>26.12</v>
      </c>
      <c r="D168" s="22">
        <v>0.06</v>
      </c>
      <c r="E168">
        <v>0</v>
      </c>
      <c r="F168">
        <v>0</v>
      </c>
      <c r="G168">
        <v>0</v>
      </c>
      <c r="H168">
        <v>70.64</v>
      </c>
      <c r="I168">
        <v>139.08000000000001</v>
      </c>
      <c r="J168">
        <v>0</v>
      </c>
      <c r="K168">
        <v>0</v>
      </c>
      <c r="L168">
        <v>0</v>
      </c>
      <c r="M168">
        <v>125.48</v>
      </c>
      <c r="N168">
        <v>3338.12</v>
      </c>
      <c r="O168">
        <v>831.76</v>
      </c>
      <c r="P168">
        <v>0</v>
      </c>
      <c r="Q168">
        <v>0</v>
      </c>
      <c r="S168" s="19">
        <f t="shared" si="225"/>
        <v>6.460880530947842E-5</v>
      </c>
      <c r="T168" s="19">
        <f t="shared" si="211"/>
        <v>2.5559321011525458E-7</v>
      </c>
      <c r="U168" s="19">
        <f t="shared" si="212"/>
        <v>0</v>
      </c>
      <c r="V168" s="19">
        <f t="shared" si="213"/>
        <v>0</v>
      </c>
      <c r="W168" s="19">
        <f t="shared" si="214"/>
        <v>0</v>
      </c>
      <c r="X168" s="19">
        <f t="shared" si="215"/>
        <v>0.1770071163676456</v>
      </c>
      <c r="Y168" s="19">
        <f t="shared" si="216"/>
        <v>0.14607402428265345</v>
      </c>
      <c r="Z168" s="19">
        <f t="shared" si="217"/>
        <v>0</v>
      </c>
      <c r="AA168" s="19">
        <f t="shared" si="218"/>
        <v>0</v>
      </c>
      <c r="AB168" s="19">
        <f t="shared" si="219"/>
        <v>0</v>
      </c>
      <c r="AC168" s="19">
        <f t="shared" si="220"/>
        <v>0.35498472332239445</v>
      </c>
      <c r="AD168" s="19">
        <f t="shared" si="221"/>
        <v>0.68407462662098129</v>
      </c>
      <c r="AE168" s="19">
        <f t="shared" si="222"/>
        <v>0.25596710858352723</v>
      </c>
      <c r="AF168" s="19">
        <f t="shared" si="223"/>
        <v>0</v>
      </c>
      <c r="AG168" s="19">
        <f t="shared" si="224"/>
        <v>0</v>
      </c>
    </row>
    <row r="169" spans="1:33" outlineLevel="2">
      <c r="A169" t="s">
        <v>15</v>
      </c>
      <c r="B169">
        <v>126</v>
      </c>
      <c r="C169">
        <v>2093.64</v>
      </c>
      <c r="D169">
        <v>8.0399999999999991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S169" s="19">
        <f t="shared" si="225"/>
        <v>5.178697517156829E-3</v>
      </c>
      <c r="T169" s="19">
        <f t="shared" si="211"/>
        <v>3.4249490155444109E-5</v>
      </c>
      <c r="U169" s="19">
        <f t="shared" si="212"/>
        <v>0</v>
      </c>
      <c r="V169" s="19">
        <f t="shared" si="213"/>
        <v>0</v>
      </c>
      <c r="W169" s="19">
        <f t="shared" si="214"/>
        <v>0</v>
      </c>
      <c r="X169" s="19">
        <f t="shared" si="215"/>
        <v>0</v>
      </c>
      <c r="Y169" s="19">
        <f t="shared" si="216"/>
        <v>0</v>
      </c>
      <c r="Z169" s="19">
        <f t="shared" si="217"/>
        <v>0</v>
      </c>
      <c r="AA169" s="19">
        <f t="shared" si="218"/>
        <v>0</v>
      </c>
      <c r="AB169" s="19">
        <f t="shared" si="219"/>
        <v>0</v>
      </c>
      <c r="AC169" s="19">
        <f t="shared" si="220"/>
        <v>0</v>
      </c>
      <c r="AD169" s="19">
        <f t="shared" si="221"/>
        <v>0</v>
      </c>
      <c r="AE169" s="19">
        <f t="shared" si="222"/>
        <v>0</v>
      </c>
      <c r="AF169" s="19">
        <f t="shared" si="223"/>
        <v>0</v>
      </c>
      <c r="AG169" s="19">
        <f t="shared" si="224"/>
        <v>0</v>
      </c>
    </row>
    <row r="170" spans="1:33" outlineLevel="2">
      <c r="A170" s="21" t="s">
        <v>15</v>
      </c>
      <c r="B170" s="21">
        <v>127</v>
      </c>
      <c r="C170" s="21">
        <v>1441.56</v>
      </c>
      <c r="D170" s="22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S170" s="19">
        <f t="shared" si="225"/>
        <v>3.5657530391244906E-3</v>
      </c>
      <c r="T170" s="19">
        <f t="shared" si="211"/>
        <v>0</v>
      </c>
      <c r="U170" s="19">
        <f t="shared" si="212"/>
        <v>0</v>
      </c>
      <c r="V170" s="19">
        <f t="shared" si="213"/>
        <v>0</v>
      </c>
      <c r="W170" s="19">
        <f t="shared" si="214"/>
        <v>0</v>
      </c>
      <c r="X170" s="19">
        <f t="shared" si="215"/>
        <v>0</v>
      </c>
      <c r="Y170" s="19">
        <f t="shared" si="216"/>
        <v>0</v>
      </c>
      <c r="Z170" s="19">
        <f t="shared" si="217"/>
        <v>0</v>
      </c>
      <c r="AA170" s="19">
        <f t="shared" si="218"/>
        <v>0</v>
      </c>
      <c r="AB170" s="19">
        <f t="shared" si="219"/>
        <v>0</v>
      </c>
      <c r="AC170" s="19">
        <f t="shared" si="220"/>
        <v>0</v>
      </c>
      <c r="AD170" s="19">
        <f t="shared" si="221"/>
        <v>0</v>
      </c>
      <c r="AE170" s="19">
        <f t="shared" si="222"/>
        <v>0</v>
      </c>
      <c r="AF170" s="19">
        <f t="shared" si="223"/>
        <v>0</v>
      </c>
      <c r="AG170" s="19">
        <f t="shared" si="224"/>
        <v>0</v>
      </c>
    </row>
    <row r="171" spans="1:33" outlineLevel="2">
      <c r="A171" t="s">
        <v>15</v>
      </c>
      <c r="B171">
        <v>128</v>
      </c>
      <c r="C171">
        <v>8942.48</v>
      </c>
      <c r="D171">
        <v>0.16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S171" s="19">
        <f t="shared" si="225"/>
        <v>2.2119561611941212E-2</v>
      </c>
      <c r="T171" s="19">
        <f t="shared" si="211"/>
        <v>6.8158189364067892E-7</v>
      </c>
      <c r="U171" s="19">
        <f t="shared" si="212"/>
        <v>0</v>
      </c>
      <c r="V171" s="19">
        <f t="shared" si="213"/>
        <v>0</v>
      </c>
      <c r="W171" s="19">
        <f t="shared" si="214"/>
        <v>0</v>
      </c>
      <c r="X171" s="19">
        <f t="shared" si="215"/>
        <v>0</v>
      </c>
      <c r="Y171" s="19">
        <f t="shared" si="216"/>
        <v>0</v>
      </c>
      <c r="Z171" s="19">
        <f t="shared" si="217"/>
        <v>0</v>
      </c>
      <c r="AA171" s="19">
        <f t="shared" si="218"/>
        <v>0</v>
      </c>
      <c r="AB171" s="19">
        <f t="shared" si="219"/>
        <v>0</v>
      </c>
      <c r="AC171" s="19">
        <f t="shared" si="220"/>
        <v>0</v>
      </c>
      <c r="AD171" s="19">
        <f t="shared" si="221"/>
        <v>0</v>
      </c>
      <c r="AE171" s="19">
        <f t="shared" si="222"/>
        <v>0</v>
      </c>
      <c r="AF171" s="19">
        <f t="shared" si="223"/>
        <v>0</v>
      </c>
      <c r="AG171" s="19">
        <f t="shared" si="224"/>
        <v>0</v>
      </c>
    </row>
    <row r="172" spans="1:33" outlineLevel="2">
      <c r="A172" s="21" t="s">
        <v>15</v>
      </c>
      <c r="B172" s="21">
        <v>129</v>
      </c>
      <c r="C172" s="21">
        <v>0</v>
      </c>
      <c r="D172" s="22">
        <v>0</v>
      </c>
      <c r="E172">
        <v>0</v>
      </c>
      <c r="F172">
        <v>0</v>
      </c>
      <c r="G172">
        <v>0</v>
      </c>
      <c r="H172">
        <v>328.44</v>
      </c>
      <c r="I172">
        <v>813.04</v>
      </c>
      <c r="J172">
        <v>348.2</v>
      </c>
      <c r="K172">
        <v>1.32</v>
      </c>
      <c r="L172">
        <v>0</v>
      </c>
      <c r="M172">
        <v>228</v>
      </c>
      <c r="N172">
        <v>1541.64</v>
      </c>
      <c r="O172">
        <v>2417.7199999999998</v>
      </c>
      <c r="P172">
        <v>1534.88</v>
      </c>
      <c r="Q172">
        <v>0</v>
      </c>
      <c r="S172" s="19">
        <f t="shared" si="225"/>
        <v>0</v>
      </c>
      <c r="T172" s="19">
        <f t="shared" si="211"/>
        <v>0</v>
      </c>
      <c r="U172" s="19">
        <f t="shared" si="212"/>
        <v>0</v>
      </c>
      <c r="V172" s="19">
        <f t="shared" si="213"/>
        <v>0</v>
      </c>
      <c r="W172" s="19">
        <f t="shared" si="214"/>
        <v>0</v>
      </c>
      <c r="X172" s="19">
        <f t="shared" si="215"/>
        <v>0.82299288363235445</v>
      </c>
      <c r="Y172" s="19">
        <f t="shared" si="216"/>
        <v>0.85392597571734652</v>
      </c>
      <c r="Z172" s="19">
        <f t="shared" si="217"/>
        <v>1</v>
      </c>
      <c r="AA172" s="19">
        <f t="shared" si="218"/>
        <v>1</v>
      </c>
      <c r="AB172" s="19">
        <f t="shared" si="219"/>
        <v>0</v>
      </c>
      <c r="AC172" s="19">
        <f t="shared" si="220"/>
        <v>0.6450152766776055</v>
      </c>
      <c r="AD172" s="19">
        <f t="shared" si="221"/>
        <v>0.31592537337901866</v>
      </c>
      <c r="AE172" s="19">
        <f t="shared" si="222"/>
        <v>0.74403289141647277</v>
      </c>
      <c r="AF172" s="19">
        <f t="shared" si="223"/>
        <v>1</v>
      </c>
      <c r="AG172" s="19">
        <f t="shared" si="224"/>
        <v>0</v>
      </c>
    </row>
    <row r="173" spans="1:33" outlineLevel="2">
      <c r="A173" s="21" t="s">
        <v>15</v>
      </c>
      <c r="B173" s="21">
        <v>132</v>
      </c>
      <c r="C173" s="21">
        <v>7384.48</v>
      </c>
      <c r="D173" s="22">
        <v>24381.040000000001</v>
      </c>
      <c r="E173">
        <v>36.68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S173" s="19">
        <f t="shared" si="225"/>
        <v>1.8265789840418725E-2</v>
      </c>
      <c r="T173" s="19">
        <f t="shared" si="211"/>
        <v>0.10386047132580711</v>
      </c>
      <c r="U173" s="19">
        <f t="shared" si="212"/>
        <v>7.3760489956266545E-4</v>
      </c>
      <c r="V173" s="19">
        <f t="shared" si="213"/>
        <v>0</v>
      </c>
      <c r="W173" s="19">
        <f t="shared" si="214"/>
        <v>0</v>
      </c>
      <c r="X173" s="19">
        <f t="shared" si="215"/>
        <v>0</v>
      </c>
      <c r="Y173" s="19">
        <f t="shared" si="216"/>
        <v>0</v>
      </c>
      <c r="Z173" s="19">
        <f t="shared" si="217"/>
        <v>0</v>
      </c>
      <c r="AA173" s="19">
        <f t="shared" si="218"/>
        <v>0</v>
      </c>
      <c r="AB173" s="19">
        <f t="shared" si="219"/>
        <v>0</v>
      </c>
      <c r="AC173" s="19">
        <f t="shared" si="220"/>
        <v>0</v>
      </c>
      <c r="AD173" s="19">
        <f t="shared" si="221"/>
        <v>0</v>
      </c>
      <c r="AE173" s="19">
        <f t="shared" si="222"/>
        <v>0</v>
      </c>
      <c r="AF173" s="19">
        <f t="shared" si="223"/>
        <v>0</v>
      </c>
      <c r="AG173" s="19">
        <f t="shared" si="224"/>
        <v>0</v>
      </c>
    </row>
    <row r="174" spans="1:33" outlineLevel="2">
      <c r="A174" t="s">
        <v>15</v>
      </c>
      <c r="B174">
        <v>133</v>
      </c>
      <c r="C174">
        <v>6126.08</v>
      </c>
      <c r="D174">
        <v>15.2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S174" s="19">
        <f t="shared" si="225"/>
        <v>1.5153089970531757E-2</v>
      </c>
      <c r="T174" s="19">
        <f t="shared" si="211"/>
        <v>6.475027989586449E-5</v>
      </c>
      <c r="U174" s="19">
        <f t="shared" si="212"/>
        <v>0</v>
      </c>
      <c r="V174" s="19">
        <f t="shared" si="213"/>
        <v>0</v>
      </c>
      <c r="W174" s="19">
        <f t="shared" si="214"/>
        <v>0</v>
      </c>
      <c r="X174" s="19">
        <f t="shared" si="215"/>
        <v>0</v>
      </c>
      <c r="Y174" s="19">
        <f t="shared" si="216"/>
        <v>0</v>
      </c>
      <c r="Z174" s="19">
        <f t="shared" si="217"/>
        <v>0</v>
      </c>
      <c r="AA174" s="19">
        <f t="shared" si="218"/>
        <v>0</v>
      </c>
      <c r="AB174" s="19">
        <f t="shared" si="219"/>
        <v>0</v>
      </c>
      <c r="AC174" s="19">
        <f t="shared" si="220"/>
        <v>0</v>
      </c>
      <c r="AD174" s="19">
        <f t="shared" si="221"/>
        <v>0</v>
      </c>
      <c r="AE174" s="19">
        <f t="shared" si="222"/>
        <v>0</v>
      </c>
      <c r="AF174" s="19">
        <f t="shared" si="223"/>
        <v>0</v>
      </c>
      <c r="AG174" s="19">
        <f t="shared" si="224"/>
        <v>0</v>
      </c>
    </row>
    <row r="175" spans="1:33" outlineLevel="2">
      <c r="A175" s="21" t="s">
        <v>15</v>
      </c>
      <c r="B175" s="21">
        <v>134</v>
      </c>
      <c r="C175" s="21">
        <v>15581.78</v>
      </c>
      <c r="D175" s="22">
        <v>2572.7199999999998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s="19">
        <f t="shared" si="225"/>
        <v>3.8542120612370771E-2</v>
      </c>
      <c r="T175" s="19">
        <f t="shared" si="211"/>
        <v>1.0959496058795296E-2</v>
      </c>
      <c r="U175" s="19">
        <f t="shared" si="212"/>
        <v>0</v>
      </c>
      <c r="V175" s="19">
        <f t="shared" si="213"/>
        <v>0</v>
      </c>
      <c r="W175" s="19">
        <f t="shared" si="214"/>
        <v>0</v>
      </c>
      <c r="X175" s="19">
        <f t="shared" si="215"/>
        <v>0</v>
      </c>
      <c r="Y175" s="19">
        <f t="shared" si="216"/>
        <v>0</v>
      </c>
      <c r="Z175" s="19">
        <f t="shared" si="217"/>
        <v>0</v>
      </c>
      <c r="AA175" s="19">
        <f t="shared" si="218"/>
        <v>0</v>
      </c>
      <c r="AB175" s="19">
        <f t="shared" si="219"/>
        <v>0</v>
      </c>
      <c r="AC175" s="19">
        <f t="shared" si="220"/>
        <v>0</v>
      </c>
      <c r="AD175" s="19">
        <f t="shared" si="221"/>
        <v>0</v>
      </c>
      <c r="AE175" s="19">
        <f t="shared" si="222"/>
        <v>0</v>
      </c>
      <c r="AF175" s="19">
        <f t="shared" si="223"/>
        <v>0</v>
      </c>
      <c r="AG175" s="19">
        <f t="shared" si="224"/>
        <v>0</v>
      </c>
    </row>
    <row r="176" spans="1:33" outlineLevel="2">
      <c r="A176" s="21" t="s">
        <v>15</v>
      </c>
      <c r="B176" s="21">
        <v>144</v>
      </c>
      <c r="C176" s="21">
        <v>1823.6</v>
      </c>
      <c r="D176" s="22">
        <v>1.24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S176" s="19">
        <f t="shared" si="225"/>
        <v>4.510743390595897E-3</v>
      </c>
      <c r="T176" s="19">
        <f t="shared" si="211"/>
        <v>5.2822596757152615E-6</v>
      </c>
      <c r="U176" s="19">
        <f t="shared" si="212"/>
        <v>0</v>
      </c>
      <c r="V176" s="19">
        <f t="shared" si="213"/>
        <v>0</v>
      </c>
      <c r="W176" s="19">
        <f t="shared" si="214"/>
        <v>0</v>
      </c>
      <c r="X176" s="19">
        <f t="shared" si="215"/>
        <v>0</v>
      </c>
      <c r="Y176" s="19">
        <f t="shared" si="216"/>
        <v>0</v>
      </c>
      <c r="Z176" s="19">
        <f t="shared" si="217"/>
        <v>0</v>
      </c>
      <c r="AA176" s="19">
        <f t="shared" si="218"/>
        <v>0</v>
      </c>
      <c r="AB176" s="19">
        <f t="shared" si="219"/>
        <v>0</v>
      </c>
      <c r="AC176" s="19">
        <f t="shared" si="220"/>
        <v>0</v>
      </c>
      <c r="AD176" s="19">
        <f t="shared" si="221"/>
        <v>0</v>
      </c>
      <c r="AE176" s="19">
        <f t="shared" si="222"/>
        <v>0</v>
      </c>
      <c r="AF176" s="19">
        <f t="shared" si="223"/>
        <v>0</v>
      </c>
      <c r="AG176" s="19">
        <f t="shared" si="224"/>
        <v>0</v>
      </c>
    </row>
    <row r="177" spans="1:33" outlineLevel="2">
      <c r="A177" s="21" t="s">
        <v>15</v>
      </c>
      <c r="B177" s="21">
        <v>176</v>
      </c>
      <c r="C177" s="21">
        <v>14052.84</v>
      </c>
      <c r="D177" s="22">
        <v>2256.62</v>
      </c>
      <c r="E177">
        <v>49.96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S177" s="19">
        <f t="shared" si="225"/>
        <v>3.4760229847061661E-2</v>
      </c>
      <c r="T177" s="19">
        <f t="shared" si="211"/>
        <v>9.6129458301714293E-3</v>
      </c>
      <c r="U177" s="19">
        <f t="shared" si="212"/>
        <v>1.0046548741044375E-3</v>
      </c>
      <c r="V177" s="19">
        <f t="shared" si="213"/>
        <v>0</v>
      </c>
      <c r="W177" s="19">
        <f t="shared" si="214"/>
        <v>0</v>
      </c>
      <c r="X177" s="19">
        <f t="shared" si="215"/>
        <v>0</v>
      </c>
      <c r="Y177" s="19">
        <f t="shared" si="216"/>
        <v>0</v>
      </c>
      <c r="Z177" s="19">
        <f t="shared" si="217"/>
        <v>0</v>
      </c>
      <c r="AA177" s="19">
        <f t="shared" si="218"/>
        <v>0</v>
      </c>
      <c r="AB177" s="19">
        <f t="shared" si="219"/>
        <v>0</v>
      </c>
      <c r="AC177" s="19">
        <f t="shared" si="220"/>
        <v>0</v>
      </c>
      <c r="AD177" s="19">
        <f t="shared" si="221"/>
        <v>0</v>
      </c>
      <c r="AE177" s="19">
        <f t="shared" si="222"/>
        <v>0</v>
      </c>
      <c r="AF177" s="19">
        <f t="shared" si="223"/>
        <v>0</v>
      </c>
      <c r="AG177" s="19">
        <f t="shared" si="224"/>
        <v>0</v>
      </c>
    </row>
    <row r="178" spans="1:33" outlineLevel="2">
      <c r="A178" s="21" t="s">
        <v>15</v>
      </c>
      <c r="B178" s="21">
        <v>177</v>
      </c>
      <c r="C178" s="21">
        <v>5205.16</v>
      </c>
      <c r="D178" s="22">
        <v>0.16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S178" s="19">
        <f t="shared" si="225"/>
        <v>1.2875159611205384E-2</v>
      </c>
      <c r="T178" s="19">
        <f t="shared" si="211"/>
        <v>6.8158189364067892E-7</v>
      </c>
      <c r="U178" s="19">
        <f t="shared" si="212"/>
        <v>0</v>
      </c>
      <c r="V178" s="19">
        <f t="shared" si="213"/>
        <v>0</v>
      </c>
      <c r="W178" s="19">
        <f t="shared" si="214"/>
        <v>0</v>
      </c>
      <c r="X178" s="19">
        <f t="shared" si="215"/>
        <v>0</v>
      </c>
      <c r="Y178" s="19">
        <f t="shared" si="216"/>
        <v>0</v>
      </c>
      <c r="Z178" s="19">
        <f t="shared" si="217"/>
        <v>0</v>
      </c>
      <c r="AA178" s="19">
        <f t="shared" si="218"/>
        <v>0</v>
      </c>
      <c r="AB178" s="19">
        <f t="shared" si="219"/>
        <v>0</v>
      </c>
      <c r="AC178" s="19">
        <f t="shared" si="220"/>
        <v>0</v>
      </c>
      <c r="AD178" s="19">
        <f t="shared" si="221"/>
        <v>0</v>
      </c>
      <c r="AE178" s="19">
        <f t="shared" si="222"/>
        <v>0</v>
      </c>
      <c r="AF178" s="19">
        <f t="shared" si="223"/>
        <v>0</v>
      </c>
      <c r="AG178" s="19">
        <f t="shared" si="224"/>
        <v>0</v>
      </c>
    </row>
    <row r="179" spans="1:33" outlineLevel="2">
      <c r="A179" t="s">
        <v>15</v>
      </c>
      <c r="B179">
        <v>178</v>
      </c>
      <c r="C179">
        <v>8899.84</v>
      </c>
      <c r="D179">
        <v>2013.82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S179" s="19">
        <f t="shared" si="225"/>
        <v>2.2014089963457439E-2</v>
      </c>
      <c r="T179" s="19">
        <f t="shared" si="211"/>
        <v>8.5786453065716996E-3</v>
      </c>
      <c r="U179" s="19">
        <f t="shared" si="212"/>
        <v>0</v>
      </c>
      <c r="V179" s="19">
        <f t="shared" si="213"/>
        <v>0</v>
      </c>
      <c r="W179" s="19">
        <f t="shared" si="214"/>
        <v>0</v>
      </c>
      <c r="X179" s="19">
        <f t="shared" si="215"/>
        <v>0</v>
      </c>
      <c r="Y179" s="19">
        <f t="shared" si="216"/>
        <v>0</v>
      </c>
      <c r="Z179" s="19">
        <f t="shared" si="217"/>
        <v>0</v>
      </c>
      <c r="AA179" s="19">
        <f t="shared" si="218"/>
        <v>0</v>
      </c>
      <c r="AB179" s="19">
        <f t="shared" si="219"/>
        <v>0</v>
      </c>
      <c r="AC179" s="19">
        <f t="shared" si="220"/>
        <v>0</v>
      </c>
      <c r="AD179" s="19">
        <f t="shared" si="221"/>
        <v>0</v>
      </c>
      <c r="AE179" s="19">
        <f t="shared" si="222"/>
        <v>0</v>
      </c>
      <c r="AF179" s="19">
        <f t="shared" si="223"/>
        <v>0</v>
      </c>
      <c r="AG179" s="19">
        <f t="shared" si="224"/>
        <v>0</v>
      </c>
    </row>
    <row r="180" spans="1:33" outlineLevel="2">
      <c r="A180" s="21" t="s">
        <v>15</v>
      </c>
      <c r="B180" s="21">
        <v>179</v>
      </c>
      <c r="C180" s="21">
        <v>5849.7</v>
      </c>
      <c r="D180" s="22">
        <v>47.28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S180" s="19">
        <f t="shared" si="225"/>
        <v>1.4469453614810715E-2</v>
      </c>
      <c r="T180" s="19">
        <f t="shared" si="211"/>
        <v>2.0140744957082061E-4</v>
      </c>
      <c r="U180" s="19">
        <f t="shared" si="212"/>
        <v>0</v>
      </c>
      <c r="V180" s="19">
        <f t="shared" si="213"/>
        <v>0</v>
      </c>
      <c r="W180" s="19">
        <f t="shared" si="214"/>
        <v>0</v>
      </c>
      <c r="X180" s="19">
        <f t="shared" si="215"/>
        <v>0</v>
      </c>
      <c r="Y180" s="19">
        <f t="shared" si="216"/>
        <v>0</v>
      </c>
      <c r="Z180" s="19">
        <f t="shared" si="217"/>
        <v>0</v>
      </c>
      <c r="AA180" s="19">
        <f t="shared" si="218"/>
        <v>0</v>
      </c>
      <c r="AB180" s="19">
        <f t="shared" si="219"/>
        <v>0</v>
      </c>
      <c r="AC180" s="19">
        <f t="shared" si="220"/>
        <v>0</v>
      </c>
      <c r="AD180" s="19">
        <f t="shared" si="221"/>
        <v>0</v>
      </c>
      <c r="AE180" s="19">
        <f t="shared" si="222"/>
        <v>0</v>
      </c>
      <c r="AF180" s="19">
        <f t="shared" si="223"/>
        <v>0</v>
      </c>
      <c r="AG180" s="19">
        <f t="shared" si="224"/>
        <v>0</v>
      </c>
    </row>
    <row r="181" spans="1:33" outlineLevel="2">
      <c r="A181" s="21" t="s">
        <v>15</v>
      </c>
      <c r="B181" s="21">
        <v>180</v>
      </c>
      <c r="C181" s="21">
        <v>11639.34</v>
      </c>
      <c r="D181" s="22">
        <v>1599.48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s="19">
        <f t="shared" si="225"/>
        <v>2.8790346554013187E-2</v>
      </c>
      <c r="T181" s="19">
        <f t="shared" si="211"/>
        <v>6.8136037952524573E-3</v>
      </c>
      <c r="U181" s="19">
        <f t="shared" si="212"/>
        <v>0</v>
      </c>
      <c r="V181" s="19">
        <f t="shared" si="213"/>
        <v>0</v>
      </c>
      <c r="W181" s="19">
        <f t="shared" si="214"/>
        <v>0</v>
      </c>
      <c r="X181" s="19">
        <f t="shared" si="215"/>
        <v>0</v>
      </c>
      <c r="Y181" s="19">
        <f t="shared" si="216"/>
        <v>0</v>
      </c>
      <c r="Z181" s="19">
        <f t="shared" si="217"/>
        <v>0</v>
      </c>
      <c r="AA181" s="19">
        <f t="shared" si="218"/>
        <v>0</v>
      </c>
      <c r="AB181" s="19">
        <f t="shared" si="219"/>
        <v>0</v>
      </c>
      <c r="AC181" s="19">
        <f t="shared" si="220"/>
        <v>0</v>
      </c>
      <c r="AD181" s="19">
        <f t="shared" si="221"/>
        <v>0</v>
      </c>
      <c r="AE181" s="19">
        <f t="shared" si="222"/>
        <v>0</v>
      </c>
      <c r="AF181" s="19">
        <f t="shared" si="223"/>
        <v>0</v>
      </c>
      <c r="AG181" s="19">
        <f t="shared" si="224"/>
        <v>0</v>
      </c>
    </row>
    <row r="182" spans="1:33" outlineLevel="2">
      <c r="A182" s="21" t="s">
        <v>15</v>
      </c>
      <c r="B182" s="21">
        <v>181</v>
      </c>
      <c r="C182" s="21">
        <v>694.12</v>
      </c>
      <c r="D182" s="2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s="19">
        <f t="shared" si="225"/>
        <v>1.7169320038826629E-3</v>
      </c>
      <c r="T182" s="19">
        <f t="shared" si="211"/>
        <v>0</v>
      </c>
      <c r="U182" s="19">
        <f t="shared" si="212"/>
        <v>0</v>
      </c>
      <c r="V182" s="19">
        <f t="shared" si="213"/>
        <v>0</v>
      </c>
      <c r="W182" s="19">
        <f t="shared" si="214"/>
        <v>0</v>
      </c>
      <c r="X182" s="19">
        <f t="shared" si="215"/>
        <v>0</v>
      </c>
      <c r="Y182" s="19">
        <f t="shared" si="216"/>
        <v>0</v>
      </c>
      <c r="Z182" s="19">
        <f t="shared" si="217"/>
        <v>0</v>
      </c>
      <c r="AA182" s="19">
        <f t="shared" si="218"/>
        <v>0</v>
      </c>
      <c r="AB182" s="19">
        <f t="shared" si="219"/>
        <v>0</v>
      </c>
      <c r="AC182" s="19">
        <f t="shared" si="220"/>
        <v>0</v>
      </c>
      <c r="AD182" s="19">
        <f t="shared" si="221"/>
        <v>0</v>
      </c>
      <c r="AE182" s="19">
        <f t="shared" si="222"/>
        <v>0</v>
      </c>
      <c r="AF182" s="19">
        <f t="shared" si="223"/>
        <v>0</v>
      </c>
      <c r="AG182" s="19">
        <f t="shared" si="224"/>
        <v>0</v>
      </c>
    </row>
    <row r="183" spans="1:33" outlineLevel="2">
      <c r="A183" t="s">
        <v>15</v>
      </c>
      <c r="B183">
        <v>182</v>
      </c>
      <c r="C183">
        <v>662.04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s="19">
        <f t="shared" si="225"/>
        <v>1.6375809137475913E-3</v>
      </c>
      <c r="T183" s="19">
        <f t="shared" si="211"/>
        <v>0</v>
      </c>
      <c r="U183" s="19">
        <f t="shared" si="212"/>
        <v>0</v>
      </c>
      <c r="V183" s="19">
        <f t="shared" si="213"/>
        <v>0</v>
      </c>
      <c r="W183" s="19">
        <f t="shared" si="214"/>
        <v>0</v>
      </c>
      <c r="X183" s="19">
        <f t="shared" si="215"/>
        <v>0</v>
      </c>
      <c r="Y183" s="19">
        <f t="shared" si="216"/>
        <v>0</v>
      </c>
      <c r="Z183" s="19">
        <f t="shared" si="217"/>
        <v>0</v>
      </c>
      <c r="AA183" s="19">
        <f t="shared" si="218"/>
        <v>0</v>
      </c>
      <c r="AB183" s="19">
        <f t="shared" si="219"/>
        <v>0</v>
      </c>
      <c r="AC183" s="19">
        <f t="shared" si="220"/>
        <v>0</v>
      </c>
      <c r="AD183" s="19">
        <f t="shared" si="221"/>
        <v>0</v>
      </c>
      <c r="AE183" s="19">
        <f t="shared" si="222"/>
        <v>0</v>
      </c>
      <c r="AF183" s="19">
        <f t="shared" si="223"/>
        <v>0</v>
      </c>
      <c r="AG183" s="19">
        <f t="shared" si="224"/>
        <v>0</v>
      </c>
    </row>
    <row r="184" spans="1:33" outlineLevel="2">
      <c r="A184" s="21" t="s">
        <v>15</v>
      </c>
      <c r="B184" s="21">
        <v>183</v>
      </c>
      <c r="C184" s="21">
        <v>547.24</v>
      </c>
      <c r="D184" s="22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s="19">
        <f t="shared" si="225"/>
        <v>1.3536187832143556E-3</v>
      </c>
      <c r="T184" s="19">
        <f t="shared" si="211"/>
        <v>0</v>
      </c>
      <c r="U184" s="19">
        <f t="shared" si="212"/>
        <v>0</v>
      </c>
      <c r="V184" s="19">
        <f t="shared" si="213"/>
        <v>0</v>
      </c>
      <c r="W184" s="19">
        <f t="shared" si="214"/>
        <v>0</v>
      </c>
      <c r="X184" s="19">
        <f t="shared" si="215"/>
        <v>0</v>
      </c>
      <c r="Y184" s="19">
        <f t="shared" si="216"/>
        <v>0</v>
      </c>
      <c r="Z184" s="19">
        <f t="shared" si="217"/>
        <v>0</v>
      </c>
      <c r="AA184" s="19">
        <f t="shared" si="218"/>
        <v>0</v>
      </c>
      <c r="AB184" s="19">
        <f t="shared" si="219"/>
        <v>0</v>
      </c>
      <c r="AC184" s="19">
        <f t="shared" si="220"/>
        <v>0</v>
      </c>
      <c r="AD184" s="19">
        <f t="shared" si="221"/>
        <v>0</v>
      </c>
      <c r="AE184" s="19">
        <f t="shared" si="222"/>
        <v>0</v>
      </c>
      <c r="AF184" s="19">
        <f t="shared" si="223"/>
        <v>0</v>
      </c>
      <c r="AG184" s="19">
        <f t="shared" si="224"/>
        <v>0</v>
      </c>
    </row>
    <row r="185" spans="1:33" outlineLevel="1">
      <c r="A185" s="23" t="s">
        <v>69</v>
      </c>
      <c r="C185" s="21">
        <f t="shared" ref="C185:Q185" si="226">SUBTOTAL(9,C139:C184)</f>
        <v>404279.25999999995</v>
      </c>
      <c r="D185" s="22">
        <f t="shared" si="226"/>
        <v>234748.02000000005</v>
      </c>
      <c r="E185">
        <f t="shared" si="226"/>
        <v>49728.52</v>
      </c>
      <c r="F185">
        <f t="shared" si="226"/>
        <v>1832.6399999999999</v>
      </c>
      <c r="G185">
        <f t="shared" si="226"/>
        <v>0</v>
      </c>
      <c r="H185">
        <f t="shared" si="226"/>
        <v>399.08</v>
      </c>
      <c r="I185">
        <f t="shared" si="226"/>
        <v>952.12</v>
      </c>
      <c r="J185">
        <f t="shared" si="226"/>
        <v>348.2</v>
      </c>
      <c r="K185">
        <f t="shared" si="226"/>
        <v>1.32</v>
      </c>
      <c r="L185">
        <f t="shared" si="226"/>
        <v>0</v>
      </c>
      <c r="M185">
        <f t="shared" si="226"/>
        <v>353.48</v>
      </c>
      <c r="N185">
        <f t="shared" si="226"/>
        <v>4879.76</v>
      </c>
      <c r="O185">
        <f t="shared" si="226"/>
        <v>3249.4799999999996</v>
      </c>
      <c r="P185">
        <f t="shared" si="226"/>
        <v>1534.88</v>
      </c>
      <c r="Q185">
        <f t="shared" si="226"/>
        <v>0</v>
      </c>
    </row>
    <row r="186" spans="1:33" outlineLevel="2">
      <c r="A186" s="21" t="s">
        <v>16</v>
      </c>
      <c r="B186" s="21">
        <v>342</v>
      </c>
      <c r="C186" s="21">
        <v>0</v>
      </c>
      <c r="D186" s="22">
        <v>0</v>
      </c>
      <c r="E186">
        <v>0</v>
      </c>
      <c r="F186">
        <v>0</v>
      </c>
      <c r="G186">
        <v>0</v>
      </c>
      <c r="H186">
        <v>39.200000000000003</v>
      </c>
      <c r="I186">
        <v>9</v>
      </c>
      <c r="J186">
        <v>13.24</v>
      </c>
      <c r="K186">
        <v>4.16</v>
      </c>
      <c r="L186">
        <v>0</v>
      </c>
      <c r="M186">
        <v>0</v>
      </c>
      <c r="N186">
        <v>0</v>
      </c>
      <c r="O186">
        <v>31.48</v>
      </c>
      <c r="P186">
        <v>14.12</v>
      </c>
      <c r="Q186">
        <v>0</v>
      </c>
      <c r="R186" s="19"/>
      <c r="S186" s="19">
        <f>IF(C$201&gt;0, C186/C$201, 0)</f>
        <v>0</v>
      </c>
      <c r="T186" s="19">
        <f t="shared" ref="T186:T200" si="227">IF(D$201&gt;0, D186/D$201, 0)</f>
        <v>0</v>
      </c>
      <c r="U186" s="19">
        <f t="shared" ref="U186:U200" si="228">IF(E$201&gt;0, E186/E$201, 0)</f>
        <v>0</v>
      </c>
      <c r="V186" s="19">
        <f t="shared" ref="V186:V200" si="229">IF(F$201&gt;0, F186/F$201, 0)</f>
        <v>0</v>
      </c>
      <c r="W186" s="19">
        <f t="shared" ref="W186:W200" si="230">IF(G$201&gt;0, G186/G$201, 0)</f>
        <v>0</v>
      </c>
      <c r="X186" s="19">
        <f t="shared" ref="X186:X200" si="231">IF(H$201&gt;0, H186/H$201, 0)</f>
        <v>1.6853256289876009E-2</v>
      </c>
      <c r="Y186" s="19">
        <f t="shared" ref="Y186:Y200" si="232">IF(I$201&gt;0, I186/I$201, 0)</f>
        <v>2.8713995839661044E-3</v>
      </c>
      <c r="Z186" s="19">
        <f t="shared" ref="Z186:Z200" si="233">IF(J$201&gt;0, J186/J$201, 0)</f>
        <v>4.429871520342612E-3</v>
      </c>
      <c r="AA186" s="19">
        <f t="shared" ref="AA186:AA200" si="234">IF(K$201&gt;0, K186/K$201, 0)</f>
        <v>6.7564494857952145E-4</v>
      </c>
      <c r="AB186" s="19">
        <f t="shared" ref="AB186:AB200" si="235">IF(L$201&gt;0, L186/L$201, 0)</f>
        <v>0</v>
      </c>
      <c r="AC186" s="19">
        <f t="shared" ref="AC186:AC200" si="236">IF(M$201&gt;0, M186/M$201, 0)</f>
        <v>0</v>
      </c>
      <c r="AD186" s="19">
        <f t="shared" ref="AD186:AD200" si="237">IF(N$201&gt;0, N186/N$201, 0)</f>
        <v>0</v>
      </c>
      <c r="AE186" s="19">
        <f t="shared" ref="AE186:AE200" si="238">IF(O$201&gt;0, O186/O$201, 0)</f>
        <v>8.547101370577119E-3</v>
      </c>
      <c r="AF186" s="19">
        <f t="shared" ref="AF186:AF200" si="239">IF(P$201&gt;0, P186/P$201, 0)</f>
        <v>2.3795817059376291E-4</v>
      </c>
      <c r="AG186" s="19">
        <f t="shared" ref="AG186:AG200" si="240">IF(Q$201&gt;0, Q186/Q$201, 0)</f>
        <v>0</v>
      </c>
    </row>
    <row r="187" spans="1:33" outlineLevel="2">
      <c r="A187" s="21" t="s">
        <v>16</v>
      </c>
      <c r="B187" s="21">
        <v>343</v>
      </c>
      <c r="C187" s="21">
        <v>2.36</v>
      </c>
      <c r="D187" s="22">
        <v>0.24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S187" s="19">
        <f t="shared" ref="S187:S200" si="241">IF(C$201&gt;0, C187/C$201, 0)</f>
        <v>1.0884604741260029E-3</v>
      </c>
      <c r="T187" s="19">
        <f t="shared" si="227"/>
        <v>3.143830233167409E-4</v>
      </c>
      <c r="U187" s="19">
        <f t="shared" si="228"/>
        <v>0</v>
      </c>
      <c r="V187" s="19">
        <f t="shared" si="229"/>
        <v>0</v>
      </c>
      <c r="W187" s="19">
        <f t="shared" si="230"/>
        <v>0</v>
      </c>
      <c r="X187" s="19">
        <f t="shared" si="231"/>
        <v>0</v>
      </c>
      <c r="Y187" s="19">
        <f t="shared" si="232"/>
        <v>0</v>
      </c>
      <c r="Z187" s="19">
        <f t="shared" si="233"/>
        <v>0</v>
      </c>
      <c r="AA187" s="19">
        <f t="shared" si="234"/>
        <v>0</v>
      </c>
      <c r="AB187" s="19">
        <f t="shared" si="235"/>
        <v>0</v>
      </c>
      <c r="AC187" s="19">
        <f t="shared" si="236"/>
        <v>0</v>
      </c>
      <c r="AD187" s="19">
        <f t="shared" si="237"/>
        <v>0</v>
      </c>
      <c r="AE187" s="19">
        <f t="shared" si="238"/>
        <v>0</v>
      </c>
      <c r="AF187" s="19">
        <f t="shared" si="239"/>
        <v>0</v>
      </c>
      <c r="AG187" s="19">
        <f t="shared" si="240"/>
        <v>0</v>
      </c>
    </row>
    <row r="188" spans="1:33" outlineLevel="2">
      <c r="A188" s="21" t="s">
        <v>16</v>
      </c>
      <c r="B188" s="21">
        <v>344</v>
      </c>
      <c r="C188" s="21">
        <v>0</v>
      </c>
      <c r="D188" s="22">
        <v>0</v>
      </c>
      <c r="E188">
        <v>0</v>
      </c>
      <c r="F188">
        <v>0</v>
      </c>
      <c r="G188">
        <v>0</v>
      </c>
      <c r="H188">
        <v>471.36</v>
      </c>
      <c r="I188">
        <v>573.20000000000005</v>
      </c>
      <c r="J188">
        <v>0</v>
      </c>
      <c r="K188">
        <v>0</v>
      </c>
      <c r="L188">
        <v>0</v>
      </c>
      <c r="M188">
        <v>12.2</v>
      </c>
      <c r="N188">
        <v>151.84</v>
      </c>
      <c r="O188">
        <v>2.68</v>
      </c>
      <c r="P188">
        <v>0</v>
      </c>
      <c r="Q188">
        <v>0</v>
      </c>
      <c r="S188" s="19">
        <f t="shared" si="241"/>
        <v>0</v>
      </c>
      <c r="T188" s="19">
        <f t="shared" si="227"/>
        <v>0</v>
      </c>
      <c r="U188" s="19">
        <f t="shared" si="228"/>
        <v>0</v>
      </c>
      <c r="V188" s="19">
        <f t="shared" si="229"/>
        <v>0</v>
      </c>
      <c r="W188" s="19">
        <f t="shared" si="230"/>
        <v>0</v>
      </c>
      <c r="X188" s="19">
        <f t="shared" si="231"/>
        <v>0.20265180828561111</v>
      </c>
      <c r="Y188" s="19">
        <f t="shared" si="232"/>
        <v>0.182876249058819</v>
      </c>
      <c r="Z188" s="19">
        <f t="shared" si="233"/>
        <v>0</v>
      </c>
      <c r="AA188" s="19">
        <f t="shared" si="234"/>
        <v>0</v>
      </c>
      <c r="AB188" s="19">
        <f t="shared" si="235"/>
        <v>0</v>
      </c>
      <c r="AC188" s="19">
        <f t="shared" si="236"/>
        <v>8.5005574136008913E-2</v>
      </c>
      <c r="AD188" s="19">
        <f t="shared" si="237"/>
        <v>8.657179346834519E-2</v>
      </c>
      <c r="AE188" s="19">
        <f t="shared" si="238"/>
        <v>7.2764395403896701E-4</v>
      </c>
      <c r="AF188" s="19">
        <f t="shared" si="239"/>
        <v>0</v>
      </c>
      <c r="AG188" s="19">
        <f t="shared" si="240"/>
        <v>0</v>
      </c>
    </row>
    <row r="189" spans="1:33" outlineLevel="2">
      <c r="A189" t="s">
        <v>16</v>
      </c>
      <c r="B189">
        <v>345</v>
      </c>
      <c r="C189">
        <v>0.22</v>
      </c>
      <c r="D189">
        <v>4.34</v>
      </c>
      <c r="E189">
        <v>1.1399999999999999</v>
      </c>
      <c r="F189">
        <v>0</v>
      </c>
      <c r="G189">
        <v>0</v>
      </c>
      <c r="H189">
        <v>72.88</v>
      </c>
      <c r="I189">
        <v>145.08000000000001</v>
      </c>
      <c r="J189">
        <v>98.08</v>
      </c>
      <c r="K189">
        <v>197.56</v>
      </c>
      <c r="L189">
        <v>0</v>
      </c>
      <c r="M189">
        <v>0</v>
      </c>
      <c r="N189">
        <v>134.6</v>
      </c>
      <c r="O189">
        <v>265.60000000000002</v>
      </c>
      <c r="P189">
        <v>1382.84</v>
      </c>
      <c r="Q189">
        <v>0</v>
      </c>
      <c r="S189" s="19">
        <f t="shared" si="241"/>
        <v>1.0146665436767824E-4</v>
      </c>
      <c r="T189" s="19">
        <f t="shared" si="227"/>
        <v>5.6850930049777313E-3</v>
      </c>
      <c r="U189" s="19">
        <f t="shared" si="228"/>
        <v>3.2258064516129028E-3</v>
      </c>
      <c r="V189" s="19">
        <f t="shared" si="229"/>
        <v>0</v>
      </c>
      <c r="W189" s="19">
        <f t="shared" si="230"/>
        <v>0</v>
      </c>
      <c r="X189" s="19">
        <f t="shared" si="231"/>
        <v>3.133329893893274E-2</v>
      </c>
      <c r="Y189" s="19">
        <f t="shared" si="232"/>
        <v>4.6286961293533602E-2</v>
      </c>
      <c r="Z189" s="19">
        <f t="shared" si="233"/>
        <v>3.2815845824411133E-2</v>
      </c>
      <c r="AA189" s="19">
        <f t="shared" si="234"/>
        <v>3.2086638471483235E-2</v>
      </c>
      <c r="AB189" s="19">
        <f t="shared" si="235"/>
        <v>0</v>
      </c>
      <c r="AC189" s="19">
        <f t="shared" si="236"/>
        <v>0</v>
      </c>
      <c r="AD189" s="19">
        <f t="shared" si="237"/>
        <v>7.6742382776865528E-2</v>
      </c>
      <c r="AE189" s="19">
        <f t="shared" si="238"/>
        <v>7.2112773952518527E-2</v>
      </c>
      <c r="AF189" s="19">
        <f t="shared" si="239"/>
        <v>2.3304396361464527E-2</v>
      </c>
      <c r="AG189" s="19">
        <f t="shared" si="240"/>
        <v>0</v>
      </c>
    </row>
    <row r="190" spans="1:33" outlineLevel="2">
      <c r="A190" s="21" t="s">
        <v>16</v>
      </c>
      <c r="B190" s="21">
        <v>346</v>
      </c>
      <c r="C190" s="21">
        <v>10.66</v>
      </c>
      <c r="D190" s="22">
        <v>2.86</v>
      </c>
      <c r="E190">
        <v>0</v>
      </c>
      <c r="F190">
        <v>0</v>
      </c>
      <c r="G190">
        <v>0</v>
      </c>
      <c r="H190">
        <v>114.08</v>
      </c>
      <c r="I190">
        <v>104.84</v>
      </c>
      <c r="J190">
        <v>163.96</v>
      </c>
      <c r="K190">
        <v>0.04</v>
      </c>
      <c r="L190">
        <v>0</v>
      </c>
      <c r="M190">
        <v>9.44</v>
      </c>
      <c r="N190">
        <v>19.04</v>
      </c>
      <c r="O190">
        <v>245.16</v>
      </c>
      <c r="P190">
        <v>1068.52</v>
      </c>
      <c r="Q190">
        <v>0</v>
      </c>
      <c r="S190" s="19">
        <f t="shared" si="241"/>
        <v>4.9165206161793191E-3</v>
      </c>
      <c r="T190" s="19">
        <f t="shared" si="227"/>
        <v>3.7463976945244955E-3</v>
      </c>
      <c r="U190" s="19">
        <f t="shared" si="228"/>
        <v>0</v>
      </c>
      <c r="V190" s="19">
        <f t="shared" si="229"/>
        <v>0</v>
      </c>
      <c r="W190" s="19">
        <f t="shared" si="230"/>
        <v>0</v>
      </c>
      <c r="X190" s="19">
        <f t="shared" si="231"/>
        <v>4.9046415243598339E-2</v>
      </c>
      <c r="Y190" s="19">
        <f t="shared" si="232"/>
        <v>3.3448614709222932E-2</v>
      </c>
      <c r="Z190" s="19">
        <f t="shared" si="233"/>
        <v>5.4858137044967878E-2</v>
      </c>
      <c r="AA190" s="19">
        <f t="shared" si="234"/>
        <v>6.4965860440338605E-6</v>
      </c>
      <c r="AB190" s="19">
        <f t="shared" si="235"/>
        <v>0</v>
      </c>
      <c r="AC190" s="19">
        <f t="shared" si="236"/>
        <v>6.5774804905239681E-2</v>
      </c>
      <c r="AD190" s="19">
        <f t="shared" si="237"/>
        <v>1.0855683269476371E-2</v>
      </c>
      <c r="AE190" s="19">
        <f t="shared" si="238"/>
        <v>6.6563131258281019E-2</v>
      </c>
      <c r="AF190" s="19">
        <f t="shared" si="239"/>
        <v>1.8007299181504784E-2</v>
      </c>
      <c r="AG190" s="19">
        <f t="shared" si="240"/>
        <v>0</v>
      </c>
    </row>
    <row r="191" spans="1:33" outlineLevel="2">
      <c r="A191" s="21" t="s">
        <v>16</v>
      </c>
      <c r="B191" s="21">
        <v>347</v>
      </c>
      <c r="C191" s="21">
        <v>71.58</v>
      </c>
      <c r="D191" s="22">
        <v>22.18</v>
      </c>
      <c r="E191">
        <v>9.2799999999999994</v>
      </c>
      <c r="F191">
        <v>5.22</v>
      </c>
      <c r="G191">
        <v>3.18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S191" s="19">
        <f t="shared" si="241"/>
        <v>3.3013559634720038E-2</v>
      </c>
      <c r="T191" s="19">
        <f t="shared" si="227"/>
        <v>2.9054231071522139E-2</v>
      </c>
      <c r="U191" s="19">
        <f t="shared" si="228"/>
        <v>2.6259196378041874E-2</v>
      </c>
      <c r="V191" s="19">
        <f t="shared" si="229"/>
        <v>2.0215320269537599E-2</v>
      </c>
      <c r="W191" s="19">
        <f t="shared" si="230"/>
        <v>2.5468524747717443E-2</v>
      </c>
      <c r="X191" s="19">
        <f t="shared" si="231"/>
        <v>0</v>
      </c>
      <c r="Y191" s="19">
        <f t="shared" si="232"/>
        <v>0</v>
      </c>
      <c r="Z191" s="19">
        <f t="shared" si="233"/>
        <v>0</v>
      </c>
      <c r="AA191" s="19">
        <f t="shared" si="234"/>
        <v>0</v>
      </c>
      <c r="AB191" s="19">
        <f t="shared" si="235"/>
        <v>0</v>
      </c>
      <c r="AC191" s="19">
        <f t="shared" si="236"/>
        <v>0</v>
      </c>
      <c r="AD191" s="19">
        <f t="shared" si="237"/>
        <v>0</v>
      </c>
      <c r="AE191" s="19">
        <f t="shared" si="238"/>
        <v>0</v>
      </c>
      <c r="AF191" s="19">
        <f t="shared" si="239"/>
        <v>0</v>
      </c>
      <c r="AG191" s="19">
        <f t="shared" si="240"/>
        <v>0</v>
      </c>
    </row>
    <row r="192" spans="1:33" outlineLevel="2">
      <c r="A192" s="21" t="s">
        <v>16</v>
      </c>
      <c r="B192" s="21">
        <v>348</v>
      </c>
      <c r="C192" s="21">
        <v>31.38</v>
      </c>
      <c r="D192" s="22">
        <v>2.2400000000000002</v>
      </c>
      <c r="E192">
        <v>0</v>
      </c>
      <c r="F192">
        <v>0</v>
      </c>
      <c r="G192">
        <v>0</v>
      </c>
      <c r="H192">
        <v>434.2</v>
      </c>
      <c r="I192">
        <v>691.68</v>
      </c>
      <c r="J192">
        <v>400</v>
      </c>
      <c r="K192">
        <v>128.4</v>
      </c>
      <c r="L192">
        <v>0</v>
      </c>
      <c r="M192">
        <v>3.8</v>
      </c>
      <c r="N192">
        <v>186.96</v>
      </c>
      <c r="O192">
        <v>1063.8</v>
      </c>
      <c r="P192">
        <v>6736.56</v>
      </c>
      <c r="Q192">
        <v>297.64</v>
      </c>
      <c r="S192" s="19">
        <f t="shared" si="241"/>
        <v>1.4472834609353379E-2</v>
      </c>
      <c r="T192" s="19">
        <f t="shared" si="227"/>
        <v>2.9342415509562487E-3</v>
      </c>
      <c r="U192" s="19">
        <f t="shared" si="228"/>
        <v>0</v>
      </c>
      <c r="V192" s="19">
        <f t="shared" si="229"/>
        <v>0</v>
      </c>
      <c r="W192" s="19">
        <f t="shared" si="230"/>
        <v>0</v>
      </c>
      <c r="X192" s="19">
        <f t="shared" si="231"/>
        <v>0.18667560921082046</v>
      </c>
      <c r="Y192" s="19">
        <f t="shared" si="232"/>
        <v>0.22067662935974164</v>
      </c>
      <c r="Z192" s="19">
        <f t="shared" si="233"/>
        <v>0.13383297644539613</v>
      </c>
      <c r="AA192" s="19">
        <f t="shared" si="234"/>
        <v>2.0854041201348691E-2</v>
      </c>
      <c r="AB192" s="19">
        <f t="shared" si="235"/>
        <v>0</v>
      </c>
      <c r="AC192" s="19">
        <f t="shared" si="236"/>
        <v>2.6477146042363432E-2</v>
      </c>
      <c r="AD192" s="19">
        <f t="shared" si="237"/>
        <v>0.10659551176792556</v>
      </c>
      <c r="AE192" s="19">
        <f t="shared" si="238"/>
        <v>0.288831208323378</v>
      </c>
      <c r="AF192" s="19">
        <f t="shared" si="239"/>
        <v>0.11352829275461188</v>
      </c>
      <c r="AG192" s="19">
        <f t="shared" si="240"/>
        <v>0.16892167990919407</v>
      </c>
    </row>
    <row r="193" spans="1:33" outlineLevel="2">
      <c r="A193" s="21" t="s">
        <v>16</v>
      </c>
      <c r="B193" s="21">
        <v>349</v>
      </c>
      <c r="C193" s="21">
        <v>210.62</v>
      </c>
      <c r="D193" s="22">
        <v>75.680000000000007</v>
      </c>
      <c r="E193">
        <v>25.56</v>
      </c>
      <c r="F193">
        <v>4.24</v>
      </c>
      <c r="G193">
        <v>0</v>
      </c>
      <c r="H193">
        <v>93.68</v>
      </c>
      <c r="I193">
        <v>514.48</v>
      </c>
      <c r="J193">
        <v>1449.52</v>
      </c>
      <c r="K193">
        <v>5399.08</v>
      </c>
      <c r="L193">
        <v>333.64</v>
      </c>
      <c r="M193">
        <v>0</v>
      </c>
      <c r="N193">
        <v>0.12</v>
      </c>
      <c r="O193">
        <v>34.32</v>
      </c>
      <c r="P193">
        <v>23034.720000000001</v>
      </c>
      <c r="Q193">
        <v>1456.2</v>
      </c>
      <c r="S193" s="19">
        <f t="shared" si="241"/>
        <v>9.7140485195092691E-2</v>
      </c>
      <c r="T193" s="19">
        <f t="shared" si="227"/>
        <v>9.9135446685878981E-2</v>
      </c>
      <c r="U193" s="19">
        <f t="shared" si="228"/>
        <v>7.2325976230899813E-2</v>
      </c>
      <c r="V193" s="19">
        <f t="shared" si="229"/>
        <v>1.6420106885601426E-2</v>
      </c>
      <c r="W193" s="19">
        <f t="shared" si="230"/>
        <v>0</v>
      </c>
      <c r="X193" s="19">
        <f t="shared" si="231"/>
        <v>4.0275843092744505E-2</v>
      </c>
      <c r="Y193" s="19">
        <f t="shared" si="232"/>
        <v>0.16414196199543127</v>
      </c>
      <c r="Z193" s="19">
        <f t="shared" si="233"/>
        <v>0.48498394004282652</v>
      </c>
      <c r="AA193" s="19">
        <f t="shared" si="234"/>
        <v>0.87688969446555831</v>
      </c>
      <c r="AB193" s="19">
        <f t="shared" si="235"/>
        <v>1</v>
      </c>
      <c r="AC193" s="19">
        <f t="shared" si="236"/>
        <v>0</v>
      </c>
      <c r="AD193" s="19">
        <f t="shared" si="237"/>
        <v>6.8418171866447717E-5</v>
      </c>
      <c r="AE193" s="19">
        <f t="shared" si="238"/>
        <v>9.3181867547079654E-3</v>
      </c>
      <c r="AF193" s="19">
        <f t="shared" si="239"/>
        <v>0.38819403904671124</v>
      </c>
      <c r="AG193" s="19">
        <f t="shared" si="240"/>
        <v>0.82644721906923946</v>
      </c>
    </row>
    <row r="194" spans="1:33" outlineLevel="2">
      <c r="A194" s="21" t="s">
        <v>16</v>
      </c>
      <c r="B194" s="21">
        <v>350</v>
      </c>
      <c r="C194" s="21">
        <v>73.48</v>
      </c>
      <c r="D194" s="22">
        <v>30.62</v>
      </c>
      <c r="E194">
        <v>18.760000000000002</v>
      </c>
      <c r="F194">
        <v>14.28</v>
      </c>
      <c r="G194">
        <v>5.7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S194" s="19">
        <f t="shared" si="241"/>
        <v>3.3889862558804537E-2</v>
      </c>
      <c r="T194" s="19">
        <f t="shared" si="227"/>
        <v>4.0110034058160861E-2</v>
      </c>
      <c r="U194" s="19">
        <f t="shared" si="228"/>
        <v>5.3084323712507077E-2</v>
      </c>
      <c r="V194" s="19">
        <f t="shared" si="229"/>
        <v>5.5301680737355738E-2</v>
      </c>
      <c r="W194" s="19">
        <f t="shared" si="230"/>
        <v>4.5651129264776547E-2</v>
      </c>
      <c r="X194" s="19">
        <f t="shared" si="231"/>
        <v>0</v>
      </c>
      <c r="Y194" s="19">
        <f t="shared" si="232"/>
        <v>0</v>
      </c>
      <c r="Z194" s="19">
        <f t="shared" si="233"/>
        <v>0</v>
      </c>
      <c r="AA194" s="19">
        <f t="shared" si="234"/>
        <v>0</v>
      </c>
      <c r="AB194" s="19">
        <f t="shared" si="235"/>
        <v>0</v>
      </c>
      <c r="AC194" s="19">
        <f t="shared" si="236"/>
        <v>0</v>
      </c>
      <c r="AD194" s="19">
        <f t="shared" si="237"/>
        <v>0</v>
      </c>
      <c r="AE194" s="19">
        <f t="shared" si="238"/>
        <v>0</v>
      </c>
      <c r="AF194" s="19">
        <f t="shared" si="239"/>
        <v>0</v>
      </c>
      <c r="AG194" s="19">
        <f t="shared" si="240"/>
        <v>0</v>
      </c>
    </row>
    <row r="195" spans="1:33" outlineLevel="2">
      <c r="A195" t="s">
        <v>16</v>
      </c>
      <c r="B195">
        <v>351</v>
      </c>
      <c r="C195">
        <v>200.06</v>
      </c>
      <c r="D195">
        <v>78.540000000000006</v>
      </c>
      <c r="E195">
        <v>38.92</v>
      </c>
      <c r="F195">
        <v>30.2</v>
      </c>
      <c r="G195">
        <v>8.68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S195" s="19">
        <f t="shared" si="241"/>
        <v>9.2270085785444142E-2</v>
      </c>
      <c r="T195" s="19">
        <f t="shared" si="227"/>
        <v>0.10288184438040347</v>
      </c>
      <c r="U195" s="19">
        <f t="shared" si="228"/>
        <v>0.11013016411997735</v>
      </c>
      <c r="V195" s="19">
        <f t="shared" si="229"/>
        <v>0.11695453489272711</v>
      </c>
      <c r="W195" s="19">
        <f t="shared" si="230"/>
        <v>6.9517860003203577E-2</v>
      </c>
      <c r="X195" s="19">
        <f t="shared" si="231"/>
        <v>0</v>
      </c>
      <c r="Y195" s="19">
        <f t="shared" si="232"/>
        <v>0</v>
      </c>
      <c r="Z195" s="19">
        <f t="shared" si="233"/>
        <v>0</v>
      </c>
      <c r="AA195" s="19">
        <f t="shared" si="234"/>
        <v>0</v>
      </c>
      <c r="AB195" s="19">
        <f t="shared" si="235"/>
        <v>0</v>
      </c>
      <c r="AC195" s="19">
        <f t="shared" si="236"/>
        <v>0</v>
      </c>
      <c r="AD195" s="19">
        <f t="shared" si="237"/>
        <v>0</v>
      </c>
      <c r="AE195" s="19">
        <f t="shared" si="238"/>
        <v>0</v>
      </c>
      <c r="AF195" s="19">
        <f t="shared" si="239"/>
        <v>0</v>
      </c>
      <c r="AG195" s="19">
        <f t="shared" si="240"/>
        <v>0</v>
      </c>
    </row>
    <row r="196" spans="1:33" outlineLevel="2">
      <c r="A196" s="21" t="s">
        <v>16</v>
      </c>
      <c r="B196" s="21">
        <v>352</v>
      </c>
      <c r="C196" s="21">
        <v>241.62</v>
      </c>
      <c r="D196" s="22">
        <v>101.84</v>
      </c>
      <c r="E196">
        <v>47.5</v>
      </c>
      <c r="F196">
        <v>32.06</v>
      </c>
      <c r="G196">
        <v>11.1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S196" s="19">
        <f t="shared" si="241"/>
        <v>0.11143805921962917</v>
      </c>
      <c r="T196" s="19">
        <f t="shared" si="227"/>
        <v>0.13340319622740374</v>
      </c>
      <c r="U196" s="19">
        <f t="shared" si="228"/>
        <v>0.13440860215053763</v>
      </c>
      <c r="V196" s="19">
        <f t="shared" si="229"/>
        <v>0.12415769498876926</v>
      </c>
      <c r="W196" s="19">
        <f t="shared" si="230"/>
        <v>8.8899567515617478E-2</v>
      </c>
      <c r="X196" s="19">
        <f t="shared" si="231"/>
        <v>0</v>
      </c>
      <c r="Y196" s="19">
        <f t="shared" si="232"/>
        <v>0</v>
      </c>
      <c r="Z196" s="19">
        <f t="shared" si="233"/>
        <v>0</v>
      </c>
      <c r="AA196" s="19">
        <f t="shared" si="234"/>
        <v>0</v>
      </c>
      <c r="AB196" s="19">
        <f t="shared" si="235"/>
        <v>0</v>
      </c>
      <c r="AC196" s="19">
        <f t="shared" si="236"/>
        <v>0</v>
      </c>
      <c r="AD196" s="19">
        <f t="shared" si="237"/>
        <v>0</v>
      </c>
      <c r="AE196" s="19">
        <f t="shared" si="238"/>
        <v>0</v>
      </c>
      <c r="AF196" s="19">
        <f t="shared" si="239"/>
        <v>0</v>
      </c>
      <c r="AG196" s="19">
        <f t="shared" si="240"/>
        <v>0</v>
      </c>
    </row>
    <row r="197" spans="1:33" outlineLevel="2">
      <c r="A197" s="21" t="s">
        <v>16</v>
      </c>
      <c r="B197" s="21">
        <v>353</v>
      </c>
      <c r="C197" s="21">
        <v>226.94</v>
      </c>
      <c r="D197" s="22">
        <v>99.58</v>
      </c>
      <c r="E197">
        <v>43.96</v>
      </c>
      <c r="F197">
        <v>28.24</v>
      </c>
      <c r="G197">
        <v>6.06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S197" s="19">
        <f t="shared" si="241"/>
        <v>0.10466746610091318</v>
      </c>
      <c r="T197" s="19">
        <f t="shared" si="227"/>
        <v>0.13044275609117109</v>
      </c>
      <c r="U197" s="19">
        <f t="shared" si="228"/>
        <v>0.12439162422184492</v>
      </c>
      <c r="V197" s="19">
        <f t="shared" si="229"/>
        <v>0.10936410812485475</v>
      </c>
      <c r="W197" s="19">
        <f t="shared" si="230"/>
        <v>4.8534358481499271E-2</v>
      </c>
      <c r="X197" s="19">
        <f t="shared" si="231"/>
        <v>0</v>
      </c>
      <c r="Y197" s="19">
        <f t="shared" si="232"/>
        <v>0</v>
      </c>
      <c r="Z197" s="19">
        <f t="shared" si="233"/>
        <v>0</v>
      </c>
      <c r="AA197" s="19">
        <f t="shared" si="234"/>
        <v>0</v>
      </c>
      <c r="AB197" s="19">
        <f t="shared" si="235"/>
        <v>0</v>
      </c>
      <c r="AC197" s="19">
        <f t="shared" si="236"/>
        <v>0</v>
      </c>
      <c r="AD197" s="19">
        <f t="shared" si="237"/>
        <v>0</v>
      </c>
      <c r="AE197" s="19">
        <f t="shared" si="238"/>
        <v>0</v>
      </c>
      <c r="AF197" s="19">
        <f t="shared" si="239"/>
        <v>0</v>
      </c>
      <c r="AG197" s="19">
        <f t="shared" si="240"/>
        <v>0</v>
      </c>
    </row>
    <row r="198" spans="1:33" outlineLevel="2">
      <c r="A198" t="s">
        <v>16</v>
      </c>
      <c r="B198">
        <v>354</v>
      </c>
      <c r="C198">
        <v>59.9</v>
      </c>
      <c r="D198">
        <v>15.68</v>
      </c>
      <c r="E198">
        <v>5.68</v>
      </c>
      <c r="F198">
        <v>4.5599999999999996</v>
      </c>
      <c r="G198">
        <v>0.4</v>
      </c>
      <c r="H198">
        <v>82.76</v>
      </c>
      <c r="I198">
        <v>45.32</v>
      </c>
      <c r="J198">
        <v>0.28000000000000003</v>
      </c>
      <c r="K198">
        <v>0</v>
      </c>
      <c r="L198">
        <v>0</v>
      </c>
      <c r="M198">
        <v>4.24</v>
      </c>
      <c r="N198">
        <v>111.52</v>
      </c>
      <c r="O198">
        <v>184.4</v>
      </c>
      <c r="P198">
        <v>259.68</v>
      </c>
      <c r="Q198">
        <v>0</v>
      </c>
      <c r="S198" s="19">
        <f t="shared" si="241"/>
        <v>2.7626602711926941E-2</v>
      </c>
      <c r="T198" s="19">
        <f t="shared" si="227"/>
        <v>2.053969085669374E-2</v>
      </c>
      <c r="U198" s="19">
        <f t="shared" si="228"/>
        <v>1.6072439162422181E-2</v>
      </c>
      <c r="V198" s="19">
        <f t="shared" si="229"/>
        <v>1.7659360235458135E-2</v>
      </c>
      <c r="W198" s="19">
        <f t="shared" si="230"/>
        <v>3.2035880185808103E-3</v>
      </c>
      <c r="X198" s="19">
        <f t="shared" si="231"/>
        <v>3.5581007411993326E-2</v>
      </c>
      <c r="Y198" s="19">
        <f t="shared" si="232"/>
        <v>1.4459092127260428E-2</v>
      </c>
      <c r="Z198" s="19">
        <f t="shared" si="233"/>
        <v>9.3683083511777304E-5</v>
      </c>
      <c r="AA198" s="19">
        <f t="shared" si="234"/>
        <v>0</v>
      </c>
      <c r="AB198" s="19">
        <f t="shared" si="235"/>
        <v>0</v>
      </c>
      <c r="AC198" s="19">
        <f t="shared" si="236"/>
        <v>2.9542920847268672E-2</v>
      </c>
      <c r="AD198" s="19">
        <f t="shared" si="237"/>
        <v>6.3583287721218754E-2</v>
      </c>
      <c r="AE198" s="19">
        <f t="shared" si="238"/>
        <v>5.0066248180890116E-2</v>
      </c>
      <c r="AF198" s="19">
        <f t="shared" si="239"/>
        <v>4.3762732110331701E-3</v>
      </c>
      <c r="AG198" s="19">
        <f t="shared" si="240"/>
        <v>0</v>
      </c>
    </row>
    <row r="199" spans="1:33" outlineLevel="2">
      <c r="A199" s="21" t="s">
        <v>16</v>
      </c>
      <c r="B199" s="21">
        <v>355</v>
      </c>
      <c r="C199" s="21">
        <v>935.56</v>
      </c>
      <c r="D199" s="22">
        <v>315.7</v>
      </c>
      <c r="E199">
        <v>161.36000000000001</v>
      </c>
      <c r="F199">
        <v>138.86000000000001</v>
      </c>
      <c r="G199">
        <v>89.62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S199" s="19">
        <f t="shared" si="241"/>
        <v>0.43149155981920478</v>
      </c>
      <c r="T199" s="19">
        <f t="shared" si="227"/>
        <v>0.41354466858789624</v>
      </c>
      <c r="U199" s="19">
        <f t="shared" si="228"/>
        <v>0.45659309564233164</v>
      </c>
      <c r="V199" s="19">
        <f t="shared" si="229"/>
        <v>0.53775850050344665</v>
      </c>
      <c r="W199" s="19">
        <f t="shared" si="230"/>
        <v>0.71776389556303055</v>
      </c>
      <c r="X199" s="19">
        <f t="shared" si="231"/>
        <v>0</v>
      </c>
      <c r="Y199" s="19">
        <f t="shared" si="232"/>
        <v>0</v>
      </c>
      <c r="Z199" s="19">
        <f t="shared" si="233"/>
        <v>0</v>
      </c>
      <c r="AA199" s="19">
        <f t="shared" si="234"/>
        <v>0</v>
      </c>
      <c r="AB199" s="19">
        <f t="shared" si="235"/>
        <v>0</v>
      </c>
      <c r="AC199" s="19">
        <f t="shared" si="236"/>
        <v>0</v>
      </c>
      <c r="AD199" s="19">
        <f t="shared" si="237"/>
        <v>0</v>
      </c>
      <c r="AE199" s="19">
        <f t="shared" si="238"/>
        <v>0</v>
      </c>
      <c r="AF199" s="19">
        <f t="shared" si="239"/>
        <v>0</v>
      </c>
      <c r="AG199" s="19">
        <f t="shared" si="240"/>
        <v>0</v>
      </c>
    </row>
    <row r="200" spans="1:33" outlineLevel="2">
      <c r="A200" s="21" t="s">
        <v>16</v>
      </c>
      <c r="B200" s="21">
        <v>356</v>
      </c>
      <c r="C200" s="21">
        <v>103.82</v>
      </c>
      <c r="D200" s="22">
        <v>13.9</v>
      </c>
      <c r="E200">
        <v>1.24</v>
      </c>
      <c r="F200">
        <v>0.56000000000000005</v>
      </c>
      <c r="G200">
        <v>0.12</v>
      </c>
      <c r="H200">
        <v>1017.8</v>
      </c>
      <c r="I200">
        <v>1050.76</v>
      </c>
      <c r="J200">
        <v>863.72</v>
      </c>
      <c r="K200">
        <v>427.84</v>
      </c>
      <c r="L200">
        <v>0</v>
      </c>
      <c r="M200">
        <v>113.84</v>
      </c>
      <c r="N200">
        <v>1149.8399999999999</v>
      </c>
      <c r="O200">
        <v>1855.68</v>
      </c>
      <c r="P200">
        <v>26841.72</v>
      </c>
      <c r="Q200">
        <v>8.16</v>
      </c>
      <c r="S200" s="19">
        <f t="shared" si="241"/>
        <v>4.7883036620237976E-2</v>
      </c>
      <c r="T200" s="19">
        <f t="shared" si="227"/>
        <v>1.8208016767094579E-2</v>
      </c>
      <c r="U200" s="19">
        <f t="shared" si="228"/>
        <v>3.508771929824561E-3</v>
      </c>
      <c r="V200" s="19">
        <f t="shared" si="229"/>
        <v>2.1686933622492447E-3</v>
      </c>
      <c r="W200" s="19">
        <f t="shared" si="230"/>
        <v>9.6107640557424297E-4</v>
      </c>
      <c r="X200" s="19">
        <f t="shared" si="231"/>
        <v>0.43758276152642345</v>
      </c>
      <c r="Y200" s="19">
        <f t="shared" si="232"/>
        <v>0.33523909187202483</v>
      </c>
      <c r="Z200" s="19">
        <f t="shared" si="233"/>
        <v>0.28898554603854387</v>
      </c>
      <c r="AA200" s="19">
        <f t="shared" si="234"/>
        <v>6.9487484326986163E-2</v>
      </c>
      <c r="AB200" s="19">
        <f t="shared" si="235"/>
        <v>0</v>
      </c>
      <c r="AC200" s="19">
        <f t="shared" si="236"/>
        <v>0.79319955406911924</v>
      </c>
      <c r="AD200" s="19">
        <f t="shared" si="237"/>
        <v>0.65558292282430208</v>
      </c>
      <c r="AE200" s="19">
        <f t="shared" si="238"/>
        <v>0.5038337062056083</v>
      </c>
      <c r="AF200" s="19">
        <f t="shared" si="239"/>
        <v>0.45235174127408062</v>
      </c>
      <c r="AG200" s="19">
        <f t="shared" si="240"/>
        <v>4.6311010215664009E-3</v>
      </c>
    </row>
    <row r="201" spans="1:33" outlineLevel="1">
      <c r="A201" s="23" t="s">
        <v>70</v>
      </c>
      <c r="C201" s="21">
        <f t="shared" ref="C201:Q201" si="242">SUBTOTAL(9,C186:C200)</f>
        <v>2168.2000000000003</v>
      </c>
      <c r="D201" s="22">
        <f t="shared" si="242"/>
        <v>763.4</v>
      </c>
      <c r="E201">
        <f t="shared" si="242"/>
        <v>353.40000000000003</v>
      </c>
      <c r="F201">
        <f t="shared" si="242"/>
        <v>258.22000000000003</v>
      </c>
      <c r="G201">
        <f t="shared" si="242"/>
        <v>124.86000000000001</v>
      </c>
      <c r="H201">
        <f t="shared" si="242"/>
        <v>2325.96</v>
      </c>
      <c r="I201">
        <f t="shared" si="242"/>
        <v>3134.3600000000006</v>
      </c>
      <c r="J201">
        <f t="shared" si="242"/>
        <v>2988.8</v>
      </c>
      <c r="K201">
        <f t="shared" si="242"/>
        <v>6157.08</v>
      </c>
      <c r="L201">
        <f t="shared" si="242"/>
        <v>333.64</v>
      </c>
      <c r="M201">
        <f t="shared" si="242"/>
        <v>143.52000000000001</v>
      </c>
      <c r="N201">
        <f t="shared" si="242"/>
        <v>1753.92</v>
      </c>
      <c r="O201">
        <f t="shared" si="242"/>
        <v>3683.12</v>
      </c>
      <c r="P201">
        <f t="shared" si="242"/>
        <v>59338.16</v>
      </c>
      <c r="Q201">
        <f t="shared" si="242"/>
        <v>1762.0000000000002</v>
      </c>
    </row>
    <row r="202" spans="1:33" outlineLevel="2">
      <c r="A202" s="21" t="s">
        <v>17</v>
      </c>
      <c r="B202" s="21">
        <v>34</v>
      </c>
      <c r="C202" s="21">
        <v>384.74</v>
      </c>
      <c r="D202" s="22">
        <v>130.24</v>
      </c>
      <c r="E202">
        <v>59.08</v>
      </c>
      <c r="F202">
        <v>41.04</v>
      </c>
      <c r="G202">
        <v>14.54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19"/>
      <c r="S202" s="19">
        <f>IF(C$232&gt;0, C202/C$232, 0)</f>
        <v>3.0416330740953967E-3</v>
      </c>
      <c r="T202" s="19">
        <f t="shared" ref="T202:AG217" si="243">IF(D$232&gt;0, D202/D$232, 0)</f>
        <v>2.577736856293149E-3</v>
      </c>
      <c r="U202" s="19">
        <f t="shared" si="243"/>
        <v>5.313675970096631E-3</v>
      </c>
      <c r="V202" s="19">
        <f t="shared" si="243"/>
        <v>8.9557710604645461E-3</v>
      </c>
      <c r="W202" s="19">
        <f t="shared" si="243"/>
        <v>1.7177827134823499E-2</v>
      </c>
      <c r="X202" s="19">
        <f t="shared" si="243"/>
        <v>0</v>
      </c>
      <c r="Y202" s="19">
        <f t="shared" si="243"/>
        <v>0</v>
      </c>
      <c r="Z202" s="19">
        <f t="shared" si="243"/>
        <v>0</v>
      </c>
      <c r="AA202" s="19">
        <f t="shared" si="243"/>
        <v>0</v>
      </c>
      <c r="AB202" s="19">
        <f t="shared" si="243"/>
        <v>0</v>
      </c>
      <c r="AC202" s="19">
        <f t="shared" si="243"/>
        <v>0</v>
      </c>
      <c r="AD202" s="19">
        <f t="shared" si="243"/>
        <v>0</v>
      </c>
      <c r="AE202" s="19">
        <f t="shared" si="243"/>
        <v>0</v>
      </c>
      <c r="AF202" s="19">
        <f t="shared" si="243"/>
        <v>0</v>
      </c>
      <c r="AG202" s="19">
        <f t="shared" si="243"/>
        <v>0</v>
      </c>
    </row>
    <row r="203" spans="1:33" outlineLevel="2">
      <c r="A203" t="s">
        <v>17</v>
      </c>
      <c r="B203">
        <v>35</v>
      </c>
      <c r="C203">
        <v>419.16</v>
      </c>
      <c r="D203">
        <v>143.70000000000002</v>
      </c>
      <c r="E203">
        <v>49.98</v>
      </c>
      <c r="F203">
        <v>20.100000000000001</v>
      </c>
      <c r="G203">
        <v>2.48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S203" s="19">
        <f t="shared" ref="S203:S231" si="244">IF(C$232&gt;0, C203/C$232, 0)</f>
        <v>3.313746736335776E-3</v>
      </c>
      <c r="T203" s="19">
        <f t="shared" si="243"/>
        <v>2.8441399435605464E-3</v>
      </c>
      <c r="U203" s="19">
        <f t="shared" si="243"/>
        <v>4.4952187709111305E-3</v>
      </c>
      <c r="V203" s="19">
        <f t="shared" si="243"/>
        <v>4.3862329024205024E-3</v>
      </c>
      <c r="W203" s="19">
        <f t="shared" si="243"/>
        <v>2.9299182458295929E-3</v>
      </c>
      <c r="X203" s="19">
        <f t="shared" si="243"/>
        <v>0</v>
      </c>
      <c r="Y203" s="19">
        <f t="shared" si="243"/>
        <v>0</v>
      </c>
      <c r="Z203" s="19">
        <f t="shared" si="243"/>
        <v>0</v>
      </c>
      <c r="AA203" s="19">
        <f t="shared" si="243"/>
        <v>0</v>
      </c>
      <c r="AB203" s="19">
        <f t="shared" si="243"/>
        <v>0</v>
      </c>
      <c r="AC203" s="19">
        <f t="shared" si="243"/>
        <v>0</v>
      </c>
      <c r="AD203" s="19">
        <f t="shared" si="243"/>
        <v>0</v>
      </c>
      <c r="AE203" s="19">
        <f t="shared" si="243"/>
        <v>0</v>
      </c>
      <c r="AF203" s="19">
        <f t="shared" si="243"/>
        <v>0</v>
      </c>
      <c r="AG203" s="19">
        <f t="shared" si="243"/>
        <v>0</v>
      </c>
    </row>
    <row r="204" spans="1:33" outlineLevel="2">
      <c r="A204" s="21" t="s">
        <v>17</v>
      </c>
      <c r="B204" s="21">
        <v>36</v>
      </c>
      <c r="C204" s="21">
        <v>987.4</v>
      </c>
      <c r="D204" s="22">
        <v>261.26</v>
      </c>
      <c r="E204">
        <v>75.199999999999989</v>
      </c>
      <c r="F204">
        <v>37.28</v>
      </c>
      <c r="G204">
        <v>10.06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S204" s="19">
        <f t="shared" si="244"/>
        <v>7.806072925512799E-3</v>
      </c>
      <c r="T204" s="19">
        <f t="shared" si="243"/>
        <v>5.1709116329480042E-3</v>
      </c>
      <c r="U204" s="19">
        <f t="shared" si="243"/>
        <v>6.76351443722523E-3</v>
      </c>
      <c r="V204" s="19">
        <f t="shared" si="243"/>
        <v>8.1352618210067812E-3</v>
      </c>
      <c r="W204" s="19">
        <f t="shared" si="243"/>
        <v>1.1885071593970042E-2</v>
      </c>
      <c r="X204" s="19">
        <f t="shared" si="243"/>
        <v>0</v>
      </c>
      <c r="Y204" s="19">
        <f t="shared" si="243"/>
        <v>0</v>
      </c>
      <c r="Z204" s="19">
        <f t="shared" si="243"/>
        <v>0</v>
      </c>
      <c r="AA204" s="19">
        <f t="shared" si="243"/>
        <v>0</v>
      </c>
      <c r="AB204" s="19">
        <f t="shared" si="243"/>
        <v>0</v>
      </c>
      <c r="AC204" s="19">
        <f t="shared" si="243"/>
        <v>0</v>
      </c>
      <c r="AD204" s="19">
        <f t="shared" si="243"/>
        <v>0</v>
      </c>
      <c r="AE204" s="19">
        <f t="shared" si="243"/>
        <v>0</v>
      </c>
      <c r="AF204" s="19">
        <f t="shared" si="243"/>
        <v>0</v>
      </c>
      <c r="AG204" s="19">
        <f t="shared" si="243"/>
        <v>0</v>
      </c>
    </row>
    <row r="205" spans="1:33" outlineLevel="2">
      <c r="A205" t="s">
        <v>17</v>
      </c>
      <c r="B205">
        <v>37</v>
      </c>
      <c r="C205">
        <v>484.86</v>
      </c>
      <c r="D205">
        <v>119.34</v>
      </c>
      <c r="E205">
        <v>37.78</v>
      </c>
      <c r="F205">
        <v>20.88</v>
      </c>
      <c r="G205">
        <v>9.08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S205" s="19">
        <f t="shared" si="244"/>
        <v>3.8331502113268545E-3</v>
      </c>
      <c r="T205" s="19">
        <f t="shared" si="243"/>
        <v>2.3620018153410966E-3</v>
      </c>
      <c r="U205" s="19">
        <f t="shared" si="243"/>
        <v>3.3979464818932083E-3</v>
      </c>
      <c r="V205" s="19">
        <f t="shared" si="243"/>
        <v>4.5564449254995058E-3</v>
      </c>
      <c r="W205" s="19">
        <f t="shared" si="243"/>
        <v>1.0727281319408347E-2</v>
      </c>
      <c r="X205" s="19">
        <f t="shared" si="243"/>
        <v>0</v>
      </c>
      <c r="Y205" s="19">
        <f t="shared" si="243"/>
        <v>0</v>
      </c>
      <c r="Z205" s="19">
        <f t="shared" si="243"/>
        <v>0</v>
      </c>
      <c r="AA205" s="19">
        <f t="shared" si="243"/>
        <v>0</v>
      </c>
      <c r="AB205" s="19">
        <f t="shared" si="243"/>
        <v>0</v>
      </c>
      <c r="AC205" s="19">
        <f t="shared" si="243"/>
        <v>0</v>
      </c>
      <c r="AD205" s="19">
        <f t="shared" si="243"/>
        <v>0</v>
      </c>
      <c r="AE205" s="19">
        <f t="shared" si="243"/>
        <v>0</v>
      </c>
      <c r="AF205" s="19">
        <f t="shared" si="243"/>
        <v>0</v>
      </c>
      <c r="AG205" s="19">
        <f t="shared" si="243"/>
        <v>0</v>
      </c>
    </row>
    <row r="206" spans="1:33" outlineLevel="2">
      <c r="A206" s="21" t="s">
        <v>17</v>
      </c>
      <c r="B206" s="21">
        <v>38</v>
      </c>
      <c r="C206" s="21">
        <v>458.38</v>
      </c>
      <c r="D206" s="22">
        <v>91.240000000000009</v>
      </c>
      <c r="E206">
        <v>22.220000000000002</v>
      </c>
      <c r="F206">
        <v>5.7</v>
      </c>
      <c r="G206">
        <v>0.24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S206" s="19">
        <f t="shared" si="244"/>
        <v>3.623807684420252E-3</v>
      </c>
      <c r="T206" s="19">
        <f t="shared" si="243"/>
        <v>1.8058408382078236E-3</v>
      </c>
      <c r="U206" s="19">
        <f t="shared" si="243"/>
        <v>1.9984746116375619E-3</v>
      </c>
      <c r="V206" s="19">
        <f t="shared" si="243"/>
        <v>1.2438570917311872E-3</v>
      </c>
      <c r="W206" s="19">
        <f t="shared" si="243"/>
        <v>2.8354047540286382E-4</v>
      </c>
      <c r="X206" s="19">
        <f t="shared" si="243"/>
        <v>0</v>
      </c>
      <c r="Y206" s="19">
        <f t="shared" si="243"/>
        <v>0</v>
      </c>
      <c r="Z206" s="19">
        <f t="shared" si="243"/>
        <v>0</v>
      </c>
      <c r="AA206" s="19">
        <f t="shared" si="243"/>
        <v>0</v>
      </c>
      <c r="AB206" s="19">
        <f t="shared" si="243"/>
        <v>0</v>
      </c>
      <c r="AC206" s="19">
        <f t="shared" si="243"/>
        <v>0</v>
      </c>
      <c r="AD206" s="19">
        <f t="shared" si="243"/>
        <v>0</v>
      </c>
      <c r="AE206" s="19">
        <f t="shared" si="243"/>
        <v>0</v>
      </c>
      <c r="AF206" s="19">
        <f t="shared" si="243"/>
        <v>0</v>
      </c>
      <c r="AG206" s="19">
        <f t="shared" si="243"/>
        <v>0</v>
      </c>
    </row>
    <row r="207" spans="1:33" outlineLevel="2">
      <c r="A207" s="21" t="s">
        <v>17</v>
      </c>
      <c r="B207" s="21">
        <v>39</v>
      </c>
      <c r="C207" s="21">
        <v>150.76</v>
      </c>
      <c r="D207" s="22">
        <v>32.9</v>
      </c>
      <c r="E207">
        <v>6.8</v>
      </c>
      <c r="F207">
        <v>3.14</v>
      </c>
      <c r="G207">
        <v>0.16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S207" s="19">
        <f t="shared" si="244"/>
        <v>1.1918610028866818E-3</v>
      </c>
      <c r="T207" s="19">
        <f t="shared" si="243"/>
        <v>6.5116356397454389E-4</v>
      </c>
      <c r="U207" s="19">
        <f t="shared" si="243"/>
        <v>6.1159439060015392E-4</v>
      </c>
      <c r="V207" s="19">
        <f t="shared" si="243"/>
        <v>6.8521250316419785E-4</v>
      </c>
      <c r="W207" s="19">
        <f t="shared" si="243"/>
        <v>1.8902698360190922E-4</v>
      </c>
      <c r="X207" s="19">
        <f t="shared" si="243"/>
        <v>0</v>
      </c>
      <c r="Y207" s="19">
        <f t="shared" si="243"/>
        <v>0</v>
      </c>
      <c r="Z207" s="19">
        <f t="shared" si="243"/>
        <v>0</v>
      </c>
      <c r="AA207" s="19">
        <f t="shared" si="243"/>
        <v>0</v>
      </c>
      <c r="AB207" s="19">
        <f t="shared" si="243"/>
        <v>0</v>
      </c>
      <c r="AC207" s="19">
        <f t="shared" si="243"/>
        <v>0</v>
      </c>
      <c r="AD207" s="19">
        <f t="shared" si="243"/>
        <v>0</v>
      </c>
      <c r="AE207" s="19">
        <f t="shared" si="243"/>
        <v>0</v>
      </c>
      <c r="AF207" s="19">
        <f t="shared" si="243"/>
        <v>0</v>
      </c>
      <c r="AG207" s="19">
        <f t="shared" si="243"/>
        <v>0</v>
      </c>
    </row>
    <row r="208" spans="1:33" outlineLevel="2">
      <c r="A208" s="21" t="s">
        <v>17</v>
      </c>
      <c r="B208" s="21">
        <v>43</v>
      </c>
      <c r="C208" s="21">
        <v>220.34</v>
      </c>
      <c r="D208" s="22">
        <v>22.98</v>
      </c>
      <c r="E208">
        <v>1.1399999999999999</v>
      </c>
      <c r="F208">
        <v>0.64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s="19">
        <f t="shared" si="244"/>
        <v>1.7419385339350721E-3</v>
      </c>
      <c r="T208" s="19">
        <f t="shared" si="243"/>
        <v>4.5482488450258418E-4</v>
      </c>
      <c r="U208" s="19">
        <f t="shared" si="243"/>
        <v>1.0253200077708461E-4</v>
      </c>
      <c r="V208" s="19">
        <f t="shared" si="243"/>
        <v>1.3966114714174732E-4</v>
      </c>
      <c r="W208" s="19">
        <f t="shared" si="243"/>
        <v>0</v>
      </c>
      <c r="X208" s="19">
        <f t="shared" si="243"/>
        <v>0</v>
      </c>
      <c r="Y208" s="19">
        <f t="shared" si="243"/>
        <v>0</v>
      </c>
      <c r="Z208" s="19">
        <f t="shared" si="243"/>
        <v>0</v>
      </c>
      <c r="AA208" s="19">
        <f t="shared" si="243"/>
        <v>0</v>
      </c>
      <c r="AB208" s="19">
        <f t="shared" si="243"/>
        <v>0</v>
      </c>
      <c r="AC208" s="19">
        <f t="shared" si="243"/>
        <v>0</v>
      </c>
      <c r="AD208" s="19">
        <f t="shared" si="243"/>
        <v>0</v>
      </c>
      <c r="AE208" s="19">
        <f t="shared" si="243"/>
        <v>0</v>
      </c>
      <c r="AF208" s="19">
        <f t="shared" si="243"/>
        <v>0</v>
      </c>
      <c r="AG208" s="19">
        <f t="shared" si="243"/>
        <v>0</v>
      </c>
    </row>
    <row r="209" spans="1:33" outlineLevel="2">
      <c r="A209" s="21" t="s">
        <v>17</v>
      </c>
      <c r="B209" s="21">
        <v>45</v>
      </c>
      <c r="C209" s="21">
        <v>14.96</v>
      </c>
      <c r="D209" s="22">
        <v>1.1200000000000001</v>
      </c>
      <c r="E209">
        <v>0.92</v>
      </c>
      <c r="F209">
        <v>2.2400000000000002</v>
      </c>
      <c r="G209">
        <v>0.48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s="19">
        <f t="shared" si="244"/>
        <v>1.1826904088076918E-4</v>
      </c>
      <c r="T209" s="19">
        <f t="shared" si="243"/>
        <v>2.21672702629632E-5</v>
      </c>
      <c r="U209" s="19">
        <f t="shared" si="243"/>
        <v>8.2745123434138475E-5</v>
      </c>
      <c r="V209" s="19">
        <f t="shared" si="243"/>
        <v>4.8881401499611564E-4</v>
      </c>
      <c r="W209" s="19">
        <f t="shared" si="243"/>
        <v>5.6708095080572763E-4</v>
      </c>
      <c r="X209" s="19">
        <f t="shared" si="243"/>
        <v>0</v>
      </c>
      <c r="Y209" s="19">
        <f t="shared" si="243"/>
        <v>0</v>
      </c>
      <c r="Z209" s="19">
        <f t="shared" si="243"/>
        <v>0</v>
      </c>
      <c r="AA209" s="19">
        <f t="shared" si="243"/>
        <v>0</v>
      </c>
      <c r="AB209" s="19">
        <f t="shared" si="243"/>
        <v>0</v>
      </c>
      <c r="AC209" s="19">
        <f t="shared" si="243"/>
        <v>0</v>
      </c>
      <c r="AD209" s="19">
        <f t="shared" si="243"/>
        <v>0</v>
      </c>
      <c r="AE209" s="19">
        <f t="shared" si="243"/>
        <v>0</v>
      </c>
      <c r="AF209" s="19">
        <f t="shared" si="243"/>
        <v>0</v>
      </c>
      <c r="AG209" s="19">
        <f t="shared" si="243"/>
        <v>0</v>
      </c>
    </row>
    <row r="210" spans="1:33" outlineLevel="2">
      <c r="A210" s="21" t="s">
        <v>17</v>
      </c>
      <c r="B210" s="21">
        <v>46</v>
      </c>
      <c r="C210" s="21">
        <v>1049.1199999999999</v>
      </c>
      <c r="D210" s="22">
        <v>146</v>
      </c>
      <c r="E210">
        <v>34.92</v>
      </c>
      <c r="F210">
        <v>11.22</v>
      </c>
      <c r="G210">
        <v>2.2400000000000002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s="19">
        <f t="shared" si="244"/>
        <v>8.2940117759914798E-3</v>
      </c>
      <c r="T210" s="19">
        <f t="shared" si="243"/>
        <v>2.8896620164219882E-3</v>
      </c>
      <c r="U210" s="19">
        <f t="shared" si="243"/>
        <v>3.1407170764349082E-3</v>
      </c>
      <c r="V210" s="19">
        <f t="shared" si="243"/>
        <v>2.4484344858287581E-3</v>
      </c>
      <c r="W210" s="19">
        <f t="shared" si="243"/>
        <v>2.646377770426729E-3</v>
      </c>
      <c r="X210" s="19">
        <f t="shared" si="243"/>
        <v>0</v>
      </c>
      <c r="Y210" s="19">
        <f t="shared" si="243"/>
        <v>0</v>
      </c>
      <c r="Z210" s="19">
        <f t="shared" si="243"/>
        <v>0</v>
      </c>
      <c r="AA210" s="19">
        <f t="shared" si="243"/>
        <v>0</v>
      </c>
      <c r="AB210" s="19">
        <f t="shared" si="243"/>
        <v>0</v>
      </c>
      <c r="AC210" s="19">
        <f t="shared" si="243"/>
        <v>0</v>
      </c>
      <c r="AD210" s="19">
        <f t="shared" si="243"/>
        <v>0</v>
      </c>
      <c r="AE210" s="19">
        <f t="shared" si="243"/>
        <v>0</v>
      </c>
      <c r="AF210" s="19">
        <f t="shared" si="243"/>
        <v>0</v>
      </c>
      <c r="AG210" s="19">
        <f t="shared" si="243"/>
        <v>0</v>
      </c>
    </row>
    <row r="211" spans="1:33" outlineLevel="2">
      <c r="A211" s="21" t="s">
        <v>17</v>
      </c>
      <c r="B211" s="21">
        <v>47</v>
      </c>
      <c r="C211" s="21">
        <v>655.78</v>
      </c>
      <c r="D211" s="22">
        <v>27.94</v>
      </c>
      <c r="E211">
        <v>1.68</v>
      </c>
      <c r="F211">
        <v>0.16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s="19">
        <f t="shared" si="244"/>
        <v>5.1843898147587433E-3</v>
      </c>
      <c r="T211" s="19">
        <f t="shared" si="243"/>
        <v>5.5299422423856404E-4</v>
      </c>
      <c r="U211" s="19">
        <f t="shared" si="243"/>
        <v>1.5109979061886156E-4</v>
      </c>
      <c r="V211" s="19">
        <f t="shared" si="243"/>
        <v>3.4915286785436829E-5</v>
      </c>
      <c r="W211" s="19">
        <f t="shared" si="243"/>
        <v>0</v>
      </c>
      <c r="X211" s="19">
        <f t="shared" si="243"/>
        <v>0</v>
      </c>
      <c r="Y211" s="19">
        <f t="shared" si="243"/>
        <v>0</v>
      </c>
      <c r="Z211" s="19">
        <f t="shared" si="243"/>
        <v>0</v>
      </c>
      <c r="AA211" s="19">
        <f t="shared" si="243"/>
        <v>0</v>
      </c>
      <c r="AB211" s="19">
        <f t="shared" si="243"/>
        <v>0</v>
      </c>
      <c r="AC211" s="19">
        <f t="shared" si="243"/>
        <v>0</v>
      </c>
      <c r="AD211" s="19">
        <f t="shared" si="243"/>
        <v>0</v>
      </c>
      <c r="AE211" s="19">
        <f t="shared" si="243"/>
        <v>0</v>
      </c>
      <c r="AF211" s="19">
        <f t="shared" si="243"/>
        <v>0</v>
      </c>
      <c r="AG211" s="19">
        <f t="shared" si="243"/>
        <v>0</v>
      </c>
    </row>
    <row r="212" spans="1:33" outlineLevel="2">
      <c r="A212" s="21" t="s">
        <v>17</v>
      </c>
      <c r="B212" s="21">
        <v>48</v>
      </c>
      <c r="C212" s="21">
        <v>2051.16</v>
      </c>
      <c r="D212" s="22">
        <v>382.86</v>
      </c>
      <c r="E212">
        <v>132.56</v>
      </c>
      <c r="F212">
        <v>55.86</v>
      </c>
      <c r="G212">
        <v>17.84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s="19">
        <f t="shared" si="244"/>
        <v>1.6215823923328775E-2</v>
      </c>
      <c r="T212" s="19">
        <f t="shared" si="243"/>
        <v>7.5776438329268666E-3</v>
      </c>
      <c r="U212" s="19">
        <f t="shared" si="243"/>
        <v>1.1922493002640647E-2</v>
      </c>
      <c r="V212" s="19">
        <f t="shared" si="243"/>
        <v>1.2189799498965634E-2</v>
      </c>
      <c r="W212" s="19">
        <f t="shared" si="243"/>
        <v>2.1076508671612877E-2</v>
      </c>
      <c r="X212" s="19">
        <f t="shared" si="243"/>
        <v>0</v>
      </c>
      <c r="Y212" s="19">
        <f t="shared" si="243"/>
        <v>0</v>
      </c>
      <c r="Z212" s="19">
        <f t="shared" si="243"/>
        <v>0</v>
      </c>
      <c r="AA212" s="19">
        <f t="shared" si="243"/>
        <v>0</v>
      </c>
      <c r="AB212" s="19">
        <f t="shared" si="243"/>
        <v>0</v>
      </c>
      <c r="AC212" s="19">
        <f t="shared" si="243"/>
        <v>0</v>
      </c>
      <c r="AD212" s="19">
        <f t="shared" si="243"/>
        <v>0</v>
      </c>
      <c r="AE212" s="19">
        <f t="shared" si="243"/>
        <v>0</v>
      </c>
      <c r="AF212" s="19">
        <f t="shared" si="243"/>
        <v>0</v>
      </c>
      <c r="AG212" s="19">
        <f t="shared" si="243"/>
        <v>0</v>
      </c>
    </row>
    <row r="213" spans="1:33" outlineLevel="2">
      <c r="A213" s="21" t="s">
        <v>17</v>
      </c>
      <c r="B213" s="21">
        <v>49</v>
      </c>
      <c r="C213" s="21">
        <v>29.22</v>
      </c>
      <c r="D213" s="22">
        <v>11.38</v>
      </c>
      <c r="E213">
        <v>5.72</v>
      </c>
      <c r="F213">
        <v>2.88</v>
      </c>
      <c r="G213">
        <v>0.48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S213" s="19">
        <f t="shared" si="244"/>
        <v>2.3100410257594084E-4</v>
      </c>
      <c r="T213" s="19">
        <f t="shared" si="243"/>
        <v>2.2523529963617965E-4</v>
      </c>
      <c r="U213" s="19">
        <f t="shared" si="243"/>
        <v>5.1445881091660001E-4</v>
      </c>
      <c r="V213" s="19">
        <f t="shared" si="243"/>
        <v>6.284751621378629E-4</v>
      </c>
      <c r="W213" s="19">
        <f t="shared" si="243"/>
        <v>5.6708095080572763E-4</v>
      </c>
      <c r="X213" s="19">
        <f t="shared" si="243"/>
        <v>0</v>
      </c>
      <c r="Y213" s="19">
        <f t="shared" si="243"/>
        <v>0</v>
      </c>
      <c r="Z213" s="19">
        <f t="shared" si="243"/>
        <v>0</v>
      </c>
      <c r="AA213" s="19">
        <f t="shared" si="243"/>
        <v>0</v>
      </c>
      <c r="AB213" s="19">
        <f t="shared" si="243"/>
        <v>0</v>
      </c>
      <c r="AC213" s="19">
        <f t="shared" si="243"/>
        <v>0</v>
      </c>
      <c r="AD213" s="19">
        <f t="shared" si="243"/>
        <v>0</v>
      </c>
      <c r="AE213" s="19">
        <f t="shared" si="243"/>
        <v>0</v>
      </c>
      <c r="AF213" s="19">
        <f t="shared" si="243"/>
        <v>0</v>
      </c>
      <c r="AG213" s="19">
        <f t="shared" si="243"/>
        <v>0</v>
      </c>
    </row>
    <row r="214" spans="1:33" outlineLevel="2">
      <c r="A214" t="s">
        <v>17</v>
      </c>
      <c r="B214">
        <v>50</v>
      </c>
      <c r="C214">
        <v>170.2</v>
      </c>
      <c r="D214">
        <v>25.46</v>
      </c>
      <c r="E214">
        <v>2.7</v>
      </c>
      <c r="F214">
        <v>1.24</v>
      </c>
      <c r="G214">
        <v>0.02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S214" s="19">
        <f t="shared" si="244"/>
        <v>1.3455475105552748E-3</v>
      </c>
      <c r="T214" s="19">
        <f t="shared" si="243"/>
        <v>5.0390955437057416E-4</v>
      </c>
      <c r="U214" s="19">
        <f t="shared" si="243"/>
        <v>2.4283894920888466E-4</v>
      </c>
      <c r="V214" s="19">
        <f t="shared" si="243"/>
        <v>2.7059347258713546E-4</v>
      </c>
      <c r="W214" s="19">
        <f t="shared" si="243"/>
        <v>2.3628372950238653E-5</v>
      </c>
      <c r="X214" s="19">
        <f t="shared" si="243"/>
        <v>0</v>
      </c>
      <c r="Y214" s="19">
        <f t="shared" si="243"/>
        <v>0</v>
      </c>
      <c r="Z214" s="19">
        <f t="shared" si="243"/>
        <v>0</v>
      </c>
      <c r="AA214" s="19">
        <f t="shared" si="243"/>
        <v>0</v>
      </c>
      <c r="AB214" s="19">
        <f t="shared" si="243"/>
        <v>0</v>
      </c>
      <c r="AC214" s="19">
        <f t="shared" si="243"/>
        <v>0</v>
      </c>
      <c r="AD214" s="19">
        <f t="shared" si="243"/>
        <v>0</v>
      </c>
      <c r="AE214" s="19">
        <f t="shared" si="243"/>
        <v>0</v>
      </c>
      <c r="AF214" s="19">
        <f t="shared" si="243"/>
        <v>0</v>
      </c>
      <c r="AG214" s="19">
        <f t="shared" si="243"/>
        <v>0</v>
      </c>
    </row>
    <row r="215" spans="1:33" outlineLevel="2">
      <c r="A215" s="21" t="s">
        <v>17</v>
      </c>
      <c r="B215" s="21">
        <v>51</v>
      </c>
      <c r="C215" s="21">
        <v>213.3</v>
      </c>
      <c r="D215" s="22">
        <v>44.1</v>
      </c>
      <c r="E215">
        <v>13.94</v>
      </c>
      <c r="F215">
        <v>7.08</v>
      </c>
      <c r="G215">
        <v>1.38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S215" s="19">
        <f t="shared" si="244"/>
        <v>1.6862825146970633E-3</v>
      </c>
      <c r="T215" s="19">
        <f t="shared" si="243"/>
        <v>8.728362666041759E-4</v>
      </c>
      <c r="U215" s="19">
        <f t="shared" si="243"/>
        <v>1.2537685007303154E-3</v>
      </c>
      <c r="V215" s="19">
        <f t="shared" si="243"/>
        <v>1.5450014402555797E-3</v>
      </c>
      <c r="W215" s="19">
        <f t="shared" si="243"/>
        <v>1.6303577335664667E-3</v>
      </c>
      <c r="X215" s="19">
        <f t="shared" si="243"/>
        <v>0</v>
      </c>
      <c r="Y215" s="19">
        <f t="shared" si="243"/>
        <v>0</v>
      </c>
      <c r="Z215" s="19">
        <f t="shared" si="243"/>
        <v>0</v>
      </c>
      <c r="AA215" s="19">
        <f t="shared" si="243"/>
        <v>0</v>
      </c>
      <c r="AB215" s="19">
        <f t="shared" si="243"/>
        <v>0</v>
      </c>
      <c r="AC215" s="19">
        <f t="shared" si="243"/>
        <v>0</v>
      </c>
      <c r="AD215" s="19">
        <f t="shared" si="243"/>
        <v>0</v>
      </c>
      <c r="AE215" s="19">
        <f t="shared" si="243"/>
        <v>0</v>
      </c>
      <c r="AF215" s="19">
        <f t="shared" si="243"/>
        <v>0</v>
      </c>
      <c r="AG215" s="19">
        <f t="shared" si="243"/>
        <v>0</v>
      </c>
    </row>
    <row r="216" spans="1:33" outlineLevel="2">
      <c r="A216" s="21" t="s">
        <v>17</v>
      </c>
      <c r="B216" s="21">
        <v>52</v>
      </c>
      <c r="C216" s="21">
        <v>95.42</v>
      </c>
      <c r="D216" s="22">
        <v>35.840000000000003</v>
      </c>
      <c r="E216">
        <v>14.32</v>
      </c>
      <c r="F216">
        <v>5.48</v>
      </c>
      <c r="G216">
        <v>0.4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S216" s="19">
        <f t="shared" si="244"/>
        <v>7.5436041984244622E-4</v>
      </c>
      <c r="T216" s="19">
        <f t="shared" si="243"/>
        <v>7.0935264841482239E-4</v>
      </c>
      <c r="U216" s="19">
        <f t="shared" si="243"/>
        <v>1.2879458343226771E-3</v>
      </c>
      <c r="V216" s="19">
        <f t="shared" si="243"/>
        <v>1.1958485724012115E-3</v>
      </c>
      <c r="W216" s="19">
        <f t="shared" si="243"/>
        <v>4.7256745900477306E-4</v>
      </c>
      <c r="X216" s="19">
        <f t="shared" si="243"/>
        <v>0</v>
      </c>
      <c r="Y216" s="19">
        <f t="shared" si="243"/>
        <v>0</v>
      </c>
      <c r="Z216" s="19">
        <f t="shared" si="243"/>
        <v>0</v>
      </c>
      <c r="AA216" s="19">
        <f t="shared" si="243"/>
        <v>0</v>
      </c>
      <c r="AB216" s="19">
        <f t="shared" si="243"/>
        <v>0</v>
      </c>
      <c r="AC216" s="19">
        <f t="shared" si="243"/>
        <v>0</v>
      </c>
      <c r="AD216" s="19">
        <f t="shared" si="243"/>
        <v>0</v>
      </c>
      <c r="AE216" s="19">
        <f t="shared" si="243"/>
        <v>0</v>
      </c>
      <c r="AF216" s="19">
        <f t="shared" si="243"/>
        <v>0</v>
      </c>
      <c r="AG216" s="19">
        <f t="shared" si="243"/>
        <v>0</v>
      </c>
    </row>
    <row r="217" spans="1:33" outlineLevel="2">
      <c r="A217" s="21" t="s">
        <v>17</v>
      </c>
      <c r="B217" s="21">
        <v>60</v>
      </c>
      <c r="C217" s="21">
        <v>41.62</v>
      </c>
      <c r="D217" s="22">
        <v>16.739999999999998</v>
      </c>
      <c r="E217">
        <v>8.4600000000000009</v>
      </c>
      <c r="F217">
        <v>7.52</v>
      </c>
      <c r="G217">
        <v>3.62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S217" s="19">
        <f t="shared" si="244"/>
        <v>3.2903459100652488E-4</v>
      </c>
      <c r="T217" s="19">
        <f t="shared" si="243"/>
        <v>3.3132152160893203E-4</v>
      </c>
      <c r="U217" s="19">
        <f t="shared" si="243"/>
        <v>7.6089537418783863E-4</v>
      </c>
      <c r="V217" s="19">
        <f t="shared" si="243"/>
        <v>1.6410184789155309E-3</v>
      </c>
      <c r="W217" s="19">
        <f t="shared" si="243"/>
        <v>4.2767355039931964E-3</v>
      </c>
      <c r="X217" s="19">
        <f t="shared" si="243"/>
        <v>0</v>
      </c>
      <c r="Y217" s="19">
        <f t="shared" si="243"/>
        <v>0</v>
      </c>
      <c r="Z217" s="19">
        <f t="shared" si="243"/>
        <v>0</v>
      </c>
      <c r="AA217" s="19">
        <f t="shared" si="243"/>
        <v>0</v>
      </c>
      <c r="AB217" s="19">
        <f t="shared" si="243"/>
        <v>0</v>
      </c>
      <c r="AC217" s="19">
        <f t="shared" si="243"/>
        <v>0</v>
      </c>
      <c r="AD217" s="19">
        <f t="shared" si="243"/>
        <v>0</v>
      </c>
      <c r="AE217" s="19">
        <f t="shared" si="243"/>
        <v>0</v>
      </c>
      <c r="AF217" s="19">
        <f t="shared" si="243"/>
        <v>0</v>
      </c>
      <c r="AG217" s="19">
        <f t="shared" si="243"/>
        <v>0</v>
      </c>
    </row>
    <row r="218" spans="1:33" outlineLevel="2">
      <c r="A218" t="s">
        <v>17</v>
      </c>
      <c r="B218">
        <v>61</v>
      </c>
      <c r="C218">
        <v>27.14</v>
      </c>
      <c r="D218">
        <v>7.22</v>
      </c>
      <c r="E218">
        <v>2.12</v>
      </c>
      <c r="F218">
        <v>0.32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S218" s="19">
        <f t="shared" si="244"/>
        <v>2.1456027871016547E-4</v>
      </c>
      <c r="T218" s="19">
        <f t="shared" ref="T218:T231" si="245">IF(D$232&gt;0, D218/D$232, 0)</f>
        <v>1.4289972437374489E-4</v>
      </c>
      <c r="U218" s="19">
        <f t="shared" ref="U218:U231" si="246">IF(E$232&gt;0, E218/E$232, 0)</f>
        <v>1.9067354530475386E-4</v>
      </c>
      <c r="V218" s="19">
        <f t="shared" ref="V218:V231" si="247">IF(F$232&gt;0, F218/F$232, 0)</f>
        <v>6.9830573570873658E-5</v>
      </c>
      <c r="W218" s="19">
        <f t="shared" ref="W218:W231" si="248">IF(G$232&gt;0, G218/G$232, 0)</f>
        <v>0</v>
      </c>
      <c r="X218" s="19">
        <f t="shared" ref="X218:X231" si="249">IF(H$232&gt;0, H218/H$232, 0)</f>
        <v>0</v>
      </c>
      <c r="Y218" s="19">
        <f t="shared" ref="Y218:Y231" si="250">IF(I$232&gt;0, I218/I$232, 0)</f>
        <v>0</v>
      </c>
      <c r="Z218" s="19">
        <f t="shared" ref="Z218:Z231" si="251">IF(J$232&gt;0, J218/J$232, 0)</f>
        <v>0</v>
      </c>
      <c r="AA218" s="19">
        <f t="shared" ref="AA218:AA231" si="252">IF(K$232&gt;0, K218/K$232, 0)</f>
        <v>0</v>
      </c>
      <c r="AB218" s="19">
        <f t="shared" ref="AB218:AB231" si="253">IF(L$232&gt;0, L218/L$232, 0)</f>
        <v>0</v>
      </c>
      <c r="AC218" s="19">
        <f t="shared" ref="AC218:AC231" si="254">IF(M$232&gt;0, M218/M$232, 0)</f>
        <v>0</v>
      </c>
      <c r="AD218" s="19">
        <f t="shared" ref="AD218:AD231" si="255">IF(N$232&gt;0, N218/N$232, 0)</f>
        <v>0</v>
      </c>
      <c r="AE218" s="19">
        <f t="shared" ref="AE218:AE231" si="256">IF(O$232&gt;0, O218/O$232, 0)</f>
        <v>0</v>
      </c>
      <c r="AF218" s="19">
        <f t="shared" ref="AF218:AF231" si="257">IF(P$232&gt;0, P218/P$232, 0)</f>
        <v>0</v>
      </c>
      <c r="AG218" s="19">
        <f t="shared" ref="AG218:AG231" si="258">IF(Q$232&gt;0, Q218/Q$232, 0)</f>
        <v>0</v>
      </c>
    </row>
    <row r="219" spans="1:33" outlineLevel="2">
      <c r="A219" s="21" t="s">
        <v>17</v>
      </c>
      <c r="B219" s="21">
        <v>62</v>
      </c>
      <c r="C219" s="21">
        <v>178.86</v>
      </c>
      <c r="D219" s="22">
        <v>46.52</v>
      </c>
      <c r="E219">
        <v>14.98</v>
      </c>
      <c r="F219">
        <v>7.32</v>
      </c>
      <c r="G219">
        <v>2.54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S219" s="19">
        <f t="shared" si="244"/>
        <v>1.4140107387656667E-3</v>
      </c>
      <c r="T219" s="19">
        <f t="shared" si="245"/>
        <v>9.2073340413665E-4</v>
      </c>
      <c r="U219" s="19">
        <f t="shared" si="246"/>
        <v>1.3473064663515155E-3</v>
      </c>
      <c r="V219" s="19">
        <f t="shared" si="247"/>
        <v>1.597374370433735E-3</v>
      </c>
      <c r="W219" s="19">
        <f t="shared" si="248"/>
        <v>3.0008033646803088E-3</v>
      </c>
      <c r="X219" s="19">
        <f t="shared" si="249"/>
        <v>0</v>
      </c>
      <c r="Y219" s="19">
        <f t="shared" si="250"/>
        <v>0</v>
      </c>
      <c r="Z219" s="19">
        <f t="shared" si="251"/>
        <v>0</v>
      </c>
      <c r="AA219" s="19">
        <f t="shared" si="252"/>
        <v>0</v>
      </c>
      <c r="AB219" s="19">
        <f t="shared" si="253"/>
        <v>0</v>
      </c>
      <c r="AC219" s="19">
        <f t="shared" si="254"/>
        <v>0</v>
      </c>
      <c r="AD219" s="19">
        <f t="shared" si="255"/>
        <v>0</v>
      </c>
      <c r="AE219" s="19">
        <f t="shared" si="256"/>
        <v>0</v>
      </c>
      <c r="AF219" s="19">
        <f t="shared" si="257"/>
        <v>0</v>
      </c>
      <c r="AG219" s="19">
        <f t="shared" si="258"/>
        <v>0</v>
      </c>
    </row>
    <row r="220" spans="1:33" outlineLevel="2">
      <c r="A220" s="21" t="s">
        <v>17</v>
      </c>
      <c r="B220" s="21">
        <v>63</v>
      </c>
      <c r="C220" s="21">
        <v>1769.02</v>
      </c>
      <c r="D220" s="22">
        <v>675.44</v>
      </c>
      <c r="E220">
        <v>230.94</v>
      </c>
      <c r="F220">
        <v>117.86</v>
      </c>
      <c r="G220">
        <v>28.28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S220" s="19">
        <f t="shared" si="244"/>
        <v>1.3985314084150954E-2</v>
      </c>
      <c r="T220" s="19">
        <f t="shared" si="245"/>
        <v>1.3368447345014163E-2</v>
      </c>
      <c r="U220" s="19">
        <f t="shared" si="246"/>
        <v>2.0770824788999932E-2</v>
      </c>
      <c r="V220" s="19">
        <f t="shared" si="247"/>
        <v>2.5719473128322404E-2</v>
      </c>
      <c r="W220" s="19">
        <f t="shared" si="248"/>
        <v>3.3410519351637455E-2</v>
      </c>
      <c r="X220" s="19">
        <f t="shared" si="249"/>
        <v>0</v>
      </c>
      <c r="Y220" s="19">
        <f t="shared" si="250"/>
        <v>0</v>
      </c>
      <c r="Z220" s="19">
        <f t="shared" si="251"/>
        <v>0</v>
      </c>
      <c r="AA220" s="19">
        <f t="shared" si="252"/>
        <v>0</v>
      </c>
      <c r="AB220" s="19">
        <f t="shared" si="253"/>
        <v>0</v>
      </c>
      <c r="AC220" s="19">
        <f t="shared" si="254"/>
        <v>0</v>
      </c>
      <c r="AD220" s="19">
        <f t="shared" si="255"/>
        <v>0</v>
      </c>
      <c r="AE220" s="19">
        <f t="shared" si="256"/>
        <v>0</v>
      </c>
      <c r="AF220" s="19">
        <f t="shared" si="257"/>
        <v>0</v>
      </c>
      <c r="AG220" s="19">
        <f t="shared" si="258"/>
        <v>0</v>
      </c>
    </row>
    <row r="221" spans="1:33" outlineLevel="2">
      <c r="A221" s="21" t="s">
        <v>17</v>
      </c>
      <c r="B221" s="21">
        <v>64</v>
      </c>
      <c r="C221" s="21">
        <v>10170.02</v>
      </c>
      <c r="D221" s="22">
        <v>8173.9</v>
      </c>
      <c r="E221">
        <v>2942.58</v>
      </c>
      <c r="F221">
        <v>1122.18</v>
      </c>
      <c r="G221">
        <v>176.16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S221" s="19">
        <f t="shared" si="244"/>
        <v>8.0400969995871666E-2</v>
      </c>
      <c r="T221" s="19">
        <f t="shared" si="245"/>
        <v>0.16177950928788828</v>
      </c>
      <c r="U221" s="19">
        <f t="shared" si="246"/>
        <v>0.26465667969002954</v>
      </c>
      <c r="V221" s="19">
        <f t="shared" si="247"/>
        <v>0.24488272828050942</v>
      </c>
      <c r="W221" s="19">
        <f t="shared" si="248"/>
        <v>0.20811870894570203</v>
      </c>
      <c r="X221" s="19">
        <f t="shared" si="249"/>
        <v>0</v>
      </c>
      <c r="Y221" s="19">
        <f t="shared" si="250"/>
        <v>0</v>
      </c>
      <c r="Z221" s="19">
        <f t="shared" si="251"/>
        <v>0</v>
      </c>
      <c r="AA221" s="19">
        <f t="shared" si="252"/>
        <v>0</v>
      </c>
      <c r="AB221" s="19">
        <f t="shared" si="253"/>
        <v>0</v>
      </c>
      <c r="AC221" s="19">
        <f t="shared" si="254"/>
        <v>0</v>
      </c>
      <c r="AD221" s="19">
        <f t="shared" si="255"/>
        <v>0</v>
      </c>
      <c r="AE221" s="19">
        <f t="shared" si="256"/>
        <v>0</v>
      </c>
      <c r="AF221" s="19">
        <f t="shared" si="257"/>
        <v>0</v>
      </c>
      <c r="AG221" s="19">
        <f t="shared" si="258"/>
        <v>0</v>
      </c>
    </row>
    <row r="222" spans="1:33" outlineLevel="2">
      <c r="A222" s="21" t="s">
        <v>17</v>
      </c>
      <c r="B222" s="21">
        <v>65</v>
      </c>
      <c r="C222" s="21">
        <v>22698.5</v>
      </c>
      <c r="D222" s="22">
        <v>13298.22</v>
      </c>
      <c r="E222">
        <v>2139.16</v>
      </c>
      <c r="F222">
        <v>732.36</v>
      </c>
      <c r="G222">
        <v>79.08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S222" s="19">
        <f t="shared" si="244"/>
        <v>0.1794471807775494</v>
      </c>
      <c r="T222" s="19">
        <f t="shared" si="245"/>
        <v>0.26320110424673432</v>
      </c>
      <c r="U222" s="19">
        <f t="shared" si="246"/>
        <v>0.19239680244062135</v>
      </c>
      <c r="V222" s="19">
        <f t="shared" si="247"/>
        <v>0.15981599643864072</v>
      </c>
      <c r="W222" s="19">
        <f t="shared" si="248"/>
        <v>9.3426586645243628E-2</v>
      </c>
      <c r="X222" s="19">
        <f t="shared" si="249"/>
        <v>0</v>
      </c>
      <c r="Y222" s="19">
        <f t="shared" si="250"/>
        <v>0</v>
      </c>
      <c r="Z222" s="19">
        <f t="shared" si="251"/>
        <v>0</v>
      </c>
      <c r="AA222" s="19">
        <f t="shared" si="252"/>
        <v>0</v>
      </c>
      <c r="AB222" s="19">
        <f t="shared" si="253"/>
        <v>0</v>
      </c>
      <c r="AC222" s="19">
        <f t="shared" si="254"/>
        <v>0</v>
      </c>
      <c r="AD222" s="19">
        <f t="shared" si="255"/>
        <v>0</v>
      </c>
      <c r="AE222" s="19">
        <f t="shared" si="256"/>
        <v>0</v>
      </c>
      <c r="AF222" s="19">
        <f t="shared" si="257"/>
        <v>0</v>
      </c>
      <c r="AG222" s="19">
        <f t="shared" si="258"/>
        <v>0</v>
      </c>
    </row>
    <row r="223" spans="1:33" outlineLevel="2">
      <c r="A223" s="21" t="s">
        <v>17</v>
      </c>
      <c r="B223" s="21">
        <v>66</v>
      </c>
      <c r="C223" s="21">
        <v>16052.08</v>
      </c>
      <c r="D223" s="22">
        <v>5187.78</v>
      </c>
      <c r="E223">
        <v>878.64</v>
      </c>
      <c r="F223">
        <v>172.14</v>
      </c>
      <c r="G223">
        <v>21.46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S223" s="19">
        <f t="shared" si="244"/>
        <v>0.12690268086506531</v>
      </c>
      <c r="T223" s="19">
        <f t="shared" si="245"/>
        <v>0.10267760832571</v>
      </c>
      <c r="U223" s="19">
        <f t="shared" si="246"/>
        <v>7.902519049366459E-2</v>
      </c>
      <c r="V223" s="19">
        <f t="shared" si="247"/>
        <v>3.7564484170281846E-2</v>
      </c>
      <c r="W223" s="19">
        <f t="shared" si="248"/>
        <v>2.5353244175606075E-2</v>
      </c>
      <c r="X223" s="19">
        <f t="shared" si="249"/>
        <v>0</v>
      </c>
      <c r="Y223" s="19">
        <f t="shared" si="250"/>
        <v>0</v>
      </c>
      <c r="Z223" s="19">
        <f t="shared" si="251"/>
        <v>0</v>
      </c>
      <c r="AA223" s="19">
        <f t="shared" si="252"/>
        <v>0</v>
      </c>
      <c r="AB223" s="19">
        <f t="shared" si="253"/>
        <v>0</v>
      </c>
      <c r="AC223" s="19">
        <f t="shared" si="254"/>
        <v>0</v>
      </c>
      <c r="AD223" s="19">
        <f t="shared" si="255"/>
        <v>0</v>
      </c>
      <c r="AE223" s="19">
        <f t="shared" si="256"/>
        <v>0</v>
      </c>
      <c r="AF223" s="19">
        <f t="shared" si="257"/>
        <v>0</v>
      </c>
      <c r="AG223" s="19">
        <f t="shared" si="258"/>
        <v>0</v>
      </c>
    </row>
    <row r="224" spans="1:33" outlineLevel="2">
      <c r="A224" t="s">
        <v>17</v>
      </c>
      <c r="B224">
        <v>67</v>
      </c>
      <c r="C224">
        <v>6709</v>
      </c>
      <c r="D224">
        <v>2902.28</v>
      </c>
      <c r="E224">
        <v>1126.5999999999999</v>
      </c>
      <c r="F224">
        <v>535.86</v>
      </c>
      <c r="G224">
        <v>90.52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S224" s="19">
        <f t="shared" si="244"/>
        <v>5.3039237651676494E-2</v>
      </c>
      <c r="T224" s="19">
        <f t="shared" si="245"/>
        <v>5.7442522445350745E-2</v>
      </c>
      <c r="U224" s="19">
        <f t="shared" si="246"/>
        <v>0.10132680006619607</v>
      </c>
      <c r="V224" s="19">
        <f t="shared" si="247"/>
        <v>0.11693565985527613</v>
      </c>
      <c r="W224" s="19">
        <f t="shared" si="248"/>
        <v>0.10694201597278014</v>
      </c>
      <c r="X224" s="19">
        <f t="shared" si="249"/>
        <v>0</v>
      </c>
      <c r="Y224" s="19">
        <f t="shared" si="250"/>
        <v>0</v>
      </c>
      <c r="Z224" s="19">
        <f t="shared" si="251"/>
        <v>0</v>
      </c>
      <c r="AA224" s="19">
        <f t="shared" si="252"/>
        <v>0</v>
      </c>
      <c r="AB224" s="19">
        <f t="shared" si="253"/>
        <v>0</v>
      </c>
      <c r="AC224" s="19">
        <f t="shared" si="254"/>
        <v>0</v>
      </c>
      <c r="AD224" s="19">
        <f t="shared" si="255"/>
        <v>0</v>
      </c>
      <c r="AE224" s="19">
        <f t="shared" si="256"/>
        <v>0</v>
      </c>
      <c r="AF224" s="19">
        <f t="shared" si="257"/>
        <v>0</v>
      </c>
      <c r="AG224" s="19">
        <f t="shared" si="258"/>
        <v>0</v>
      </c>
    </row>
    <row r="225" spans="1:33" outlineLevel="2">
      <c r="A225" s="21" t="s">
        <v>17</v>
      </c>
      <c r="B225" s="21">
        <v>68</v>
      </c>
      <c r="C225" s="21">
        <v>13903.2</v>
      </c>
      <c r="D225" s="22">
        <v>5238.8</v>
      </c>
      <c r="E225">
        <v>70.44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S225" s="19">
        <f t="shared" si="244"/>
        <v>0.10991431344742714</v>
      </c>
      <c r="T225" s="19">
        <f t="shared" si="245"/>
        <v>0.10368740665501036</v>
      </c>
      <c r="U225" s="19">
        <f t="shared" si="246"/>
        <v>6.3353983638051231E-3</v>
      </c>
      <c r="V225" s="19">
        <f t="shared" si="247"/>
        <v>0</v>
      </c>
      <c r="W225" s="19">
        <f t="shared" si="248"/>
        <v>0</v>
      </c>
      <c r="X225" s="19">
        <f t="shared" si="249"/>
        <v>0</v>
      </c>
      <c r="Y225" s="19">
        <f t="shared" si="250"/>
        <v>0</v>
      </c>
      <c r="Z225" s="19">
        <f t="shared" si="251"/>
        <v>0</v>
      </c>
      <c r="AA225" s="19">
        <f t="shared" si="252"/>
        <v>0</v>
      </c>
      <c r="AB225" s="19">
        <f t="shared" si="253"/>
        <v>0</v>
      </c>
      <c r="AC225" s="19">
        <f t="shared" si="254"/>
        <v>0</v>
      </c>
      <c r="AD225" s="19">
        <f t="shared" si="255"/>
        <v>0</v>
      </c>
      <c r="AE225" s="19">
        <f t="shared" si="256"/>
        <v>0</v>
      </c>
      <c r="AF225" s="19">
        <f t="shared" si="257"/>
        <v>0</v>
      </c>
      <c r="AG225" s="19">
        <f t="shared" si="258"/>
        <v>0</v>
      </c>
    </row>
    <row r="226" spans="1:33" outlineLevel="2">
      <c r="A226" s="21" t="s">
        <v>17</v>
      </c>
      <c r="B226" s="21">
        <v>69</v>
      </c>
      <c r="C226" s="21">
        <v>12343.099999999999</v>
      </c>
      <c r="D226" s="22">
        <v>1436.66</v>
      </c>
      <c r="E226">
        <v>5.3</v>
      </c>
      <c r="F226">
        <v>0.16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S226" s="19">
        <f t="shared" si="244"/>
        <v>9.7580654979640497E-2</v>
      </c>
      <c r="T226" s="19">
        <f t="shared" si="245"/>
        <v>2.8434670085704206E-2</v>
      </c>
      <c r="U226" s="19">
        <f t="shared" si="246"/>
        <v>4.7668386326188465E-4</v>
      </c>
      <c r="V226" s="19">
        <f t="shared" si="247"/>
        <v>3.4915286785436829E-5</v>
      </c>
      <c r="W226" s="19">
        <f t="shared" si="248"/>
        <v>0</v>
      </c>
      <c r="X226" s="19">
        <f t="shared" si="249"/>
        <v>0</v>
      </c>
      <c r="Y226" s="19">
        <f t="shared" si="250"/>
        <v>0</v>
      </c>
      <c r="Z226" s="19">
        <f t="shared" si="251"/>
        <v>0</v>
      </c>
      <c r="AA226" s="19">
        <f t="shared" si="252"/>
        <v>0</v>
      </c>
      <c r="AB226" s="19">
        <f t="shared" si="253"/>
        <v>0</v>
      </c>
      <c r="AC226" s="19">
        <f t="shared" si="254"/>
        <v>0</v>
      </c>
      <c r="AD226" s="19">
        <f t="shared" si="255"/>
        <v>0</v>
      </c>
      <c r="AE226" s="19">
        <f t="shared" si="256"/>
        <v>0</v>
      </c>
      <c r="AF226" s="19">
        <f t="shared" si="257"/>
        <v>0</v>
      </c>
      <c r="AG226" s="19">
        <f t="shared" si="258"/>
        <v>0</v>
      </c>
    </row>
    <row r="227" spans="1:33" outlineLevel="2">
      <c r="A227" s="21" t="s">
        <v>17</v>
      </c>
      <c r="B227" s="21">
        <v>70</v>
      </c>
      <c r="C227" s="21">
        <v>4932.92</v>
      </c>
      <c r="D227" s="22">
        <v>3299.76</v>
      </c>
      <c r="E227">
        <v>1398.54</v>
      </c>
      <c r="F227">
        <v>598.91999999999996</v>
      </c>
      <c r="G227">
        <v>217.42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S227" s="19">
        <f t="shared" si="244"/>
        <v>3.8998109434596515E-2</v>
      </c>
      <c r="T227" s="19">
        <f t="shared" si="245"/>
        <v>6.5309528324031654E-2</v>
      </c>
      <c r="U227" s="19">
        <f t="shared" si="246"/>
        <v>0.1257851792691087</v>
      </c>
      <c r="V227" s="19">
        <f t="shared" si="247"/>
        <v>0.13069664725958641</v>
      </c>
      <c r="W227" s="19">
        <f t="shared" si="248"/>
        <v>0.25686404234204435</v>
      </c>
      <c r="X227" s="19">
        <f t="shared" si="249"/>
        <v>0</v>
      </c>
      <c r="Y227" s="19">
        <f t="shared" si="250"/>
        <v>0</v>
      </c>
      <c r="Z227" s="19">
        <f t="shared" si="251"/>
        <v>0</v>
      </c>
      <c r="AA227" s="19">
        <f t="shared" si="252"/>
        <v>0</v>
      </c>
      <c r="AB227" s="19">
        <f t="shared" si="253"/>
        <v>0</v>
      </c>
      <c r="AC227" s="19">
        <f t="shared" si="254"/>
        <v>0</v>
      </c>
      <c r="AD227" s="19">
        <f t="shared" si="255"/>
        <v>0</v>
      </c>
      <c r="AE227" s="19">
        <f t="shared" si="256"/>
        <v>0</v>
      </c>
      <c r="AF227" s="19">
        <f t="shared" si="257"/>
        <v>0</v>
      </c>
      <c r="AG227" s="19">
        <f t="shared" si="258"/>
        <v>0</v>
      </c>
    </row>
    <row r="228" spans="1:33" outlineLevel="2">
      <c r="A228" t="s">
        <v>17</v>
      </c>
      <c r="B228">
        <v>71</v>
      </c>
      <c r="C228">
        <v>14561.52</v>
      </c>
      <c r="D228">
        <v>2387.84</v>
      </c>
      <c r="E228">
        <v>231.68</v>
      </c>
      <c r="F228">
        <v>86.4</v>
      </c>
      <c r="G228">
        <v>8.42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S228" s="19">
        <f t="shared" si="244"/>
        <v>0.11511878370094505</v>
      </c>
      <c r="T228" s="19">
        <f t="shared" si="245"/>
        <v>4.7260620200637538E-2</v>
      </c>
      <c r="U228" s="19">
        <f t="shared" si="246"/>
        <v>2.083738064915348E-2</v>
      </c>
      <c r="V228" s="19">
        <f t="shared" si="247"/>
        <v>1.8854254864135889E-2</v>
      </c>
      <c r="W228" s="19">
        <f t="shared" si="248"/>
        <v>9.9475450120504721E-3</v>
      </c>
      <c r="X228" s="19">
        <f t="shared" si="249"/>
        <v>0</v>
      </c>
      <c r="Y228" s="19">
        <f t="shared" si="250"/>
        <v>0</v>
      </c>
      <c r="Z228" s="19">
        <f t="shared" si="251"/>
        <v>0</v>
      </c>
      <c r="AA228" s="19">
        <f t="shared" si="252"/>
        <v>0</v>
      </c>
      <c r="AB228" s="19">
        <f t="shared" si="253"/>
        <v>0</v>
      </c>
      <c r="AC228" s="19">
        <f t="shared" si="254"/>
        <v>0</v>
      </c>
      <c r="AD228" s="19">
        <f t="shared" si="255"/>
        <v>0</v>
      </c>
      <c r="AE228" s="19">
        <f t="shared" si="256"/>
        <v>0</v>
      </c>
      <c r="AF228" s="19">
        <f t="shared" si="257"/>
        <v>0</v>
      </c>
      <c r="AG228" s="19">
        <f t="shared" si="258"/>
        <v>0</v>
      </c>
    </row>
    <row r="229" spans="1:33" outlineLevel="2">
      <c r="A229" s="21" t="s">
        <v>17</v>
      </c>
      <c r="B229" s="21">
        <v>72</v>
      </c>
      <c r="C229" s="21">
        <v>2026.68</v>
      </c>
      <c r="D229" s="22">
        <v>472.12</v>
      </c>
      <c r="E229">
        <v>223.18</v>
      </c>
      <c r="F229">
        <v>187.88</v>
      </c>
      <c r="G229">
        <v>22.16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S229" s="19">
        <f t="shared" si="244"/>
        <v>1.6022292765523881E-2</v>
      </c>
      <c r="T229" s="19">
        <f t="shared" si="245"/>
        <v>9.3442961040626649E-3</v>
      </c>
      <c r="U229" s="19">
        <f t="shared" si="246"/>
        <v>2.0072887660903288E-2</v>
      </c>
      <c r="V229" s="19">
        <f t="shared" si="247"/>
        <v>4.09992755077992E-2</v>
      </c>
      <c r="W229" s="19">
        <f t="shared" si="248"/>
        <v>2.6180237228864426E-2</v>
      </c>
      <c r="X229" s="19">
        <f t="shared" si="249"/>
        <v>0</v>
      </c>
      <c r="Y229" s="19">
        <f t="shared" si="250"/>
        <v>0</v>
      </c>
      <c r="Z229" s="19">
        <f t="shared" si="251"/>
        <v>0</v>
      </c>
      <c r="AA229" s="19">
        <f t="shared" si="252"/>
        <v>0</v>
      </c>
      <c r="AB229" s="19">
        <f t="shared" si="253"/>
        <v>0</v>
      </c>
      <c r="AC229" s="19">
        <f t="shared" si="254"/>
        <v>0</v>
      </c>
      <c r="AD229" s="19">
        <f t="shared" si="255"/>
        <v>0</v>
      </c>
      <c r="AE229" s="19">
        <f t="shared" si="256"/>
        <v>0</v>
      </c>
      <c r="AF229" s="19">
        <f t="shared" si="257"/>
        <v>0</v>
      </c>
      <c r="AG229" s="19">
        <f t="shared" si="258"/>
        <v>0</v>
      </c>
    </row>
    <row r="230" spans="1:33" outlineLevel="2">
      <c r="A230" s="21" t="s">
        <v>17</v>
      </c>
      <c r="B230" s="21">
        <v>73</v>
      </c>
      <c r="C230" s="21">
        <v>7747.48</v>
      </c>
      <c r="D230" s="22">
        <v>2536.3599999999997</v>
      </c>
      <c r="E230">
        <v>58.24</v>
      </c>
      <c r="F230">
        <v>18.899999999999999</v>
      </c>
      <c r="G230">
        <v>4.4399999999999995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S230" s="19">
        <f t="shared" si="244"/>
        <v>6.1249132944046894E-2</v>
      </c>
      <c r="T230" s="19">
        <f t="shared" si="245"/>
        <v>5.0200158575151185E-2</v>
      </c>
      <c r="U230" s="19">
        <f t="shared" si="246"/>
        <v>5.2381260747872008E-3</v>
      </c>
      <c r="V230" s="19">
        <f t="shared" si="247"/>
        <v>4.1243682515297257E-3</v>
      </c>
      <c r="W230" s="19">
        <f t="shared" si="248"/>
        <v>5.2454987949529797E-3</v>
      </c>
      <c r="X230" s="19">
        <f t="shared" si="249"/>
        <v>0</v>
      </c>
      <c r="Y230" s="19">
        <f t="shared" si="250"/>
        <v>0</v>
      </c>
      <c r="Z230" s="19">
        <f t="shared" si="251"/>
        <v>0</v>
      </c>
      <c r="AA230" s="19">
        <f t="shared" si="252"/>
        <v>0</v>
      </c>
      <c r="AB230" s="19">
        <f t="shared" si="253"/>
        <v>0</v>
      </c>
      <c r="AC230" s="19">
        <f t="shared" si="254"/>
        <v>0</v>
      </c>
      <c r="AD230" s="19">
        <f t="shared" si="255"/>
        <v>0</v>
      </c>
      <c r="AE230" s="19">
        <f t="shared" si="256"/>
        <v>0</v>
      </c>
      <c r="AF230" s="19">
        <f t="shared" si="257"/>
        <v>0</v>
      </c>
      <c r="AG230" s="19">
        <f t="shared" si="258"/>
        <v>0</v>
      </c>
    </row>
    <row r="231" spans="1:33" outlineLevel="2">
      <c r="A231" s="21" t="s">
        <v>17</v>
      </c>
      <c r="B231" s="21">
        <v>74</v>
      </c>
      <c r="C231" s="21">
        <v>5945.32</v>
      </c>
      <c r="D231" s="22">
        <v>3368.94</v>
      </c>
      <c r="E231">
        <v>1328.66</v>
      </c>
      <c r="F231">
        <v>779.76</v>
      </c>
      <c r="G231">
        <v>132.94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S231" s="19">
        <f t="shared" si="244"/>
        <v>4.7001824473880648E-2</v>
      </c>
      <c r="T231" s="19">
        <f t="shared" si="245"/>
        <v>6.6678753106881455E-2</v>
      </c>
      <c r="U231" s="19">
        <f t="shared" si="246"/>
        <v>0.11950014750217655</v>
      </c>
      <c r="V231" s="19">
        <f t="shared" si="247"/>
        <v>0.17015965014882639</v>
      </c>
      <c r="W231" s="19">
        <f t="shared" si="248"/>
        <v>0.15705779500023631</v>
      </c>
      <c r="X231" s="19">
        <f t="shared" si="249"/>
        <v>0</v>
      </c>
      <c r="Y231" s="19">
        <f t="shared" si="250"/>
        <v>0</v>
      </c>
      <c r="Z231" s="19">
        <f t="shared" si="251"/>
        <v>0</v>
      </c>
      <c r="AA231" s="19">
        <f t="shared" si="252"/>
        <v>0</v>
      </c>
      <c r="AB231" s="19">
        <f t="shared" si="253"/>
        <v>0</v>
      </c>
      <c r="AC231" s="19">
        <f t="shared" si="254"/>
        <v>0</v>
      </c>
      <c r="AD231" s="19">
        <f t="shared" si="255"/>
        <v>0</v>
      </c>
      <c r="AE231" s="19">
        <f t="shared" si="256"/>
        <v>0</v>
      </c>
      <c r="AF231" s="19">
        <f t="shared" si="257"/>
        <v>0</v>
      </c>
      <c r="AG231" s="19">
        <f t="shared" si="258"/>
        <v>0</v>
      </c>
    </row>
    <row r="232" spans="1:33" outlineLevel="1">
      <c r="A232" s="23" t="s">
        <v>71</v>
      </c>
      <c r="C232" s="21">
        <f t="shared" ref="C232:Q232" si="259">SUBTOTAL(9,C202:C231)</f>
        <v>126491.25999999998</v>
      </c>
      <c r="D232" s="22">
        <f t="shared" si="259"/>
        <v>50524.94000000001</v>
      </c>
      <c r="E232">
        <f t="shared" si="259"/>
        <v>11118.480000000001</v>
      </c>
      <c r="F232">
        <f t="shared" si="259"/>
        <v>4582.5200000000004</v>
      </c>
      <c r="G232">
        <f t="shared" si="259"/>
        <v>846.43999999999983</v>
      </c>
      <c r="H232">
        <f t="shared" si="259"/>
        <v>0</v>
      </c>
      <c r="I232">
        <f t="shared" si="259"/>
        <v>0</v>
      </c>
      <c r="J232">
        <f t="shared" si="259"/>
        <v>0</v>
      </c>
      <c r="K232">
        <f t="shared" si="259"/>
        <v>0</v>
      </c>
      <c r="L232">
        <f t="shared" si="259"/>
        <v>0</v>
      </c>
      <c r="M232">
        <f t="shared" si="259"/>
        <v>0</v>
      </c>
      <c r="N232">
        <f t="shared" si="259"/>
        <v>0</v>
      </c>
      <c r="O232">
        <f t="shared" si="259"/>
        <v>0</v>
      </c>
      <c r="P232">
        <f t="shared" si="259"/>
        <v>0</v>
      </c>
      <c r="Q232">
        <f t="shared" si="259"/>
        <v>0</v>
      </c>
    </row>
    <row r="233" spans="1:33" outlineLevel="2">
      <c r="A233" t="s">
        <v>18</v>
      </c>
      <c r="B233">
        <v>330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70.64</v>
      </c>
      <c r="J233">
        <v>2.48</v>
      </c>
      <c r="K233">
        <v>0</v>
      </c>
      <c r="L233">
        <v>0</v>
      </c>
      <c r="M233">
        <v>0</v>
      </c>
      <c r="N233">
        <v>52.88</v>
      </c>
      <c r="O233">
        <v>0</v>
      </c>
      <c r="P233">
        <v>0</v>
      </c>
      <c r="Q233">
        <v>0</v>
      </c>
      <c r="R233" s="19"/>
      <c r="S233" s="19">
        <f>IF(C$236&gt;0, C233/C$236, 0)</f>
        <v>0</v>
      </c>
      <c r="T233" s="19">
        <f t="shared" ref="T233:AG235" si="260">IF(D$236&gt;0, D233/D$236, 0)</f>
        <v>0</v>
      </c>
      <c r="U233" s="19">
        <f t="shared" si="260"/>
        <v>0</v>
      </c>
      <c r="V233" s="19">
        <f t="shared" si="260"/>
        <v>0</v>
      </c>
      <c r="W233" s="19">
        <f t="shared" si="260"/>
        <v>0</v>
      </c>
      <c r="X233" s="19">
        <f t="shared" si="260"/>
        <v>0</v>
      </c>
      <c r="Y233" s="19">
        <f t="shared" si="260"/>
        <v>0.27912122648964754</v>
      </c>
      <c r="Z233" s="19">
        <f t="shared" si="260"/>
        <v>1</v>
      </c>
      <c r="AA233" s="19">
        <f t="shared" si="260"/>
        <v>0</v>
      </c>
      <c r="AB233" s="19">
        <f t="shared" si="260"/>
        <v>0</v>
      </c>
      <c r="AC233" s="19">
        <f t="shared" si="260"/>
        <v>0</v>
      </c>
      <c r="AD233" s="19">
        <f t="shared" si="260"/>
        <v>0.91235334713595584</v>
      </c>
      <c r="AE233" s="19">
        <f t="shared" si="260"/>
        <v>0</v>
      </c>
      <c r="AF233" s="19">
        <f t="shared" si="260"/>
        <v>0</v>
      </c>
      <c r="AG233" s="19">
        <f t="shared" si="260"/>
        <v>0</v>
      </c>
    </row>
    <row r="234" spans="1:33" outlineLevel="2">
      <c r="A234" s="21" t="s">
        <v>18</v>
      </c>
      <c r="B234" s="21">
        <v>341</v>
      </c>
      <c r="C234" s="21">
        <v>0</v>
      </c>
      <c r="D234" s="22">
        <v>0</v>
      </c>
      <c r="E234">
        <v>0</v>
      </c>
      <c r="F234">
        <v>0</v>
      </c>
      <c r="G234">
        <v>0</v>
      </c>
      <c r="H234">
        <v>92.92</v>
      </c>
      <c r="I234">
        <v>178.12</v>
      </c>
      <c r="J234">
        <v>0</v>
      </c>
      <c r="K234">
        <v>0</v>
      </c>
      <c r="L234">
        <v>0</v>
      </c>
      <c r="M234">
        <v>0</v>
      </c>
      <c r="N234">
        <v>5.08</v>
      </c>
      <c r="O234">
        <v>0</v>
      </c>
      <c r="P234">
        <v>0</v>
      </c>
      <c r="Q234">
        <v>0</v>
      </c>
      <c r="S234" s="19">
        <f t="shared" ref="S234:S235" si="261">IF(C$236&gt;0, C234/C$236, 0)</f>
        <v>0</v>
      </c>
      <c r="T234" s="19">
        <f t="shared" si="260"/>
        <v>0</v>
      </c>
      <c r="U234" s="19">
        <f t="shared" si="260"/>
        <v>0</v>
      </c>
      <c r="V234" s="19">
        <f t="shared" si="260"/>
        <v>0</v>
      </c>
      <c r="W234" s="19">
        <f t="shared" si="260"/>
        <v>0</v>
      </c>
      <c r="X234" s="19">
        <f t="shared" si="260"/>
        <v>0.93934492519207435</v>
      </c>
      <c r="Y234" s="19">
        <f t="shared" si="260"/>
        <v>0.7038090722301249</v>
      </c>
      <c r="Z234" s="19">
        <f t="shared" si="260"/>
        <v>0</v>
      </c>
      <c r="AA234" s="19">
        <f t="shared" si="260"/>
        <v>0</v>
      </c>
      <c r="AB234" s="19">
        <f t="shared" si="260"/>
        <v>0</v>
      </c>
      <c r="AC234" s="19">
        <f t="shared" si="260"/>
        <v>0</v>
      </c>
      <c r="AD234" s="19">
        <f t="shared" si="260"/>
        <v>8.7646652864044175E-2</v>
      </c>
      <c r="AE234" s="19">
        <f t="shared" si="260"/>
        <v>0</v>
      </c>
      <c r="AF234" s="19">
        <f t="shared" si="260"/>
        <v>0</v>
      </c>
      <c r="AG234" s="19">
        <f t="shared" si="260"/>
        <v>0</v>
      </c>
    </row>
    <row r="235" spans="1:33" outlineLevel="2">
      <c r="A235" s="21" t="s">
        <v>18</v>
      </c>
      <c r="B235" s="21">
        <v>342</v>
      </c>
      <c r="C235" s="21">
        <v>0</v>
      </c>
      <c r="D235" s="22">
        <v>0</v>
      </c>
      <c r="E235">
        <v>0</v>
      </c>
      <c r="F235">
        <v>0</v>
      </c>
      <c r="G235">
        <v>0</v>
      </c>
      <c r="H235">
        <v>6</v>
      </c>
      <c r="I235">
        <v>4.32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S235" s="19">
        <f t="shared" si="261"/>
        <v>0</v>
      </c>
      <c r="T235" s="19">
        <f t="shared" si="260"/>
        <v>0</v>
      </c>
      <c r="U235" s="19">
        <f t="shared" si="260"/>
        <v>0</v>
      </c>
      <c r="V235" s="19">
        <f t="shared" si="260"/>
        <v>0</v>
      </c>
      <c r="W235" s="19">
        <f t="shared" si="260"/>
        <v>0</v>
      </c>
      <c r="X235" s="19">
        <f t="shared" si="260"/>
        <v>6.0655074807925598E-2</v>
      </c>
      <c r="Y235" s="19">
        <f t="shared" si="260"/>
        <v>1.7069701280227598E-2</v>
      </c>
      <c r="Z235" s="19">
        <f t="shared" si="260"/>
        <v>0</v>
      </c>
      <c r="AA235" s="19">
        <f t="shared" si="260"/>
        <v>0</v>
      </c>
      <c r="AB235" s="19">
        <f t="shared" si="260"/>
        <v>0</v>
      </c>
      <c r="AC235" s="19">
        <f t="shared" si="260"/>
        <v>0</v>
      </c>
      <c r="AD235" s="19">
        <f t="shared" si="260"/>
        <v>0</v>
      </c>
      <c r="AE235" s="19">
        <f t="shared" si="260"/>
        <v>0</v>
      </c>
      <c r="AF235" s="19">
        <f t="shared" si="260"/>
        <v>0</v>
      </c>
      <c r="AG235" s="19">
        <f t="shared" si="260"/>
        <v>0</v>
      </c>
    </row>
    <row r="236" spans="1:33" outlineLevel="1">
      <c r="A236" s="23" t="s">
        <v>72</v>
      </c>
      <c r="C236" s="21">
        <f t="shared" ref="C236:Q236" si="262">SUBTOTAL(9,C233:C235)</f>
        <v>0</v>
      </c>
      <c r="D236" s="22">
        <f t="shared" si="262"/>
        <v>0</v>
      </c>
      <c r="E236">
        <f t="shared" si="262"/>
        <v>0</v>
      </c>
      <c r="F236">
        <f t="shared" si="262"/>
        <v>0</v>
      </c>
      <c r="G236">
        <f t="shared" si="262"/>
        <v>0</v>
      </c>
      <c r="H236">
        <f t="shared" si="262"/>
        <v>98.92</v>
      </c>
      <c r="I236">
        <f t="shared" si="262"/>
        <v>253.07999999999998</v>
      </c>
      <c r="J236">
        <f t="shared" si="262"/>
        <v>2.48</v>
      </c>
      <c r="K236">
        <f t="shared" si="262"/>
        <v>0</v>
      </c>
      <c r="L236">
        <f t="shared" si="262"/>
        <v>0</v>
      </c>
      <c r="M236">
        <f t="shared" si="262"/>
        <v>0</v>
      </c>
      <c r="N236">
        <f t="shared" si="262"/>
        <v>57.96</v>
      </c>
      <c r="O236">
        <f t="shared" si="262"/>
        <v>0</v>
      </c>
      <c r="P236">
        <f t="shared" si="262"/>
        <v>0</v>
      </c>
      <c r="Q236">
        <f t="shared" si="262"/>
        <v>0</v>
      </c>
    </row>
    <row r="237" spans="1:33" outlineLevel="2">
      <c r="A237" t="s">
        <v>19</v>
      </c>
      <c r="B237">
        <v>1</v>
      </c>
      <c r="C237">
        <v>189.48</v>
      </c>
      <c r="D237">
        <v>59.8</v>
      </c>
      <c r="E237">
        <v>16.52</v>
      </c>
      <c r="F237">
        <v>8.3000000000000007</v>
      </c>
      <c r="G237">
        <v>3.76</v>
      </c>
      <c r="H237">
        <v>532.91999999999996</v>
      </c>
      <c r="I237">
        <v>1204.8</v>
      </c>
      <c r="J237">
        <v>577.48</v>
      </c>
      <c r="K237">
        <v>0</v>
      </c>
      <c r="L237">
        <v>0</v>
      </c>
      <c r="M237">
        <v>48.48</v>
      </c>
      <c r="N237">
        <v>616.52</v>
      </c>
      <c r="O237">
        <v>8589.8799999999992</v>
      </c>
      <c r="P237">
        <v>14008.24</v>
      </c>
      <c r="Q237">
        <v>0</v>
      </c>
      <c r="R237" s="19"/>
      <c r="S237" s="19">
        <f>IF(C$265&gt;0, C237/C$265, 0)</f>
        <v>1.2499587700954556E-2</v>
      </c>
      <c r="T237" s="19">
        <f t="shared" ref="T237:AG252" si="263">IF(D$265&gt;0, D237/D$265, 0)</f>
        <v>1.8554372378186509E-2</v>
      </c>
      <c r="U237" s="19">
        <f t="shared" si="263"/>
        <v>2.231527759016615E-2</v>
      </c>
      <c r="V237" s="19">
        <f t="shared" si="263"/>
        <v>2.4662744398882754E-2</v>
      </c>
      <c r="W237" s="19">
        <f t="shared" si="263"/>
        <v>4.6638551227983133E-2</v>
      </c>
      <c r="X237" s="19">
        <f t="shared" si="263"/>
        <v>0.74442644018550597</v>
      </c>
      <c r="Y237" s="19">
        <f t="shared" si="263"/>
        <v>0.7295804670090108</v>
      </c>
      <c r="Z237" s="19">
        <f t="shared" si="263"/>
        <v>0.44090520400684097</v>
      </c>
      <c r="AA237" s="19">
        <f t="shared" si="263"/>
        <v>0</v>
      </c>
      <c r="AB237" s="19">
        <f t="shared" si="263"/>
        <v>0</v>
      </c>
      <c r="AC237" s="19">
        <f t="shared" si="263"/>
        <v>0.20132890365448505</v>
      </c>
      <c r="AD237" s="19">
        <f t="shared" si="263"/>
        <v>0.75873781628433601</v>
      </c>
      <c r="AE237" s="19">
        <f t="shared" si="263"/>
        <v>0.68705628661285323</v>
      </c>
      <c r="AF237" s="19">
        <f t="shared" si="263"/>
        <v>0.40259717864914973</v>
      </c>
      <c r="AG237" s="19">
        <f t="shared" si="263"/>
        <v>0</v>
      </c>
    </row>
    <row r="238" spans="1:33" outlineLevel="2">
      <c r="A238" s="21" t="s">
        <v>19</v>
      </c>
      <c r="B238" s="21">
        <v>2</v>
      </c>
      <c r="C238" s="21">
        <v>44.56</v>
      </c>
      <c r="D238" s="22">
        <v>13.8</v>
      </c>
      <c r="E238">
        <v>8.74</v>
      </c>
      <c r="F238">
        <v>8.74</v>
      </c>
      <c r="G238">
        <v>3.34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S238" s="19">
        <f t="shared" ref="S238:S264" si="264">IF(C$265&gt;0, C238/C$265, 0)</f>
        <v>2.939527274406455E-3</v>
      </c>
      <c r="T238" s="19">
        <f t="shared" si="263"/>
        <v>4.2817782411199642E-3</v>
      </c>
      <c r="U238" s="19">
        <f t="shared" si="263"/>
        <v>1.1806024584627855E-2</v>
      </c>
      <c r="V238" s="19">
        <f t="shared" si="263"/>
        <v>2.5970166993522319E-2</v>
      </c>
      <c r="W238" s="19">
        <f t="shared" si="263"/>
        <v>4.1428925824857361E-2</v>
      </c>
      <c r="X238" s="19">
        <f t="shared" si="263"/>
        <v>0</v>
      </c>
      <c r="Y238" s="19">
        <f t="shared" si="263"/>
        <v>0</v>
      </c>
      <c r="Z238" s="19">
        <f t="shared" si="263"/>
        <v>0</v>
      </c>
      <c r="AA238" s="19">
        <f t="shared" si="263"/>
        <v>0</v>
      </c>
      <c r="AB238" s="19">
        <f t="shared" si="263"/>
        <v>0</v>
      </c>
      <c r="AC238" s="19">
        <f t="shared" si="263"/>
        <v>0</v>
      </c>
      <c r="AD238" s="19">
        <f t="shared" si="263"/>
        <v>0</v>
      </c>
      <c r="AE238" s="19">
        <f t="shared" si="263"/>
        <v>0</v>
      </c>
      <c r="AF238" s="19">
        <f t="shared" si="263"/>
        <v>0</v>
      </c>
      <c r="AG238" s="19">
        <f t="shared" si="263"/>
        <v>0</v>
      </c>
    </row>
    <row r="239" spans="1:33" outlineLevel="2">
      <c r="A239" s="21" t="s">
        <v>19</v>
      </c>
      <c r="B239" s="21">
        <v>3</v>
      </c>
      <c r="C239" s="21">
        <v>92.82</v>
      </c>
      <c r="D239" s="22">
        <v>49.16</v>
      </c>
      <c r="E239">
        <v>25.38</v>
      </c>
      <c r="F239">
        <v>23.8</v>
      </c>
      <c r="G239">
        <v>13.52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S239" s="19">
        <f t="shared" si="264"/>
        <v>6.123135583716497E-3</v>
      </c>
      <c r="T239" s="19">
        <f t="shared" si="263"/>
        <v>1.52530592995259E-2</v>
      </c>
      <c r="U239" s="19">
        <f t="shared" si="263"/>
        <v>3.4283398622180196E-2</v>
      </c>
      <c r="V239" s="19">
        <f t="shared" si="263"/>
        <v>7.0719676710049334E-2</v>
      </c>
      <c r="W239" s="19">
        <f t="shared" si="263"/>
        <v>0.1677003225006202</v>
      </c>
      <c r="X239" s="19">
        <f t="shared" si="263"/>
        <v>0</v>
      </c>
      <c r="Y239" s="19">
        <f t="shared" si="263"/>
        <v>0</v>
      </c>
      <c r="Z239" s="19">
        <f t="shared" si="263"/>
        <v>0</v>
      </c>
      <c r="AA239" s="19">
        <f t="shared" si="263"/>
        <v>0</v>
      </c>
      <c r="AB239" s="19">
        <f t="shared" si="263"/>
        <v>0</v>
      </c>
      <c r="AC239" s="19">
        <f t="shared" si="263"/>
        <v>0</v>
      </c>
      <c r="AD239" s="19">
        <f t="shared" si="263"/>
        <v>0</v>
      </c>
      <c r="AE239" s="19">
        <f t="shared" si="263"/>
        <v>0</v>
      </c>
      <c r="AF239" s="19">
        <f t="shared" si="263"/>
        <v>0</v>
      </c>
      <c r="AG239" s="19">
        <f t="shared" si="263"/>
        <v>0</v>
      </c>
    </row>
    <row r="240" spans="1:33" outlineLevel="2">
      <c r="A240" s="21" t="s">
        <v>19</v>
      </c>
      <c r="B240" s="21">
        <v>4</v>
      </c>
      <c r="C240" s="21">
        <v>657.74</v>
      </c>
      <c r="D240" s="22">
        <v>422.16</v>
      </c>
      <c r="E240">
        <v>99.46</v>
      </c>
      <c r="F240">
        <v>17.54</v>
      </c>
      <c r="G240">
        <v>1.08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S240" s="19">
        <f t="shared" si="264"/>
        <v>4.3389691864185405E-2</v>
      </c>
      <c r="T240" s="19">
        <f t="shared" si="263"/>
        <v>0.1309851813240003</v>
      </c>
      <c r="U240" s="19">
        <f t="shared" si="263"/>
        <v>0.13435093880859111</v>
      </c>
      <c r="V240" s="19">
        <f t="shared" si="263"/>
        <v>5.2118618886313667E-2</v>
      </c>
      <c r="W240" s="19">
        <f t="shared" si="263"/>
        <v>1.339617960803771E-2</v>
      </c>
      <c r="X240" s="19">
        <f t="shared" si="263"/>
        <v>0</v>
      </c>
      <c r="Y240" s="19">
        <f t="shared" si="263"/>
        <v>0</v>
      </c>
      <c r="Z240" s="19">
        <f t="shared" si="263"/>
        <v>0</v>
      </c>
      <c r="AA240" s="19">
        <f t="shared" si="263"/>
        <v>0</v>
      </c>
      <c r="AB240" s="19">
        <f t="shared" si="263"/>
        <v>0</v>
      </c>
      <c r="AC240" s="19">
        <f t="shared" si="263"/>
        <v>0</v>
      </c>
      <c r="AD240" s="19">
        <f t="shared" si="263"/>
        <v>0</v>
      </c>
      <c r="AE240" s="19">
        <f t="shared" si="263"/>
        <v>0</v>
      </c>
      <c r="AF240" s="19">
        <f t="shared" si="263"/>
        <v>0</v>
      </c>
      <c r="AG240" s="19">
        <f t="shared" si="263"/>
        <v>0</v>
      </c>
    </row>
    <row r="241" spans="1:33" outlineLevel="2">
      <c r="A241" t="s">
        <v>19</v>
      </c>
      <c r="B241">
        <v>5</v>
      </c>
      <c r="C241">
        <v>2075.7399999999998</v>
      </c>
      <c r="D241">
        <v>509.82</v>
      </c>
      <c r="E241">
        <v>110.14</v>
      </c>
      <c r="F241">
        <v>53.72</v>
      </c>
      <c r="G241">
        <v>12.28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 s="19">
        <f t="shared" si="264"/>
        <v>0.13693209929480371</v>
      </c>
      <c r="T241" s="19">
        <f t="shared" si="263"/>
        <v>0.15818378136867972</v>
      </c>
      <c r="U241" s="19">
        <f t="shared" si="263"/>
        <v>0.14877752262596244</v>
      </c>
      <c r="V241" s="19">
        <f t="shared" si="263"/>
        <v>0.15962441314553991</v>
      </c>
      <c r="W241" s="19">
        <f t="shared" si="263"/>
        <v>0.15231952369139173</v>
      </c>
      <c r="X241" s="19">
        <f t="shared" si="263"/>
        <v>0</v>
      </c>
      <c r="Y241" s="19">
        <f t="shared" si="263"/>
        <v>0</v>
      </c>
      <c r="Z241" s="19">
        <f t="shared" si="263"/>
        <v>0</v>
      </c>
      <c r="AA241" s="19">
        <f t="shared" si="263"/>
        <v>0</v>
      </c>
      <c r="AB241" s="19">
        <f t="shared" si="263"/>
        <v>0</v>
      </c>
      <c r="AC241" s="19">
        <f t="shared" si="263"/>
        <v>0</v>
      </c>
      <c r="AD241" s="19">
        <f t="shared" si="263"/>
        <v>0</v>
      </c>
      <c r="AE241" s="19">
        <f t="shared" si="263"/>
        <v>0</v>
      </c>
      <c r="AF241" s="19">
        <f t="shared" si="263"/>
        <v>0</v>
      </c>
      <c r="AG241" s="19">
        <f t="shared" si="263"/>
        <v>0</v>
      </c>
    </row>
    <row r="242" spans="1:33" outlineLevel="2">
      <c r="A242" s="21" t="s">
        <v>19</v>
      </c>
      <c r="B242" s="21">
        <v>6</v>
      </c>
      <c r="C242" s="21">
        <v>13.72</v>
      </c>
      <c r="D242" s="22">
        <v>3.28</v>
      </c>
      <c r="E242">
        <v>0.48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S242" s="19">
        <f t="shared" si="264"/>
        <v>9.0507886456141294E-4</v>
      </c>
      <c r="T242" s="19">
        <f t="shared" si="263"/>
        <v>1.0176980167299625E-3</v>
      </c>
      <c r="U242" s="19">
        <f t="shared" si="263"/>
        <v>6.4838578954477919E-4</v>
      </c>
      <c r="V242" s="19">
        <f t="shared" si="263"/>
        <v>0</v>
      </c>
      <c r="W242" s="19">
        <f t="shared" si="263"/>
        <v>0</v>
      </c>
      <c r="X242" s="19">
        <f t="shared" si="263"/>
        <v>0</v>
      </c>
      <c r="Y242" s="19">
        <f t="shared" si="263"/>
        <v>0</v>
      </c>
      <c r="Z242" s="19">
        <f t="shared" si="263"/>
        <v>0</v>
      </c>
      <c r="AA242" s="19">
        <f t="shared" si="263"/>
        <v>0</v>
      </c>
      <c r="AB242" s="19">
        <f t="shared" si="263"/>
        <v>0</v>
      </c>
      <c r="AC242" s="19">
        <f t="shared" si="263"/>
        <v>0</v>
      </c>
      <c r="AD242" s="19">
        <f t="shared" si="263"/>
        <v>0</v>
      </c>
      <c r="AE242" s="19">
        <f t="shared" si="263"/>
        <v>0</v>
      </c>
      <c r="AF242" s="19">
        <f t="shared" si="263"/>
        <v>0</v>
      </c>
      <c r="AG242" s="19">
        <f t="shared" si="263"/>
        <v>0</v>
      </c>
    </row>
    <row r="243" spans="1:33" outlineLevel="2">
      <c r="A243" s="21" t="s">
        <v>19</v>
      </c>
      <c r="B243" s="21">
        <v>7</v>
      </c>
      <c r="C243" s="21">
        <v>304.12</v>
      </c>
      <c r="D243" s="22">
        <v>37.42</v>
      </c>
      <c r="E243">
        <v>6.04</v>
      </c>
      <c r="F243">
        <v>0.76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 s="19">
        <f t="shared" si="264"/>
        <v>2.006214171212951E-2</v>
      </c>
      <c r="T243" s="19">
        <f t="shared" si="263"/>
        <v>1.1610445056718049E-2</v>
      </c>
      <c r="U243" s="19">
        <f t="shared" si="263"/>
        <v>8.1588545184384711E-3</v>
      </c>
      <c r="V243" s="19">
        <f t="shared" si="263"/>
        <v>2.2582753907410711E-3</v>
      </c>
      <c r="W243" s="19">
        <f t="shared" si="263"/>
        <v>0</v>
      </c>
      <c r="X243" s="19">
        <f t="shared" si="263"/>
        <v>0</v>
      </c>
      <c r="Y243" s="19">
        <f t="shared" si="263"/>
        <v>0</v>
      </c>
      <c r="Z243" s="19">
        <f t="shared" si="263"/>
        <v>0</v>
      </c>
      <c r="AA243" s="19">
        <f t="shared" si="263"/>
        <v>0</v>
      </c>
      <c r="AB243" s="19">
        <f t="shared" si="263"/>
        <v>0</v>
      </c>
      <c r="AC243" s="19">
        <f t="shared" si="263"/>
        <v>0</v>
      </c>
      <c r="AD243" s="19">
        <f t="shared" si="263"/>
        <v>0</v>
      </c>
      <c r="AE243" s="19">
        <f t="shared" si="263"/>
        <v>0</v>
      </c>
      <c r="AF243" s="19">
        <f t="shared" si="263"/>
        <v>0</v>
      </c>
      <c r="AG243" s="19">
        <f t="shared" si="263"/>
        <v>0</v>
      </c>
    </row>
    <row r="244" spans="1:33" outlineLevel="2">
      <c r="A244" s="21" t="s">
        <v>19</v>
      </c>
      <c r="B244" s="21">
        <v>8</v>
      </c>
      <c r="C244" s="21">
        <v>125.36</v>
      </c>
      <c r="D244" s="22">
        <v>27.6</v>
      </c>
      <c r="E244">
        <v>11.78</v>
      </c>
      <c r="F244">
        <v>5.18</v>
      </c>
      <c r="G244">
        <v>0.46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 s="19">
        <f t="shared" si="264"/>
        <v>8.2697293339226464E-3</v>
      </c>
      <c r="T244" s="19">
        <f t="shared" si="263"/>
        <v>8.5635564822399285E-3</v>
      </c>
      <c r="U244" s="19">
        <f t="shared" si="263"/>
        <v>1.5912467918411454E-2</v>
      </c>
      <c r="V244" s="19">
        <f t="shared" si="263"/>
        <v>1.5391929636893089E-2</v>
      </c>
      <c r="W244" s="19">
        <f t="shared" si="263"/>
        <v>5.7057802034234687E-3</v>
      </c>
      <c r="X244" s="19">
        <f t="shared" si="263"/>
        <v>0</v>
      </c>
      <c r="Y244" s="19">
        <f t="shared" si="263"/>
        <v>0</v>
      </c>
      <c r="Z244" s="19">
        <f t="shared" si="263"/>
        <v>0</v>
      </c>
      <c r="AA244" s="19">
        <f t="shared" si="263"/>
        <v>0</v>
      </c>
      <c r="AB244" s="19">
        <f t="shared" si="263"/>
        <v>0</v>
      </c>
      <c r="AC244" s="19">
        <f t="shared" si="263"/>
        <v>0</v>
      </c>
      <c r="AD244" s="19">
        <f t="shared" si="263"/>
        <v>0</v>
      </c>
      <c r="AE244" s="19">
        <f t="shared" si="263"/>
        <v>0</v>
      </c>
      <c r="AF244" s="19">
        <f t="shared" si="263"/>
        <v>0</v>
      </c>
      <c r="AG244" s="19">
        <f t="shared" si="263"/>
        <v>0</v>
      </c>
    </row>
    <row r="245" spans="1:33" outlineLevel="2">
      <c r="A245" s="21" t="s">
        <v>19</v>
      </c>
      <c r="B245" s="21">
        <v>9</v>
      </c>
      <c r="C245" s="21">
        <v>1480.28</v>
      </c>
      <c r="D245" s="22">
        <v>308.06</v>
      </c>
      <c r="E245">
        <v>41.72</v>
      </c>
      <c r="F245">
        <v>4.32</v>
      </c>
      <c r="G245">
        <v>0.66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S245" s="19">
        <f t="shared" si="264"/>
        <v>9.765088495867115E-2</v>
      </c>
      <c r="T245" s="19">
        <f t="shared" si="263"/>
        <v>9.5582942388363498E-2</v>
      </c>
      <c r="U245" s="19">
        <f t="shared" si="263"/>
        <v>5.6355531541267052E-2</v>
      </c>
      <c r="V245" s="19">
        <f t="shared" si="263"/>
        <v>1.2836512747370301E-2</v>
      </c>
      <c r="W245" s="19">
        <f t="shared" si="263"/>
        <v>8.1865542049119333E-3</v>
      </c>
      <c r="X245" s="19">
        <f t="shared" si="263"/>
        <v>0</v>
      </c>
      <c r="Y245" s="19">
        <f t="shared" si="263"/>
        <v>0</v>
      </c>
      <c r="Z245" s="19">
        <f t="shared" si="263"/>
        <v>0</v>
      </c>
      <c r="AA245" s="19">
        <f t="shared" si="263"/>
        <v>0</v>
      </c>
      <c r="AB245" s="19">
        <f t="shared" si="263"/>
        <v>0</v>
      </c>
      <c r="AC245" s="19">
        <f t="shared" si="263"/>
        <v>0</v>
      </c>
      <c r="AD245" s="19">
        <f t="shared" si="263"/>
        <v>0</v>
      </c>
      <c r="AE245" s="19">
        <f t="shared" si="263"/>
        <v>0</v>
      </c>
      <c r="AF245" s="19">
        <f t="shared" si="263"/>
        <v>0</v>
      </c>
      <c r="AG245" s="19">
        <f t="shared" si="263"/>
        <v>0</v>
      </c>
    </row>
    <row r="246" spans="1:33" outlineLevel="2">
      <c r="A246" s="21" t="s">
        <v>19</v>
      </c>
      <c r="B246" s="21">
        <v>10</v>
      </c>
      <c r="C246" s="21">
        <v>166.46</v>
      </c>
      <c r="D246" s="22">
        <v>75.959999999999994</v>
      </c>
      <c r="E246">
        <v>31.34</v>
      </c>
      <c r="F246">
        <v>17.48</v>
      </c>
      <c r="G246">
        <v>2.92</v>
      </c>
      <c r="H246">
        <v>73</v>
      </c>
      <c r="I246">
        <v>175.12</v>
      </c>
      <c r="J246">
        <v>267.04000000000002</v>
      </c>
      <c r="K246">
        <v>7.64</v>
      </c>
      <c r="L246">
        <v>0</v>
      </c>
      <c r="M246">
        <v>0</v>
      </c>
      <c r="N246">
        <v>36.119999999999997</v>
      </c>
      <c r="O246">
        <v>3064.84</v>
      </c>
      <c r="P246">
        <v>7336.16</v>
      </c>
      <c r="Q246">
        <v>0</v>
      </c>
      <c r="S246" s="19">
        <f t="shared" si="264"/>
        <v>1.0981007856770612E-2</v>
      </c>
      <c r="T246" s="19">
        <f t="shared" si="263"/>
        <v>2.3568396753295105E-2</v>
      </c>
      <c r="U246" s="19">
        <f t="shared" si="263"/>
        <v>4.233418884236121E-2</v>
      </c>
      <c r="V246" s="19">
        <f t="shared" si="263"/>
        <v>5.1940333987044639E-2</v>
      </c>
      <c r="W246" s="19">
        <f t="shared" si="263"/>
        <v>3.6219300421731583E-2</v>
      </c>
      <c r="X246" s="19">
        <f t="shared" si="263"/>
        <v>0.10197239760853775</v>
      </c>
      <c r="Y246" s="19">
        <f t="shared" si="263"/>
        <v>0.10604592578238543</v>
      </c>
      <c r="Z246" s="19">
        <f t="shared" si="263"/>
        <v>0.20388468116296116</v>
      </c>
      <c r="AA246" s="19">
        <f t="shared" si="263"/>
        <v>3.7517187193085839E-2</v>
      </c>
      <c r="AB246" s="19">
        <f t="shared" si="263"/>
        <v>0</v>
      </c>
      <c r="AC246" s="19">
        <f t="shared" si="263"/>
        <v>0</v>
      </c>
      <c r="AD246" s="19">
        <f t="shared" si="263"/>
        <v>4.4452101998621638E-2</v>
      </c>
      <c r="AE246" s="19">
        <f t="shared" si="263"/>
        <v>0.24513934879911445</v>
      </c>
      <c r="AF246" s="19">
        <f t="shared" si="263"/>
        <v>0.2108414274825921</v>
      </c>
      <c r="AG246" s="19">
        <f t="shared" si="263"/>
        <v>0</v>
      </c>
    </row>
    <row r="247" spans="1:33" outlineLevel="2">
      <c r="A247" s="21" t="s">
        <v>19</v>
      </c>
      <c r="B247" s="21">
        <v>11</v>
      </c>
      <c r="C247" s="21">
        <v>12.48</v>
      </c>
      <c r="D247" s="22">
        <v>2.14</v>
      </c>
      <c r="E247">
        <v>0.72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 s="19">
        <f t="shared" si="264"/>
        <v>8.2327873394507528E-4</v>
      </c>
      <c r="T247" s="19">
        <f t="shared" si="263"/>
        <v>6.6398590115918294E-4</v>
      </c>
      <c r="U247" s="19">
        <f t="shared" si="263"/>
        <v>9.7257868431716878E-4</v>
      </c>
      <c r="V247" s="19">
        <f t="shared" si="263"/>
        <v>0</v>
      </c>
      <c r="W247" s="19">
        <f t="shared" si="263"/>
        <v>0</v>
      </c>
      <c r="X247" s="19">
        <f t="shared" si="263"/>
        <v>0</v>
      </c>
      <c r="Y247" s="19">
        <f t="shared" si="263"/>
        <v>0</v>
      </c>
      <c r="Z247" s="19">
        <f t="shared" si="263"/>
        <v>0</v>
      </c>
      <c r="AA247" s="19">
        <f t="shared" si="263"/>
        <v>0</v>
      </c>
      <c r="AB247" s="19">
        <f t="shared" si="263"/>
        <v>0</v>
      </c>
      <c r="AC247" s="19">
        <f t="shared" si="263"/>
        <v>0</v>
      </c>
      <c r="AD247" s="19">
        <f t="shared" si="263"/>
        <v>0</v>
      </c>
      <c r="AE247" s="19">
        <f t="shared" si="263"/>
        <v>0</v>
      </c>
      <c r="AF247" s="19">
        <f t="shared" si="263"/>
        <v>0</v>
      </c>
      <c r="AG247" s="19">
        <f t="shared" si="263"/>
        <v>0</v>
      </c>
    </row>
    <row r="248" spans="1:33" outlineLevel="2">
      <c r="A248" t="s">
        <v>19</v>
      </c>
      <c r="B248">
        <v>12</v>
      </c>
      <c r="C248">
        <v>92.6</v>
      </c>
      <c r="D248">
        <v>27.24</v>
      </c>
      <c r="E248">
        <v>7.96</v>
      </c>
      <c r="F248">
        <v>5.24</v>
      </c>
      <c r="G248">
        <v>1.74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S248" s="19">
        <f t="shared" si="264"/>
        <v>6.1086226573168244E-3</v>
      </c>
      <c r="T248" s="19">
        <f t="shared" si="263"/>
        <v>8.4518579194281032E-3</v>
      </c>
      <c r="U248" s="19">
        <f t="shared" si="263"/>
        <v>1.0752397676617589E-2</v>
      </c>
      <c r="V248" s="19">
        <f t="shared" si="263"/>
        <v>1.5570214536162122E-2</v>
      </c>
      <c r="W248" s="19">
        <f t="shared" si="263"/>
        <v>2.1582733812949641E-2</v>
      </c>
      <c r="X248" s="19">
        <f t="shared" si="263"/>
        <v>0</v>
      </c>
      <c r="Y248" s="19">
        <f t="shared" si="263"/>
        <v>0</v>
      </c>
      <c r="Z248" s="19">
        <f t="shared" si="263"/>
        <v>0</v>
      </c>
      <c r="AA248" s="19">
        <f t="shared" si="263"/>
        <v>0</v>
      </c>
      <c r="AB248" s="19">
        <f t="shared" si="263"/>
        <v>0</v>
      </c>
      <c r="AC248" s="19">
        <f t="shared" si="263"/>
        <v>0</v>
      </c>
      <c r="AD248" s="19">
        <f t="shared" si="263"/>
        <v>0</v>
      </c>
      <c r="AE248" s="19">
        <f t="shared" si="263"/>
        <v>0</v>
      </c>
      <c r="AF248" s="19">
        <f t="shared" si="263"/>
        <v>0</v>
      </c>
      <c r="AG248" s="19">
        <f t="shared" si="263"/>
        <v>0</v>
      </c>
    </row>
    <row r="249" spans="1:33" outlineLevel="2">
      <c r="A249" s="21" t="s">
        <v>19</v>
      </c>
      <c r="B249" s="21">
        <v>13</v>
      </c>
      <c r="C249" s="21">
        <v>194.78</v>
      </c>
      <c r="D249" s="22">
        <v>59.34</v>
      </c>
      <c r="E249">
        <v>26.4</v>
      </c>
      <c r="F249">
        <v>13.8</v>
      </c>
      <c r="G249">
        <v>1.18</v>
      </c>
      <c r="H249">
        <v>21.6</v>
      </c>
      <c r="I249">
        <v>79.040000000000006</v>
      </c>
      <c r="J249">
        <v>199.52</v>
      </c>
      <c r="K249">
        <v>14.04</v>
      </c>
      <c r="L249">
        <v>0</v>
      </c>
      <c r="M249">
        <v>0</v>
      </c>
      <c r="N249">
        <v>0</v>
      </c>
      <c r="O249">
        <v>499</v>
      </c>
      <c r="P249">
        <v>11108.2</v>
      </c>
      <c r="Q249">
        <v>33.64</v>
      </c>
      <c r="S249" s="19">
        <f t="shared" si="264"/>
        <v>1.2849217291492129E-2</v>
      </c>
      <c r="T249" s="19">
        <f t="shared" si="263"/>
        <v>1.8411646436815848E-2</v>
      </c>
      <c r="U249" s="19">
        <f t="shared" si="263"/>
        <v>3.5661218424962851E-2</v>
      </c>
      <c r="V249" s="19">
        <f t="shared" si="263"/>
        <v>4.1005526831877345E-2</v>
      </c>
      <c r="W249" s="19">
        <f t="shared" si="263"/>
        <v>1.4636566608781942E-2</v>
      </c>
      <c r="X249" s="19">
        <f t="shared" si="263"/>
        <v>3.0172654634855009E-2</v>
      </c>
      <c r="Y249" s="19">
        <f t="shared" si="263"/>
        <v>4.7863579110551308E-2</v>
      </c>
      <c r="Z249" s="19">
        <f t="shared" si="263"/>
        <v>0.15233325189347668</v>
      </c>
      <c r="AA249" s="19">
        <f t="shared" si="263"/>
        <v>6.8945197407189157E-2</v>
      </c>
      <c r="AB249" s="19">
        <f t="shared" si="263"/>
        <v>0</v>
      </c>
      <c r="AC249" s="19">
        <f t="shared" si="263"/>
        <v>0</v>
      </c>
      <c r="AD249" s="19">
        <f t="shared" si="263"/>
        <v>0</v>
      </c>
      <c r="AE249" s="19">
        <f t="shared" si="263"/>
        <v>3.9912209136776504E-2</v>
      </c>
      <c r="AF249" s="19">
        <f t="shared" si="263"/>
        <v>0.31924995430335895</v>
      </c>
      <c r="AG249" s="19">
        <f t="shared" si="263"/>
        <v>1.3069924875128603E-3</v>
      </c>
    </row>
    <row r="250" spans="1:33" outlineLevel="2">
      <c r="A250" t="s">
        <v>19</v>
      </c>
      <c r="B250">
        <v>14</v>
      </c>
      <c r="C250">
        <v>206</v>
      </c>
      <c r="D250">
        <v>126</v>
      </c>
      <c r="E250">
        <v>60.26</v>
      </c>
      <c r="F250">
        <v>38.9</v>
      </c>
      <c r="G250">
        <v>7.8</v>
      </c>
      <c r="H250">
        <v>47.4</v>
      </c>
      <c r="I250">
        <v>103.84</v>
      </c>
      <c r="J250">
        <v>106.4</v>
      </c>
      <c r="K250">
        <v>163.6</v>
      </c>
      <c r="L250">
        <v>112.04</v>
      </c>
      <c r="M250">
        <v>0</v>
      </c>
      <c r="N250">
        <v>1.8</v>
      </c>
      <c r="O250">
        <v>102.72</v>
      </c>
      <c r="P250">
        <v>725.24</v>
      </c>
      <c r="Q250">
        <v>17319.2</v>
      </c>
      <c r="S250" s="19">
        <f t="shared" si="264"/>
        <v>1.3589376537875441E-2</v>
      </c>
      <c r="T250" s="19">
        <f t="shared" si="263"/>
        <v>3.9094496984138805E-2</v>
      </c>
      <c r="U250" s="19">
        <f t="shared" si="263"/>
        <v>8.1399432662434157E-2</v>
      </c>
      <c r="V250" s="19">
        <f t="shared" si="263"/>
        <v>0.11558804302608904</v>
      </c>
      <c r="W250" s="19">
        <f t="shared" si="263"/>
        <v>9.6750186058050122E-2</v>
      </c>
      <c r="X250" s="19">
        <f t="shared" si="263"/>
        <v>6.6212214337598482E-2</v>
      </c>
      <c r="Y250" s="19">
        <f t="shared" si="263"/>
        <v>6.2881503730258706E-2</v>
      </c>
      <c r="Z250" s="19">
        <f t="shared" si="263"/>
        <v>8.1236257024187644E-2</v>
      </c>
      <c r="AA250" s="19">
        <f t="shared" si="263"/>
        <v>0.80337851109801617</v>
      </c>
      <c r="AB250" s="19">
        <f t="shared" si="263"/>
        <v>1</v>
      </c>
      <c r="AC250" s="19">
        <f t="shared" si="263"/>
        <v>0</v>
      </c>
      <c r="AD250" s="19">
        <f t="shared" si="263"/>
        <v>2.2152210298316435E-3</v>
      </c>
      <c r="AE250" s="19">
        <f t="shared" si="263"/>
        <v>8.2159962375344345E-3</v>
      </c>
      <c r="AF250" s="19">
        <f t="shared" si="263"/>
        <v>2.0843416292375728E-2</v>
      </c>
      <c r="AG250" s="19">
        <f t="shared" si="263"/>
        <v>0.67289132847005728</v>
      </c>
    </row>
    <row r="251" spans="1:33" outlineLevel="2">
      <c r="A251" s="21" t="s">
        <v>19</v>
      </c>
      <c r="B251" s="21">
        <v>15</v>
      </c>
      <c r="C251" s="21">
        <v>126</v>
      </c>
      <c r="D251" s="22">
        <v>50.42</v>
      </c>
      <c r="E251">
        <v>16.559999999999999</v>
      </c>
      <c r="F251">
        <v>8.3800000000000008</v>
      </c>
      <c r="G251">
        <v>2.2400000000000002</v>
      </c>
      <c r="H251">
        <v>0.28000000000000003</v>
      </c>
      <c r="I251">
        <v>24.2</v>
      </c>
      <c r="J251">
        <v>43.04</v>
      </c>
      <c r="K251">
        <v>0</v>
      </c>
      <c r="L251">
        <v>0</v>
      </c>
      <c r="M251">
        <v>0</v>
      </c>
      <c r="N251">
        <v>0</v>
      </c>
      <c r="O251">
        <v>81.08</v>
      </c>
      <c r="P251">
        <v>1179.08</v>
      </c>
      <c r="Q251">
        <v>1598.52</v>
      </c>
      <c r="S251" s="19">
        <f t="shared" si="264"/>
        <v>8.311948756176241E-3</v>
      </c>
      <c r="T251" s="19">
        <f t="shared" si="263"/>
        <v>1.5644004269367288E-2</v>
      </c>
      <c r="U251" s="19">
        <f t="shared" si="263"/>
        <v>2.2369309739294879E-2</v>
      </c>
      <c r="V251" s="19">
        <f t="shared" si="263"/>
        <v>2.490045759790813E-2</v>
      </c>
      <c r="W251" s="19">
        <f t="shared" si="263"/>
        <v>2.7784668816670806E-2</v>
      </c>
      <c r="X251" s="19">
        <f t="shared" si="263"/>
        <v>3.9112700452589828E-4</v>
      </c>
      <c r="Y251" s="19">
        <f t="shared" si="263"/>
        <v>1.465458773374673E-2</v>
      </c>
      <c r="Z251" s="19">
        <f t="shared" si="263"/>
        <v>3.2860982164671391E-2</v>
      </c>
      <c r="AA251" s="19">
        <f t="shared" si="263"/>
        <v>0</v>
      </c>
      <c r="AB251" s="19">
        <f t="shared" si="263"/>
        <v>0</v>
      </c>
      <c r="AC251" s="19">
        <f t="shared" si="263"/>
        <v>0</v>
      </c>
      <c r="AD251" s="19">
        <f t="shared" si="263"/>
        <v>0</v>
      </c>
      <c r="AE251" s="19">
        <f t="shared" si="263"/>
        <v>6.485134101823325E-3</v>
      </c>
      <c r="AF251" s="19">
        <f t="shared" si="263"/>
        <v>3.3886789589672894E-2</v>
      </c>
      <c r="AG251" s="19">
        <f t="shared" si="263"/>
        <v>6.2106231603420249E-2</v>
      </c>
    </row>
    <row r="252" spans="1:33" outlineLevel="2">
      <c r="A252" t="s">
        <v>19</v>
      </c>
      <c r="B252">
        <v>16</v>
      </c>
      <c r="C252">
        <v>3044.2</v>
      </c>
      <c r="D252">
        <v>657.8</v>
      </c>
      <c r="E252">
        <v>98.46</v>
      </c>
      <c r="F252">
        <v>31.94</v>
      </c>
      <c r="G252">
        <v>4.84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 s="19">
        <f t="shared" si="264"/>
        <v>0.20081932066310881</v>
      </c>
      <c r="T252" s="19">
        <f t="shared" si="263"/>
        <v>0.20409809616005162</v>
      </c>
      <c r="U252" s="19">
        <f t="shared" si="263"/>
        <v>0.13300013508037281</v>
      </c>
      <c r="V252" s="19">
        <f t="shared" si="263"/>
        <v>9.4906994710881334E-2</v>
      </c>
      <c r="W252" s="19">
        <f t="shared" si="263"/>
        <v>6.0034730836020844E-2</v>
      </c>
      <c r="X252" s="19">
        <f t="shared" si="263"/>
        <v>0</v>
      </c>
      <c r="Y252" s="19">
        <f t="shared" si="263"/>
        <v>0</v>
      </c>
      <c r="Z252" s="19">
        <f t="shared" si="263"/>
        <v>0</v>
      </c>
      <c r="AA252" s="19">
        <f t="shared" si="263"/>
        <v>0</v>
      </c>
      <c r="AB252" s="19">
        <f t="shared" si="263"/>
        <v>0</v>
      </c>
      <c r="AC252" s="19">
        <f t="shared" si="263"/>
        <v>0</v>
      </c>
      <c r="AD252" s="19">
        <f t="shared" si="263"/>
        <v>0</v>
      </c>
      <c r="AE252" s="19">
        <f t="shared" si="263"/>
        <v>0</v>
      </c>
      <c r="AF252" s="19">
        <f t="shared" si="263"/>
        <v>0</v>
      </c>
      <c r="AG252" s="19">
        <f t="shared" si="263"/>
        <v>0</v>
      </c>
    </row>
    <row r="253" spans="1:33" outlineLevel="2">
      <c r="A253" s="21" t="s">
        <v>19</v>
      </c>
      <c r="B253" s="21">
        <v>17</v>
      </c>
      <c r="C253" s="21">
        <v>284.12</v>
      </c>
      <c r="D253" s="22">
        <v>52.16</v>
      </c>
      <c r="E253">
        <v>9.2799999999999994</v>
      </c>
      <c r="F253">
        <v>5.44</v>
      </c>
      <c r="G253">
        <v>1.32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S253" s="19">
        <f t="shared" si="264"/>
        <v>1.8742784766704712E-2</v>
      </c>
      <c r="T253" s="19">
        <f t="shared" ref="T253:T264" si="265">IF(D$265&gt;0, D253/D$265, 0)</f>
        <v>1.6183880656291109E-2</v>
      </c>
      <c r="U253" s="19">
        <f t="shared" ref="U253:U264" si="266">IF(E$265&gt;0, E253/E$265, 0)</f>
        <v>1.253545859786573E-2</v>
      </c>
      <c r="V253" s="19">
        <f t="shared" ref="V253:V264" si="267">IF(F$265&gt;0, F253/F$265, 0)</f>
        <v>1.6164497533725564E-2</v>
      </c>
      <c r="W253" s="19">
        <f t="shared" ref="W253:W264" si="268">IF(G$265&gt;0, G253/G$265, 0)</f>
        <v>1.6373108409823867E-2</v>
      </c>
      <c r="X253" s="19">
        <f t="shared" ref="X253:X264" si="269">IF(H$265&gt;0, H253/H$265, 0)</f>
        <v>0</v>
      </c>
      <c r="Y253" s="19">
        <f t="shared" ref="Y253:Y264" si="270">IF(I$265&gt;0, I253/I$265, 0)</f>
        <v>0</v>
      </c>
      <c r="Z253" s="19">
        <f t="shared" ref="Z253:Z264" si="271">IF(J$265&gt;0, J253/J$265, 0)</f>
        <v>0</v>
      </c>
      <c r="AA253" s="19">
        <f t="shared" ref="AA253:AA264" si="272">IF(K$265&gt;0, K253/K$265, 0)</f>
        <v>0</v>
      </c>
      <c r="AB253" s="19">
        <f t="shared" ref="AB253:AB264" si="273">IF(L$265&gt;0, L253/L$265, 0)</f>
        <v>0</v>
      </c>
      <c r="AC253" s="19">
        <f t="shared" ref="AC253:AC264" si="274">IF(M$265&gt;0, M253/M$265, 0)</f>
        <v>0</v>
      </c>
      <c r="AD253" s="19">
        <f t="shared" ref="AD253:AD264" si="275">IF(N$265&gt;0, N253/N$265, 0)</f>
        <v>0</v>
      </c>
      <c r="AE253" s="19">
        <f t="shared" ref="AE253:AE264" si="276">IF(O$265&gt;0, O253/O$265, 0)</f>
        <v>0</v>
      </c>
      <c r="AF253" s="19">
        <f t="shared" ref="AF253:AF264" si="277">IF(P$265&gt;0, P253/P$265, 0)</f>
        <v>0</v>
      </c>
      <c r="AG253" s="19">
        <f t="shared" ref="AG253:AG264" si="278">IF(Q$265&gt;0, Q253/Q$265, 0)</f>
        <v>0</v>
      </c>
    </row>
    <row r="254" spans="1:33" outlineLevel="2">
      <c r="A254" s="21" t="s">
        <v>19</v>
      </c>
      <c r="B254" s="21">
        <v>18</v>
      </c>
      <c r="C254" s="21">
        <v>1799.08</v>
      </c>
      <c r="D254" s="22">
        <v>225.92</v>
      </c>
      <c r="E254">
        <v>39.880000000000003</v>
      </c>
      <c r="F254">
        <v>21.38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S254" s="19">
        <f t="shared" si="264"/>
        <v>0.11868143466874247</v>
      </c>
      <c r="T254" s="19">
        <f t="shared" si="265"/>
        <v>7.0097053640132051E-2</v>
      </c>
      <c r="U254" s="19">
        <f t="shared" si="266"/>
        <v>5.3870052681345405E-2</v>
      </c>
      <c r="V254" s="19">
        <f t="shared" si="267"/>
        <v>6.3528852439531713E-2</v>
      </c>
      <c r="W254" s="19">
        <f t="shared" si="268"/>
        <v>4.9615480029769295E-2</v>
      </c>
      <c r="X254" s="19">
        <f t="shared" si="269"/>
        <v>0</v>
      </c>
      <c r="Y254" s="19">
        <f t="shared" si="270"/>
        <v>0</v>
      </c>
      <c r="Z254" s="19">
        <f t="shared" si="271"/>
        <v>0</v>
      </c>
      <c r="AA254" s="19">
        <f t="shared" si="272"/>
        <v>0</v>
      </c>
      <c r="AB254" s="19">
        <f t="shared" si="273"/>
        <v>0</v>
      </c>
      <c r="AC254" s="19">
        <f t="shared" si="274"/>
        <v>0</v>
      </c>
      <c r="AD254" s="19">
        <f t="shared" si="275"/>
        <v>0</v>
      </c>
      <c r="AE254" s="19">
        <f t="shared" si="276"/>
        <v>0</v>
      </c>
      <c r="AF254" s="19">
        <f t="shared" si="277"/>
        <v>0</v>
      </c>
      <c r="AG254" s="19">
        <f t="shared" si="278"/>
        <v>0</v>
      </c>
    </row>
    <row r="255" spans="1:33" outlineLevel="2">
      <c r="A255" s="21" t="s">
        <v>19</v>
      </c>
      <c r="B255" s="21">
        <v>19</v>
      </c>
      <c r="C255" s="21">
        <v>1334.56</v>
      </c>
      <c r="D255" s="22">
        <v>152.97999999999999</v>
      </c>
      <c r="E255">
        <v>17.440000000000001</v>
      </c>
      <c r="F255">
        <v>4.5599999999999996</v>
      </c>
      <c r="G255">
        <v>0.64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S255" s="19">
        <f t="shared" si="264"/>
        <v>8.8038050254306055E-2</v>
      </c>
      <c r="T255" s="19">
        <f t="shared" si="265"/>
        <v>4.7465683719313916E-2</v>
      </c>
      <c r="U255" s="19">
        <f t="shared" si="266"/>
        <v>2.3558017020126977E-2</v>
      </c>
      <c r="V255" s="19">
        <f t="shared" si="267"/>
        <v>1.3549652344446425E-2</v>
      </c>
      <c r="W255" s="19">
        <f t="shared" si="268"/>
        <v>7.9384768047630876E-3</v>
      </c>
      <c r="X255" s="19">
        <f t="shared" si="269"/>
        <v>0</v>
      </c>
      <c r="Y255" s="19">
        <f t="shared" si="270"/>
        <v>0</v>
      </c>
      <c r="Z255" s="19">
        <f t="shared" si="271"/>
        <v>0</v>
      </c>
      <c r="AA255" s="19">
        <f t="shared" si="272"/>
        <v>0</v>
      </c>
      <c r="AB255" s="19">
        <f t="shared" si="273"/>
        <v>0</v>
      </c>
      <c r="AC255" s="19">
        <f t="shared" si="274"/>
        <v>0</v>
      </c>
      <c r="AD255" s="19">
        <f t="shared" si="275"/>
        <v>0</v>
      </c>
      <c r="AE255" s="19">
        <f t="shared" si="276"/>
        <v>0</v>
      </c>
      <c r="AF255" s="19">
        <f t="shared" si="277"/>
        <v>0</v>
      </c>
      <c r="AG255" s="19">
        <f t="shared" si="278"/>
        <v>0</v>
      </c>
    </row>
    <row r="256" spans="1:33" outlineLevel="2">
      <c r="A256" s="21" t="s">
        <v>19</v>
      </c>
      <c r="B256" s="21">
        <v>20</v>
      </c>
      <c r="C256" s="21">
        <v>10.14</v>
      </c>
      <c r="D256" s="22">
        <v>0.36</v>
      </c>
      <c r="E256">
        <v>0.1</v>
      </c>
      <c r="F256">
        <v>0.24</v>
      </c>
      <c r="G256">
        <v>0</v>
      </c>
      <c r="H256">
        <v>40.68</v>
      </c>
      <c r="I256">
        <v>64.36</v>
      </c>
      <c r="J256">
        <v>116.28</v>
      </c>
      <c r="K256">
        <v>18.36</v>
      </c>
      <c r="L256">
        <v>0</v>
      </c>
      <c r="M256">
        <v>192.32</v>
      </c>
      <c r="N256">
        <v>158.12</v>
      </c>
      <c r="O256">
        <v>164.92</v>
      </c>
      <c r="P256">
        <v>437.76</v>
      </c>
      <c r="Q256">
        <v>6787.12</v>
      </c>
      <c r="S256" s="19">
        <f t="shared" si="264"/>
        <v>6.689139713303737E-4</v>
      </c>
      <c r="T256" s="19">
        <f t="shared" si="265"/>
        <v>1.1169856281182515E-4</v>
      </c>
      <c r="U256" s="19">
        <f t="shared" si="266"/>
        <v>1.3508037282182901E-4</v>
      </c>
      <c r="V256" s="19">
        <f t="shared" si="267"/>
        <v>7.1313959707612769E-4</v>
      </c>
      <c r="W256" s="19">
        <f t="shared" si="268"/>
        <v>0</v>
      </c>
      <c r="X256" s="19">
        <f t="shared" si="269"/>
        <v>5.6825166228976931E-2</v>
      </c>
      <c r="Y256" s="19">
        <f t="shared" si="270"/>
        <v>3.8973936634047093E-2</v>
      </c>
      <c r="Z256" s="19">
        <f t="shared" si="271"/>
        <v>8.8779623747862205E-2</v>
      </c>
      <c r="AA256" s="19">
        <f t="shared" si="272"/>
        <v>9.0159104301708898E-2</v>
      </c>
      <c r="AB256" s="19">
        <f t="shared" si="273"/>
        <v>0</v>
      </c>
      <c r="AC256" s="19">
        <f t="shared" si="274"/>
        <v>0.79867109634551503</v>
      </c>
      <c r="AD256" s="19">
        <f t="shared" si="275"/>
        <v>0.1945948606872108</v>
      </c>
      <c r="AE256" s="19">
        <f t="shared" si="276"/>
        <v>1.3191025111898158E-2</v>
      </c>
      <c r="AF256" s="19">
        <f t="shared" si="277"/>
        <v>1.2581233682850364E-2</v>
      </c>
      <c r="AG256" s="19">
        <f t="shared" si="278"/>
        <v>0.26369544743900963</v>
      </c>
    </row>
    <row r="257" spans="1:33" outlineLevel="2">
      <c r="A257" s="21" t="s">
        <v>19</v>
      </c>
      <c r="B257" s="21">
        <v>21</v>
      </c>
      <c r="C257" s="21">
        <v>163.56</v>
      </c>
      <c r="D257" s="22">
        <v>53.16</v>
      </c>
      <c r="E257">
        <v>10.82</v>
      </c>
      <c r="F257">
        <v>7.58</v>
      </c>
      <c r="G257">
        <v>1.7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S257" s="19">
        <f t="shared" si="264"/>
        <v>1.0789701099684015E-2</v>
      </c>
      <c r="T257" s="19">
        <f t="shared" si="265"/>
        <v>1.6494154441879513E-2</v>
      </c>
      <c r="U257" s="19">
        <f t="shared" si="266"/>
        <v>1.4615696339321898E-2</v>
      </c>
      <c r="V257" s="19">
        <f t="shared" si="267"/>
        <v>2.2523325607654368E-2</v>
      </c>
      <c r="W257" s="19">
        <f t="shared" si="268"/>
        <v>2.108657901265195E-2</v>
      </c>
      <c r="X257" s="19">
        <f t="shared" si="269"/>
        <v>0</v>
      </c>
      <c r="Y257" s="19">
        <f t="shared" si="270"/>
        <v>0</v>
      </c>
      <c r="Z257" s="19">
        <f t="shared" si="271"/>
        <v>0</v>
      </c>
      <c r="AA257" s="19">
        <f t="shared" si="272"/>
        <v>0</v>
      </c>
      <c r="AB257" s="19">
        <f t="shared" si="273"/>
        <v>0</v>
      </c>
      <c r="AC257" s="19">
        <f t="shared" si="274"/>
        <v>0</v>
      </c>
      <c r="AD257" s="19">
        <f t="shared" si="275"/>
        <v>0</v>
      </c>
      <c r="AE257" s="19">
        <f t="shared" si="276"/>
        <v>0</v>
      </c>
      <c r="AF257" s="19">
        <f t="shared" si="277"/>
        <v>0</v>
      </c>
      <c r="AG257" s="19">
        <f t="shared" si="278"/>
        <v>0</v>
      </c>
    </row>
    <row r="258" spans="1:33" outlineLevel="2">
      <c r="A258" s="21" t="s">
        <v>19</v>
      </c>
      <c r="B258" s="21">
        <v>41</v>
      </c>
      <c r="C258" s="21">
        <v>132.62</v>
      </c>
      <c r="D258" s="22">
        <v>49.44</v>
      </c>
      <c r="E258">
        <v>21.24</v>
      </c>
      <c r="F258">
        <v>19.02</v>
      </c>
      <c r="G258">
        <v>8.1999999999999993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S258" s="19">
        <f t="shared" si="264"/>
        <v>8.7486559051118493E-3</v>
      </c>
      <c r="T258" s="19">
        <f t="shared" si="265"/>
        <v>1.5339935959490654E-2</v>
      </c>
      <c r="U258" s="19">
        <f t="shared" si="266"/>
        <v>2.8691071187356476E-2</v>
      </c>
      <c r="V258" s="19">
        <f t="shared" si="267"/>
        <v>5.6516313068283121E-2</v>
      </c>
      <c r="W258" s="19">
        <f t="shared" si="268"/>
        <v>0.10171173406102704</v>
      </c>
      <c r="X258" s="19">
        <f t="shared" si="269"/>
        <v>0</v>
      </c>
      <c r="Y258" s="19">
        <f t="shared" si="270"/>
        <v>0</v>
      </c>
      <c r="Z258" s="19">
        <f t="shared" si="271"/>
        <v>0</v>
      </c>
      <c r="AA258" s="19">
        <f t="shared" si="272"/>
        <v>0</v>
      </c>
      <c r="AB258" s="19">
        <f t="shared" si="273"/>
        <v>0</v>
      </c>
      <c r="AC258" s="19">
        <f t="shared" si="274"/>
        <v>0</v>
      </c>
      <c r="AD258" s="19">
        <f t="shared" si="275"/>
        <v>0</v>
      </c>
      <c r="AE258" s="19">
        <f t="shared" si="276"/>
        <v>0</v>
      </c>
      <c r="AF258" s="19">
        <f t="shared" si="277"/>
        <v>0</v>
      </c>
      <c r="AG258" s="19">
        <f t="shared" si="278"/>
        <v>0</v>
      </c>
    </row>
    <row r="259" spans="1:33" outlineLevel="2">
      <c r="A259" s="21" t="s">
        <v>19</v>
      </c>
      <c r="B259" s="21">
        <v>42</v>
      </c>
      <c r="C259" s="21">
        <v>230.46</v>
      </c>
      <c r="D259" s="22">
        <v>29.66</v>
      </c>
      <c r="E259">
        <v>15.66</v>
      </c>
      <c r="F259">
        <v>13.96</v>
      </c>
      <c r="G259">
        <v>3.06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S259" s="19">
        <f t="shared" si="264"/>
        <v>1.5202950082129973E-2</v>
      </c>
      <c r="T259" s="19">
        <f t="shared" si="265"/>
        <v>9.2027204805520384E-3</v>
      </c>
      <c r="U259" s="19">
        <f t="shared" si="266"/>
        <v>2.1153586383898422E-2</v>
      </c>
      <c r="V259" s="19">
        <f t="shared" si="267"/>
        <v>4.1480953229928098E-2</v>
      </c>
      <c r="W259" s="19">
        <f t="shared" si="268"/>
        <v>3.7955842222773511E-2</v>
      </c>
      <c r="X259" s="19">
        <f t="shared" si="269"/>
        <v>0</v>
      </c>
      <c r="Y259" s="19">
        <f t="shared" si="270"/>
        <v>0</v>
      </c>
      <c r="Z259" s="19">
        <f t="shared" si="271"/>
        <v>0</v>
      </c>
      <c r="AA259" s="19">
        <f t="shared" si="272"/>
        <v>0</v>
      </c>
      <c r="AB259" s="19">
        <f t="shared" si="273"/>
        <v>0</v>
      </c>
      <c r="AC259" s="19">
        <f t="shared" si="274"/>
        <v>0</v>
      </c>
      <c r="AD259" s="19">
        <f t="shared" si="275"/>
        <v>0</v>
      </c>
      <c r="AE259" s="19">
        <f t="shared" si="276"/>
        <v>0</v>
      </c>
      <c r="AF259" s="19">
        <f t="shared" si="277"/>
        <v>0</v>
      </c>
      <c r="AG259" s="19">
        <f t="shared" si="278"/>
        <v>0</v>
      </c>
    </row>
    <row r="260" spans="1:33" outlineLevel="2">
      <c r="A260" s="21" t="s">
        <v>19</v>
      </c>
      <c r="B260" s="21">
        <v>44</v>
      </c>
      <c r="C260" s="21">
        <v>2102.08</v>
      </c>
      <c r="D260" s="22">
        <v>177.3</v>
      </c>
      <c r="E260">
        <v>44.88</v>
      </c>
      <c r="F260">
        <v>15.68</v>
      </c>
      <c r="G260">
        <v>0.76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S260" s="19">
        <f t="shared" si="264"/>
        <v>0.1386696923919282</v>
      </c>
      <c r="T260" s="19">
        <f t="shared" si="265"/>
        <v>5.5011542184823889E-2</v>
      </c>
      <c r="U260" s="19">
        <f t="shared" si="266"/>
        <v>6.0624071322436857E-2</v>
      </c>
      <c r="V260" s="19">
        <f t="shared" si="267"/>
        <v>4.6591787008973679E-2</v>
      </c>
      <c r="W260" s="19">
        <f t="shared" si="268"/>
        <v>9.4269412056561652E-3</v>
      </c>
      <c r="X260" s="19">
        <f t="shared" si="269"/>
        <v>0</v>
      </c>
      <c r="Y260" s="19">
        <f t="shared" si="270"/>
        <v>0</v>
      </c>
      <c r="Z260" s="19">
        <f t="shared" si="271"/>
        <v>0</v>
      </c>
      <c r="AA260" s="19">
        <f t="shared" si="272"/>
        <v>0</v>
      </c>
      <c r="AB260" s="19">
        <f t="shared" si="273"/>
        <v>0</v>
      </c>
      <c r="AC260" s="19">
        <f t="shared" si="274"/>
        <v>0</v>
      </c>
      <c r="AD260" s="19">
        <f t="shared" si="275"/>
        <v>0</v>
      </c>
      <c r="AE260" s="19">
        <f t="shared" si="276"/>
        <v>0</v>
      </c>
      <c r="AF260" s="19">
        <f t="shared" si="277"/>
        <v>0</v>
      </c>
      <c r="AG260" s="19">
        <f t="shared" si="278"/>
        <v>0</v>
      </c>
    </row>
    <row r="261" spans="1:33" outlineLevel="2">
      <c r="A261" s="21" t="s">
        <v>19</v>
      </c>
      <c r="B261" s="21">
        <v>45</v>
      </c>
      <c r="C261" s="21">
        <v>10.3</v>
      </c>
      <c r="D261" s="22">
        <v>1.44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S261" s="19">
        <f t="shared" si="264"/>
        <v>6.7946882689377212E-4</v>
      </c>
      <c r="T261" s="19">
        <f t="shared" si="265"/>
        <v>4.4679425124730061E-4</v>
      </c>
      <c r="U261" s="19">
        <f t="shared" si="266"/>
        <v>0</v>
      </c>
      <c r="V261" s="19">
        <f t="shared" si="267"/>
        <v>0</v>
      </c>
      <c r="W261" s="19">
        <f t="shared" si="268"/>
        <v>0</v>
      </c>
      <c r="X261" s="19">
        <f t="shared" si="269"/>
        <v>0</v>
      </c>
      <c r="Y261" s="19">
        <f t="shared" si="270"/>
        <v>0</v>
      </c>
      <c r="Z261" s="19">
        <f t="shared" si="271"/>
        <v>0</v>
      </c>
      <c r="AA261" s="19">
        <f t="shared" si="272"/>
        <v>0</v>
      </c>
      <c r="AB261" s="19">
        <f t="shared" si="273"/>
        <v>0</v>
      </c>
      <c r="AC261" s="19">
        <f t="shared" si="274"/>
        <v>0</v>
      </c>
      <c r="AD261" s="19">
        <f t="shared" si="275"/>
        <v>0</v>
      </c>
      <c r="AE261" s="19">
        <f t="shared" si="276"/>
        <v>0</v>
      </c>
      <c r="AF261" s="19">
        <f t="shared" si="277"/>
        <v>0</v>
      </c>
      <c r="AG261" s="19">
        <f t="shared" si="278"/>
        <v>0</v>
      </c>
    </row>
    <row r="262" spans="1:33" outlineLevel="2">
      <c r="A262" s="21" t="s">
        <v>19</v>
      </c>
      <c r="B262" s="21">
        <v>46</v>
      </c>
      <c r="C262" s="21">
        <v>193.8</v>
      </c>
      <c r="D262" s="22">
        <v>18.920000000000002</v>
      </c>
      <c r="E262">
        <v>5.68</v>
      </c>
      <c r="F262">
        <v>1.6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S262" s="19">
        <f t="shared" si="264"/>
        <v>1.2784568801166313E-2</v>
      </c>
      <c r="T262" s="19">
        <f t="shared" si="265"/>
        <v>5.870380023332589E-3</v>
      </c>
      <c r="U262" s="19">
        <f t="shared" si="266"/>
        <v>7.6725651762798866E-3</v>
      </c>
      <c r="V262" s="19">
        <f t="shared" si="267"/>
        <v>4.7542639805075188E-3</v>
      </c>
      <c r="W262" s="19">
        <f t="shared" si="268"/>
        <v>0</v>
      </c>
      <c r="X262" s="19">
        <f t="shared" si="269"/>
        <v>0</v>
      </c>
      <c r="Y262" s="19">
        <f t="shared" si="270"/>
        <v>0</v>
      </c>
      <c r="Z262" s="19">
        <f t="shared" si="271"/>
        <v>0</v>
      </c>
      <c r="AA262" s="19">
        <f t="shared" si="272"/>
        <v>0</v>
      </c>
      <c r="AB262" s="19">
        <f t="shared" si="273"/>
        <v>0</v>
      </c>
      <c r="AC262" s="19">
        <f t="shared" si="274"/>
        <v>0</v>
      </c>
      <c r="AD262" s="19">
        <f t="shared" si="275"/>
        <v>0</v>
      </c>
      <c r="AE262" s="19">
        <f t="shared" si="276"/>
        <v>0</v>
      </c>
      <c r="AF262" s="19">
        <f t="shared" si="277"/>
        <v>0</v>
      </c>
      <c r="AG262" s="19">
        <f t="shared" si="278"/>
        <v>0</v>
      </c>
    </row>
    <row r="263" spans="1:33" outlineLevel="2">
      <c r="A263" t="s">
        <v>19</v>
      </c>
      <c r="B263">
        <v>60</v>
      </c>
      <c r="C263">
        <v>33.36</v>
      </c>
      <c r="D263">
        <v>10.98</v>
      </c>
      <c r="E263">
        <v>4.42</v>
      </c>
      <c r="F263">
        <v>1.96</v>
      </c>
      <c r="G263">
        <v>0.6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S263" s="19">
        <f t="shared" si="264"/>
        <v>2.2006873849685668E-3</v>
      </c>
      <c r="T263" s="19">
        <f t="shared" si="265"/>
        <v>3.4068061657606674E-3</v>
      </c>
      <c r="U263" s="19">
        <f t="shared" si="266"/>
        <v>5.9705524787248415E-3</v>
      </c>
      <c r="V263" s="19">
        <f t="shared" si="267"/>
        <v>5.8239733761217098E-3</v>
      </c>
      <c r="W263" s="19">
        <f t="shared" si="268"/>
        <v>7.4423220044653937E-3</v>
      </c>
      <c r="X263" s="19">
        <f t="shared" si="269"/>
        <v>0</v>
      </c>
      <c r="Y263" s="19">
        <f t="shared" si="270"/>
        <v>0</v>
      </c>
      <c r="Z263" s="19">
        <f t="shared" si="271"/>
        <v>0</v>
      </c>
      <c r="AA263" s="19">
        <f t="shared" si="272"/>
        <v>0</v>
      </c>
      <c r="AB263" s="19">
        <f t="shared" si="273"/>
        <v>0</v>
      </c>
      <c r="AC263" s="19">
        <f t="shared" si="274"/>
        <v>0</v>
      </c>
      <c r="AD263" s="19">
        <f t="shared" si="275"/>
        <v>0</v>
      </c>
      <c r="AE263" s="19">
        <f t="shared" si="276"/>
        <v>0</v>
      </c>
      <c r="AF263" s="19">
        <f t="shared" si="277"/>
        <v>0</v>
      </c>
      <c r="AG263" s="19">
        <f t="shared" si="278"/>
        <v>0</v>
      </c>
    </row>
    <row r="264" spans="1:33" outlineLevel="2">
      <c r="A264" s="21" t="s">
        <v>19</v>
      </c>
      <c r="B264" s="21">
        <v>61</v>
      </c>
      <c r="C264" s="21">
        <v>38.479999999999997</v>
      </c>
      <c r="D264" s="22">
        <v>20.64</v>
      </c>
      <c r="E264">
        <v>8.94</v>
      </c>
      <c r="F264">
        <v>7.02</v>
      </c>
      <c r="G264">
        <v>4.5199999999999996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S264" s="19">
        <f t="shared" si="264"/>
        <v>2.5384427629973152E-3</v>
      </c>
      <c r="T264" s="19">
        <f t="shared" si="265"/>
        <v>6.4040509345446419E-3</v>
      </c>
      <c r="U264" s="19">
        <f t="shared" si="266"/>
        <v>1.2076185330271511E-2</v>
      </c>
      <c r="V264" s="19">
        <f t="shared" si="267"/>
        <v>2.0859333214476736E-2</v>
      </c>
      <c r="W264" s="19">
        <f t="shared" si="268"/>
        <v>5.60654924336393E-2</v>
      </c>
      <c r="X264" s="19">
        <f t="shared" si="269"/>
        <v>0</v>
      </c>
      <c r="Y264" s="19">
        <f t="shared" si="270"/>
        <v>0</v>
      </c>
      <c r="Z264" s="19">
        <f t="shared" si="271"/>
        <v>0</v>
      </c>
      <c r="AA264" s="19">
        <f t="shared" si="272"/>
        <v>0</v>
      </c>
      <c r="AB264" s="19">
        <f t="shared" si="273"/>
        <v>0</v>
      </c>
      <c r="AC264" s="19">
        <f t="shared" si="274"/>
        <v>0</v>
      </c>
      <c r="AD264" s="19">
        <f t="shared" si="275"/>
        <v>0</v>
      </c>
      <c r="AE264" s="19">
        <f t="shared" si="276"/>
        <v>0</v>
      </c>
      <c r="AF264" s="19">
        <f t="shared" si="277"/>
        <v>0</v>
      </c>
      <c r="AG264" s="19">
        <f t="shared" si="278"/>
        <v>0</v>
      </c>
    </row>
    <row r="265" spans="1:33" outlineLevel="1">
      <c r="A265" s="23" t="s">
        <v>73</v>
      </c>
      <c r="C265" s="21">
        <f t="shared" ref="C265:Q265" si="279">SUBTOTAL(9,C237:C264)</f>
        <v>15158.899999999998</v>
      </c>
      <c r="D265" s="22">
        <f t="shared" si="279"/>
        <v>3222.96</v>
      </c>
      <c r="E265">
        <f t="shared" si="279"/>
        <v>740.3</v>
      </c>
      <c r="F265">
        <f t="shared" si="279"/>
        <v>336.53999999999996</v>
      </c>
      <c r="G265">
        <f t="shared" si="279"/>
        <v>80.61999999999999</v>
      </c>
      <c r="H265">
        <f t="shared" si="279"/>
        <v>715.87999999999988</v>
      </c>
      <c r="I265">
        <f t="shared" si="279"/>
        <v>1651.36</v>
      </c>
      <c r="J265">
        <f t="shared" si="279"/>
        <v>1309.76</v>
      </c>
      <c r="K265">
        <f t="shared" si="279"/>
        <v>203.64</v>
      </c>
      <c r="L265">
        <f t="shared" si="279"/>
        <v>112.04</v>
      </c>
      <c r="M265">
        <f t="shared" si="279"/>
        <v>240.79999999999998</v>
      </c>
      <c r="N265">
        <f t="shared" si="279"/>
        <v>812.56</v>
      </c>
      <c r="O265">
        <f t="shared" si="279"/>
        <v>12502.439999999999</v>
      </c>
      <c r="P265">
        <f t="shared" si="279"/>
        <v>34794.680000000008</v>
      </c>
      <c r="Q265">
        <f t="shared" si="279"/>
        <v>25738.48</v>
      </c>
    </row>
    <row r="266" spans="1:33" outlineLevel="2">
      <c r="A266" s="21" t="s">
        <v>20</v>
      </c>
      <c r="B266" s="21">
        <v>213</v>
      </c>
      <c r="C266" s="21">
        <v>383.44</v>
      </c>
      <c r="D266" s="22">
        <v>1.52</v>
      </c>
      <c r="E266">
        <v>0</v>
      </c>
      <c r="F266">
        <v>0</v>
      </c>
      <c r="G266">
        <v>0</v>
      </c>
      <c r="H266">
        <v>38.200000000000003</v>
      </c>
      <c r="I266">
        <v>133.96</v>
      </c>
      <c r="J266">
        <v>340.32</v>
      </c>
      <c r="K266">
        <v>0</v>
      </c>
      <c r="L266">
        <v>0</v>
      </c>
      <c r="M266">
        <v>0</v>
      </c>
      <c r="N266">
        <v>0</v>
      </c>
      <c r="O266">
        <v>443.56</v>
      </c>
      <c r="P266">
        <v>271.76</v>
      </c>
      <c r="Q266">
        <v>0</v>
      </c>
      <c r="R266" s="19"/>
      <c r="S266" s="19">
        <f>IF(C$279&gt;0, C266/C$279, 0)</f>
        <v>2.6903878834314932E-2</v>
      </c>
      <c r="T266" s="19">
        <f t="shared" ref="T266:AG278" si="280">IF(D$279&gt;0, D266/D$279, 0)</f>
        <v>0.1181959564541213</v>
      </c>
      <c r="U266" s="19">
        <f t="shared" si="280"/>
        <v>0</v>
      </c>
      <c r="V266" s="19">
        <f t="shared" si="280"/>
        <v>0</v>
      </c>
      <c r="W266" s="19">
        <f t="shared" si="280"/>
        <v>0</v>
      </c>
      <c r="X266" s="19">
        <f t="shared" si="280"/>
        <v>5.6515563972067695E-2</v>
      </c>
      <c r="Y266" s="19">
        <f t="shared" si="280"/>
        <v>5.8379527943381103E-2</v>
      </c>
      <c r="Z266" s="19">
        <f t="shared" si="280"/>
        <v>6.0152714932126698E-2</v>
      </c>
      <c r="AA266" s="19">
        <f t="shared" si="280"/>
        <v>0</v>
      </c>
      <c r="AB266" s="19">
        <f t="shared" si="280"/>
        <v>0</v>
      </c>
      <c r="AC266" s="19">
        <f t="shared" si="280"/>
        <v>0</v>
      </c>
      <c r="AD266" s="19">
        <f t="shared" si="280"/>
        <v>0</v>
      </c>
      <c r="AE266" s="19">
        <f t="shared" si="280"/>
        <v>0.38187891728080448</v>
      </c>
      <c r="AF266" s="19">
        <f t="shared" si="280"/>
        <v>0.53601577909270215</v>
      </c>
      <c r="AG266" s="19">
        <f t="shared" si="280"/>
        <v>0</v>
      </c>
    </row>
    <row r="267" spans="1:33" outlineLevel="2">
      <c r="A267" s="21" t="s">
        <v>20</v>
      </c>
      <c r="B267" s="21">
        <v>219</v>
      </c>
      <c r="C267" s="21">
        <v>76.08</v>
      </c>
      <c r="D267" s="22">
        <v>0</v>
      </c>
      <c r="E267">
        <v>0</v>
      </c>
      <c r="F267">
        <v>0</v>
      </c>
      <c r="G267">
        <v>0</v>
      </c>
      <c r="H267">
        <v>193.76</v>
      </c>
      <c r="I267">
        <v>532.91999999999996</v>
      </c>
      <c r="J267">
        <v>70.959999999999994</v>
      </c>
      <c r="K267">
        <v>0</v>
      </c>
      <c r="L267">
        <v>0</v>
      </c>
      <c r="M267">
        <v>0</v>
      </c>
      <c r="N267">
        <v>9.36</v>
      </c>
      <c r="O267">
        <v>717.96</v>
      </c>
      <c r="P267">
        <v>235.24</v>
      </c>
      <c r="Q267">
        <v>0</v>
      </c>
      <c r="S267" s="19">
        <f t="shared" ref="S267:S278" si="281">IF(C$279&gt;0, C267/C$279, 0)</f>
        <v>5.3381157461784897E-3</v>
      </c>
      <c r="T267" s="19">
        <f t="shared" si="280"/>
        <v>0</v>
      </c>
      <c r="U267" s="19">
        <f t="shared" si="280"/>
        <v>0</v>
      </c>
      <c r="V267" s="19">
        <f t="shared" si="280"/>
        <v>0</v>
      </c>
      <c r="W267" s="19">
        <f t="shared" si="280"/>
        <v>0</v>
      </c>
      <c r="X267" s="19">
        <f t="shared" si="280"/>
        <v>0.28666114333057163</v>
      </c>
      <c r="Y267" s="19">
        <f t="shared" si="280"/>
        <v>0.2322455810061709</v>
      </c>
      <c r="Z267" s="19">
        <f t="shared" si="280"/>
        <v>1.2542420814479639E-2</v>
      </c>
      <c r="AA267" s="19">
        <f t="shared" si="280"/>
        <v>0</v>
      </c>
      <c r="AB267" s="19">
        <f t="shared" si="280"/>
        <v>0</v>
      </c>
      <c r="AC267" s="19">
        <f t="shared" si="280"/>
        <v>0</v>
      </c>
      <c r="AD267" s="19">
        <f t="shared" si="280"/>
        <v>1</v>
      </c>
      <c r="AE267" s="19">
        <f t="shared" si="280"/>
        <v>0.61812108271919552</v>
      </c>
      <c r="AF267" s="19">
        <f t="shared" si="280"/>
        <v>0.46398422090729785</v>
      </c>
      <c r="AG267" s="19">
        <f t="shared" si="280"/>
        <v>0</v>
      </c>
    </row>
    <row r="268" spans="1:33" outlineLevel="2">
      <c r="A268" s="21" t="s">
        <v>20</v>
      </c>
      <c r="B268" s="21">
        <v>220</v>
      </c>
      <c r="C268" s="21">
        <v>89.32</v>
      </c>
      <c r="D268" s="22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S268" s="19">
        <f t="shared" si="281"/>
        <v>6.2670938281895721E-3</v>
      </c>
      <c r="T268" s="19">
        <f t="shared" si="280"/>
        <v>0</v>
      </c>
      <c r="U268" s="19">
        <f t="shared" si="280"/>
        <v>0</v>
      </c>
      <c r="V268" s="19">
        <f t="shared" si="280"/>
        <v>0</v>
      </c>
      <c r="W268" s="19">
        <f t="shared" si="280"/>
        <v>0</v>
      </c>
      <c r="X268" s="19">
        <f t="shared" si="280"/>
        <v>0</v>
      </c>
      <c r="Y268" s="19">
        <f t="shared" si="280"/>
        <v>0</v>
      </c>
      <c r="Z268" s="19">
        <f t="shared" si="280"/>
        <v>0</v>
      </c>
      <c r="AA268" s="19">
        <f t="shared" si="280"/>
        <v>0</v>
      </c>
      <c r="AB268" s="19">
        <f t="shared" si="280"/>
        <v>0</v>
      </c>
      <c r="AC268" s="19">
        <f t="shared" si="280"/>
        <v>0</v>
      </c>
      <c r="AD268" s="19">
        <f t="shared" si="280"/>
        <v>0</v>
      </c>
      <c r="AE268" s="19">
        <f t="shared" si="280"/>
        <v>0</v>
      </c>
      <c r="AF268" s="19">
        <f t="shared" si="280"/>
        <v>0</v>
      </c>
      <c r="AG268" s="19">
        <f t="shared" si="280"/>
        <v>0</v>
      </c>
    </row>
    <row r="269" spans="1:33" outlineLevel="2">
      <c r="A269" s="21" t="s">
        <v>20</v>
      </c>
      <c r="B269" s="21">
        <v>221</v>
      </c>
      <c r="C269" s="21">
        <v>3500.7</v>
      </c>
      <c r="D269" s="22">
        <v>0.2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S269" s="19">
        <f t="shared" si="281"/>
        <v>0.24562489212206937</v>
      </c>
      <c r="T269" s="19">
        <f t="shared" si="280"/>
        <v>1.5552099533437013E-2</v>
      </c>
      <c r="U269" s="19">
        <f t="shared" si="280"/>
        <v>0</v>
      </c>
      <c r="V269" s="19">
        <f t="shared" si="280"/>
        <v>0</v>
      </c>
      <c r="W269" s="19">
        <f t="shared" si="280"/>
        <v>0</v>
      </c>
      <c r="X269" s="19">
        <f t="shared" si="280"/>
        <v>0</v>
      </c>
      <c r="Y269" s="19">
        <f t="shared" si="280"/>
        <v>0</v>
      </c>
      <c r="Z269" s="19">
        <f t="shared" si="280"/>
        <v>0</v>
      </c>
      <c r="AA269" s="19">
        <f t="shared" si="280"/>
        <v>0</v>
      </c>
      <c r="AB269" s="19">
        <f t="shared" si="280"/>
        <v>0</v>
      </c>
      <c r="AC269" s="19">
        <f t="shared" si="280"/>
        <v>0</v>
      </c>
      <c r="AD269" s="19">
        <f t="shared" si="280"/>
        <v>0</v>
      </c>
      <c r="AE269" s="19">
        <f t="shared" si="280"/>
        <v>0</v>
      </c>
      <c r="AF269" s="19">
        <f t="shared" si="280"/>
        <v>0</v>
      </c>
      <c r="AG269" s="19">
        <f t="shared" si="280"/>
        <v>0</v>
      </c>
    </row>
    <row r="270" spans="1:33" outlineLevel="2">
      <c r="A270" s="21" t="s">
        <v>20</v>
      </c>
      <c r="B270" s="21">
        <v>222</v>
      </c>
      <c r="C270" s="21">
        <v>2976.24</v>
      </c>
      <c r="D270" s="22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S270" s="19">
        <f t="shared" si="281"/>
        <v>0.20882641441122854</v>
      </c>
      <c r="T270" s="19">
        <f t="shared" si="280"/>
        <v>0</v>
      </c>
      <c r="U270" s="19">
        <f t="shared" si="280"/>
        <v>0</v>
      </c>
      <c r="V270" s="19">
        <f t="shared" si="280"/>
        <v>0</v>
      </c>
      <c r="W270" s="19">
        <f t="shared" si="280"/>
        <v>0</v>
      </c>
      <c r="X270" s="19">
        <f t="shared" si="280"/>
        <v>0</v>
      </c>
      <c r="Y270" s="19">
        <f t="shared" si="280"/>
        <v>0</v>
      </c>
      <c r="Z270" s="19">
        <f t="shared" si="280"/>
        <v>0</v>
      </c>
      <c r="AA270" s="19">
        <f t="shared" si="280"/>
        <v>0</v>
      </c>
      <c r="AB270" s="19">
        <f t="shared" si="280"/>
        <v>0</v>
      </c>
      <c r="AC270" s="19">
        <f t="shared" si="280"/>
        <v>0</v>
      </c>
      <c r="AD270" s="19">
        <f t="shared" si="280"/>
        <v>0</v>
      </c>
      <c r="AE270" s="19">
        <f t="shared" si="280"/>
        <v>0</v>
      </c>
      <c r="AF270" s="19">
        <f t="shared" si="280"/>
        <v>0</v>
      </c>
      <c r="AG270" s="19">
        <f t="shared" si="280"/>
        <v>0</v>
      </c>
    </row>
    <row r="271" spans="1:33" outlineLevel="2">
      <c r="A271" s="21" t="s">
        <v>20</v>
      </c>
      <c r="B271" s="21">
        <v>223</v>
      </c>
      <c r="C271" s="21">
        <v>238.12</v>
      </c>
      <c r="D271" s="22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S271" s="19">
        <f t="shared" si="281"/>
        <v>1.6707572574658543E-2</v>
      </c>
      <c r="T271" s="19">
        <f t="shared" si="280"/>
        <v>0</v>
      </c>
      <c r="U271" s="19">
        <f t="shared" si="280"/>
        <v>0</v>
      </c>
      <c r="V271" s="19">
        <f t="shared" si="280"/>
        <v>0</v>
      </c>
      <c r="W271" s="19">
        <f t="shared" si="280"/>
        <v>0</v>
      </c>
      <c r="X271" s="19">
        <f t="shared" si="280"/>
        <v>0</v>
      </c>
      <c r="Y271" s="19">
        <f t="shared" si="280"/>
        <v>0</v>
      </c>
      <c r="Z271" s="19">
        <f t="shared" si="280"/>
        <v>0</v>
      </c>
      <c r="AA271" s="19">
        <f t="shared" si="280"/>
        <v>0</v>
      </c>
      <c r="AB271" s="19">
        <f t="shared" si="280"/>
        <v>0</v>
      </c>
      <c r="AC271" s="19">
        <f t="shared" si="280"/>
        <v>0</v>
      </c>
      <c r="AD271" s="19">
        <f t="shared" si="280"/>
        <v>0</v>
      </c>
      <c r="AE271" s="19">
        <f t="shared" si="280"/>
        <v>0</v>
      </c>
      <c r="AF271" s="19">
        <f t="shared" si="280"/>
        <v>0</v>
      </c>
      <c r="AG271" s="19">
        <f t="shared" si="280"/>
        <v>0</v>
      </c>
    </row>
    <row r="272" spans="1:33" outlineLevel="2">
      <c r="A272" s="21" t="s">
        <v>20</v>
      </c>
      <c r="B272" s="21">
        <v>224</v>
      </c>
      <c r="C272" s="21">
        <v>98.92</v>
      </c>
      <c r="D272" s="2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S272" s="19">
        <f t="shared" si="281"/>
        <v>6.9406731021553125E-3</v>
      </c>
      <c r="T272" s="19">
        <f t="shared" si="280"/>
        <v>0</v>
      </c>
      <c r="U272" s="19">
        <f t="shared" si="280"/>
        <v>0</v>
      </c>
      <c r="V272" s="19">
        <f t="shared" si="280"/>
        <v>0</v>
      </c>
      <c r="W272" s="19">
        <f t="shared" si="280"/>
        <v>0</v>
      </c>
      <c r="X272" s="19">
        <f t="shared" si="280"/>
        <v>0</v>
      </c>
      <c r="Y272" s="19">
        <f t="shared" si="280"/>
        <v>0</v>
      </c>
      <c r="Z272" s="19">
        <f t="shared" si="280"/>
        <v>0</v>
      </c>
      <c r="AA272" s="19">
        <f t="shared" si="280"/>
        <v>0</v>
      </c>
      <c r="AB272" s="19">
        <f t="shared" si="280"/>
        <v>0</v>
      </c>
      <c r="AC272" s="19">
        <f t="shared" si="280"/>
        <v>0</v>
      </c>
      <c r="AD272" s="19">
        <f t="shared" si="280"/>
        <v>0</v>
      </c>
      <c r="AE272" s="19">
        <f t="shared" si="280"/>
        <v>0</v>
      </c>
      <c r="AF272" s="19">
        <f t="shared" si="280"/>
        <v>0</v>
      </c>
      <c r="AG272" s="19">
        <f t="shared" si="280"/>
        <v>0</v>
      </c>
    </row>
    <row r="273" spans="1:33" outlineLevel="2">
      <c r="A273" s="21" t="s">
        <v>20</v>
      </c>
      <c r="B273" s="21">
        <v>225</v>
      </c>
      <c r="C273" s="21">
        <v>353.66</v>
      </c>
      <c r="D273" s="22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S273" s="19">
        <f t="shared" si="281"/>
        <v>2.4814379794867045E-2</v>
      </c>
      <c r="T273" s="19">
        <f t="shared" si="280"/>
        <v>0</v>
      </c>
      <c r="U273" s="19">
        <f t="shared" si="280"/>
        <v>0</v>
      </c>
      <c r="V273" s="19">
        <f t="shared" si="280"/>
        <v>0</v>
      </c>
      <c r="W273" s="19">
        <f t="shared" si="280"/>
        <v>0</v>
      </c>
      <c r="X273" s="19">
        <f t="shared" si="280"/>
        <v>0</v>
      </c>
      <c r="Y273" s="19">
        <f t="shared" si="280"/>
        <v>0</v>
      </c>
      <c r="Z273" s="19">
        <f t="shared" si="280"/>
        <v>0</v>
      </c>
      <c r="AA273" s="19">
        <f t="shared" si="280"/>
        <v>0</v>
      </c>
      <c r="AB273" s="19">
        <f t="shared" si="280"/>
        <v>0</v>
      </c>
      <c r="AC273" s="19">
        <f t="shared" si="280"/>
        <v>0</v>
      </c>
      <c r="AD273" s="19">
        <f t="shared" si="280"/>
        <v>0</v>
      </c>
      <c r="AE273" s="19">
        <f t="shared" si="280"/>
        <v>0</v>
      </c>
      <c r="AF273" s="19">
        <f t="shared" si="280"/>
        <v>0</v>
      </c>
      <c r="AG273" s="19">
        <f t="shared" si="280"/>
        <v>0</v>
      </c>
    </row>
    <row r="274" spans="1:33" outlineLevel="2">
      <c r="A274" s="21" t="s">
        <v>20</v>
      </c>
      <c r="B274" s="21">
        <v>226</v>
      </c>
      <c r="C274" s="21">
        <v>4468.3999999999996</v>
      </c>
      <c r="D274" s="22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S274" s="19">
        <f t="shared" si="281"/>
        <v>0.31352308622797004</v>
      </c>
      <c r="T274" s="19">
        <f t="shared" si="280"/>
        <v>0</v>
      </c>
      <c r="U274" s="19">
        <f t="shared" si="280"/>
        <v>0</v>
      </c>
      <c r="V274" s="19">
        <f t="shared" si="280"/>
        <v>0</v>
      </c>
      <c r="W274" s="19">
        <f t="shared" si="280"/>
        <v>0</v>
      </c>
      <c r="X274" s="19">
        <f t="shared" si="280"/>
        <v>0</v>
      </c>
      <c r="Y274" s="19">
        <f t="shared" si="280"/>
        <v>0</v>
      </c>
      <c r="Z274" s="19">
        <f t="shared" si="280"/>
        <v>0</v>
      </c>
      <c r="AA274" s="19">
        <f t="shared" si="280"/>
        <v>0</v>
      </c>
      <c r="AB274" s="19">
        <f t="shared" si="280"/>
        <v>0</v>
      </c>
      <c r="AC274" s="19">
        <f t="shared" si="280"/>
        <v>0</v>
      </c>
      <c r="AD274" s="19">
        <f t="shared" si="280"/>
        <v>0</v>
      </c>
      <c r="AE274" s="19">
        <f t="shared" si="280"/>
        <v>0</v>
      </c>
      <c r="AF274" s="19">
        <f t="shared" si="280"/>
        <v>0</v>
      </c>
      <c r="AG274" s="19">
        <f t="shared" si="280"/>
        <v>0</v>
      </c>
    </row>
    <row r="275" spans="1:33" outlineLevel="2">
      <c r="A275" s="21" t="s">
        <v>20</v>
      </c>
      <c r="B275" s="21">
        <v>227</v>
      </c>
      <c r="C275" s="21">
        <v>547.62</v>
      </c>
      <c r="D275" s="22">
        <v>10.06</v>
      </c>
      <c r="E275">
        <v>0</v>
      </c>
      <c r="F275">
        <v>0</v>
      </c>
      <c r="G275">
        <v>0</v>
      </c>
      <c r="H275">
        <v>184.92</v>
      </c>
      <c r="I275">
        <v>607.24</v>
      </c>
      <c r="J275">
        <v>595.88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S275" s="19">
        <f t="shared" si="281"/>
        <v>3.842348770928318E-2</v>
      </c>
      <c r="T275" s="19">
        <f t="shared" si="280"/>
        <v>0.78227060653188174</v>
      </c>
      <c r="U275" s="19">
        <f t="shared" si="280"/>
        <v>0</v>
      </c>
      <c r="V275" s="19">
        <f t="shared" si="280"/>
        <v>0</v>
      </c>
      <c r="W275" s="19">
        <f t="shared" si="280"/>
        <v>0</v>
      </c>
      <c r="X275" s="19">
        <f t="shared" si="280"/>
        <v>0.2735826725056219</v>
      </c>
      <c r="Y275" s="19">
        <f t="shared" si="280"/>
        <v>0.26463410382456509</v>
      </c>
      <c r="Z275" s="19">
        <f t="shared" si="280"/>
        <v>0.10532381221719458</v>
      </c>
      <c r="AA275" s="19">
        <f t="shared" si="280"/>
        <v>0</v>
      </c>
      <c r="AB275" s="19">
        <f t="shared" si="280"/>
        <v>0</v>
      </c>
      <c r="AC275" s="19">
        <f t="shared" si="280"/>
        <v>0</v>
      </c>
      <c r="AD275" s="19">
        <f t="shared" si="280"/>
        <v>0</v>
      </c>
      <c r="AE275" s="19">
        <f t="shared" si="280"/>
        <v>0</v>
      </c>
      <c r="AF275" s="19">
        <f t="shared" si="280"/>
        <v>0</v>
      </c>
      <c r="AG275" s="19">
        <f t="shared" si="280"/>
        <v>0</v>
      </c>
    </row>
    <row r="276" spans="1:33" outlineLevel="2">
      <c r="A276" s="21" t="s">
        <v>20</v>
      </c>
      <c r="B276" s="21">
        <v>228</v>
      </c>
      <c r="C276" s="21">
        <v>1218.8399999999999</v>
      </c>
      <c r="D276" s="22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s="19">
        <f t="shared" si="281"/>
        <v>8.5519308570875266E-2</v>
      </c>
      <c r="T276" s="19">
        <f t="shared" si="280"/>
        <v>0</v>
      </c>
      <c r="U276" s="19">
        <f t="shared" si="280"/>
        <v>0</v>
      </c>
      <c r="V276" s="19">
        <f t="shared" si="280"/>
        <v>0</v>
      </c>
      <c r="W276" s="19">
        <f t="shared" si="280"/>
        <v>0</v>
      </c>
      <c r="X276" s="19">
        <f t="shared" si="280"/>
        <v>0</v>
      </c>
      <c r="Y276" s="19">
        <f t="shared" si="280"/>
        <v>0</v>
      </c>
      <c r="Z276" s="19">
        <f t="shared" si="280"/>
        <v>0</v>
      </c>
      <c r="AA276" s="19">
        <f t="shared" si="280"/>
        <v>0</v>
      </c>
      <c r="AB276" s="19">
        <f t="shared" si="280"/>
        <v>0</v>
      </c>
      <c r="AC276" s="19">
        <f t="shared" si="280"/>
        <v>0</v>
      </c>
      <c r="AD276" s="19">
        <f t="shared" si="280"/>
        <v>0</v>
      </c>
      <c r="AE276" s="19">
        <f t="shared" si="280"/>
        <v>0</v>
      </c>
      <c r="AF276" s="19">
        <f t="shared" si="280"/>
        <v>0</v>
      </c>
      <c r="AG276" s="19">
        <f t="shared" si="280"/>
        <v>0</v>
      </c>
    </row>
    <row r="277" spans="1:33" outlineLevel="2">
      <c r="A277" s="21" t="s">
        <v>20</v>
      </c>
      <c r="B277" s="21">
        <v>230</v>
      </c>
      <c r="C277" s="21">
        <v>15.12</v>
      </c>
      <c r="D277" s="22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s="19">
        <f t="shared" si="281"/>
        <v>1.0608873564960405E-3</v>
      </c>
      <c r="T277" s="19">
        <f t="shared" si="280"/>
        <v>0</v>
      </c>
      <c r="U277" s="19">
        <f t="shared" si="280"/>
        <v>0</v>
      </c>
      <c r="V277" s="19">
        <f t="shared" si="280"/>
        <v>0</v>
      </c>
      <c r="W277" s="19">
        <f t="shared" si="280"/>
        <v>0</v>
      </c>
      <c r="X277" s="19">
        <f t="shared" si="280"/>
        <v>0</v>
      </c>
      <c r="Y277" s="19">
        <f t="shared" si="280"/>
        <v>0</v>
      </c>
      <c r="Z277" s="19">
        <f t="shared" si="280"/>
        <v>0</v>
      </c>
      <c r="AA277" s="19">
        <f t="shared" si="280"/>
        <v>0</v>
      </c>
      <c r="AB277" s="19">
        <f t="shared" si="280"/>
        <v>0</v>
      </c>
      <c r="AC277" s="19">
        <f t="shared" si="280"/>
        <v>0</v>
      </c>
      <c r="AD277" s="19">
        <f t="shared" si="280"/>
        <v>0</v>
      </c>
      <c r="AE277" s="19">
        <f t="shared" si="280"/>
        <v>0</v>
      </c>
      <c r="AF277" s="19">
        <f t="shared" si="280"/>
        <v>0</v>
      </c>
      <c r="AG277" s="19">
        <f t="shared" si="280"/>
        <v>0</v>
      </c>
    </row>
    <row r="278" spans="1:33" outlineLevel="2">
      <c r="A278" s="21" t="s">
        <v>20</v>
      </c>
      <c r="B278" s="21">
        <v>234</v>
      </c>
      <c r="C278" s="21">
        <v>285.76</v>
      </c>
      <c r="D278" s="22">
        <v>1.08</v>
      </c>
      <c r="E278">
        <v>0</v>
      </c>
      <c r="F278">
        <v>0</v>
      </c>
      <c r="G278">
        <v>0</v>
      </c>
      <c r="H278">
        <v>259.04000000000002</v>
      </c>
      <c r="I278">
        <v>1020.52</v>
      </c>
      <c r="J278">
        <v>4650.4399999999996</v>
      </c>
      <c r="K278">
        <v>1962.48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s="19">
        <f t="shared" si="281"/>
        <v>2.0050209721713529E-2</v>
      </c>
      <c r="T278" s="19">
        <f t="shared" si="280"/>
        <v>8.3981337480559873E-2</v>
      </c>
      <c r="U278" s="19">
        <f t="shared" si="280"/>
        <v>0</v>
      </c>
      <c r="V278" s="19">
        <f t="shared" si="280"/>
        <v>0</v>
      </c>
      <c r="W278" s="19">
        <f t="shared" si="280"/>
        <v>0</v>
      </c>
      <c r="X278" s="19">
        <f t="shared" si="280"/>
        <v>0.38324062019173866</v>
      </c>
      <c r="Y278" s="19">
        <f t="shared" si="280"/>
        <v>0.44474078722588295</v>
      </c>
      <c r="Z278" s="19">
        <f t="shared" si="280"/>
        <v>0.82198105203619909</v>
      </c>
      <c r="AA278" s="19">
        <f t="shared" si="280"/>
        <v>1</v>
      </c>
      <c r="AB278" s="19">
        <f t="shared" si="280"/>
        <v>0</v>
      </c>
      <c r="AC278" s="19">
        <f t="shared" si="280"/>
        <v>0</v>
      </c>
      <c r="AD278" s="19">
        <f t="shared" si="280"/>
        <v>0</v>
      </c>
      <c r="AE278" s="19">
        <f t="shared" si="280"/>
        <v>0</v>
      </c>
      <c r="AF278" s="19">
        <f t="shared" si="280"/>
        <v>0</v>
      </c>
      <c r="AG278" s="19">
        <f t="shared" si="280"/>
        <v>0</v>
      </c>
    </row>
    <row r="279" spans="1:33" outlineLevel="1">
      <c r="A279" s="23" t="s">
        <v>74</v>
      </c>
      <c r="C279" s="21">
        <f t="shared" ref="C279:Q279" si="282">SUBTOTAL(9,C266:C278)</f>
        <v>14252.220000000001</v>
      </c>
      <c r="D279" s="22">
        <f t="shared" si="282"/>
        <v>12.860000000000001</v>
      </c>
      <c r="E279">
        <f t="shared" si="282"/>
        <v>0</v>
      </c>
      <c r="F279">
        <f t="shared" si="282"/>
        <v>0</v>
      </c>
      <c r="G279">
        <f t="shared" si="282"/>
        <v>0</v>
      </c>
      <c r="H279">
        <f t="shared" si="282"/>
        <v>675.92000000000007</v>
      </c>
      <c r="I279">
        <f t="shared" si="282"/>
        <v>2294.64</v>
      </c>
      <c r="J279">
        <f t="shared" si="282"/>
        <v>5657.5999999999995</v>
      </c>
      <c r="K279">
        <f t="shared" si="282"/>
        <v>1962.48</v>
      </c>
      <c r="L279">
        <f t="shared" si="282"/>
        <v>0</v>
      </c>
      <c r="M279">
        <f t="shared" si="282"/>
        <v>0</v>
      </c>
      <c r="N279">
        <f t="shared" si="282"/>
        <v>9.36</v>
      </c>
      <c r="O279">
        <f t="shared" si="282"/>
        <v>1161.52</v>
      </c>
      <c r="P279">
        <f t="shared" si="282"/>
        <v>507</v>
      </c>
      <c r="Q279">
        <f t="shared" si="282"/>
        <v>0</v>
      </c>
    </row>
    <row r="280" spans="1:33" outlineLevel="2">
      <c r="A280" t="s">
        <v>21</v>
      </c>
      <c r="B280">
        <v>228</v>
      </c>
      <c r="C280">
        <v>1065.4000000000001</v>
      </c>
      <c r="D280">
        <v>0.32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19"/>
      <c r="S280" s="19">
        <f>IF(C$296&gt;0, C280/C$296, 0)</f>
        <v>0.64525694356793772</v>
      </c>
      <c r="T280" s="19">
        <f t="shared" ref="T280:AG295" si="283">IF(D$296&gt;0, D280/D$296, 0)</f>
        <v>1.792889847088907E-3</v>
      </c>
      <c r="U280" s="19">
        <f t="shared" si="283"/>
        <v>0</v>
      </c>
      <c r="V280" s="19">
        <f t="shared" si="283"/>
        <v>0</v>
      </c>
      <c r="W280" s="19">
        <f t="shared" si="283"/>
        <v>0</v>
      </c>
      <c r="X280" s="19">
        <f t="shared" si="283"/>
        <v>0</v>
      </c>
      <c r="Y280" s="19">
        <f t="shared" si="283"/>
        <v>0</v>
      </c>
      <c r="Z280" s="19">
        <f t="shared" si="283"/>
        <v>0</v>
      </c>
      <c r="AA280" s="19">
        <f t="shared" si="283"/>
        <v>0</v>
      </c>
      <c r="AB280" s="19">
        <f t="shared" si="283"/>
        <v>0</v>
      </c>
      <c r="AC280" s="19">
        <f t="shared" si="283"/>
        <v>0</v>
      </c>
      <c r="AD280" s="19">
        <f t="shared" si="283"/>
        <v>0</v>
      </c>
      <c r="AE280" s="19">
        <f t="shared" si="283"/>
        <v>0</v>
      </c>
      <c r="AF280" s="19">
        <f t="shared" si="283"/>
        <v>0</v>
      </c>
      <c r="AG280" s="19">
        <f t="shared" si="283"/>
        <v>0</v>
      </c>
    </row>
    <row r="281" spans="1:33" outlineLevel="2">
      <c r="A281" s="21" t="s">
        <v>21</v>
      </c>
      <c r="B281" s="21">
        <v>229</v>
      </c>
      <c r="C281" s="21">
        <v>3.44</v>
      </c>
      <c r="D281" s="22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S281" s="19">
        <f t="shared" ref="S281:S295" si="284">IF(C$296&gt;0, C281/C$296, 0)</f>
        <v>2.0834277134162806E-3</v>
      </c>
      <c r="T281" s="19">
        <f t="shared" si="283"/>
        <v>0</v>
      </c>
      <c r="U281" s="19">
        <f t="shared" si="283"/>
        <v>0</v>
      </c>
      <c r="V281" s="19">
        <f t="shared" si="283"/>
        <v>0</v>
      </c>
      <c r="W281" s="19">
        <f t="shared" si="283"/>
        <v>0</v>
      </c>
      <c r="X281" s="19">
        <f t="shared" si="283"/>
        <v>0</v>
      </c>
      <c r="Y281" s="19">
        <f t="shared" si="283"/>
        <v>0</v>
      </c>
      <c r="Z281" s="19">
        <f t="shared" si="283"/>
        <v>0</v>
      </c>
      <c r="AA281" s="19">
        <f t="shared" si="283"/>
        <v>0</v>
      </c>
      <c r="AB281" s="19">
        <f t="shared" si="283"/>
        <v>0</v>
      </c>
      <c r="AC281" s="19">
        <f t="shared" si="283"/>
        <v>0</v>
      </c>
      <c r="AD281" s="19">
        <f t="shared" si="283"/>
        <v>0</v>
      </c>
      <c r="AE281" s="19">
        <f t="shared" si="283"/>
        <v>0</v>
      </c>
      <c r="AF281" s="19">
        <f t="shared" si="283"/>
        <v>0</v>
      </c>
      <c r="AG281" s="19">
        <f t="shared" si="283"/>
        <v>0</v>
      </c>
    </row>
    <row r="282" spans="1:33" outlineLevel="2">
      <c r="A282" s="21" t="s">
        <v>21</v>
      </c>
      <c r="B282" s="21">
        <v>230</v>
      </c>
      <c r="C282" s="21">
        <v>20.84</v>
      </c>
      <c r="D282" s="2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S282" s="19">
        <f t="shared" si="284"/>
        <v>1.2621695798719561E-2</v>
      </c>
      <c r="T282" s="19">
        <f t="shared" si="283"/>
        <v>0</v>
      </c>
      <c r="U282" s="19">
        <f t="shared" si="283"/>
        <v>0</v>
      </c>
      <c r="V282" s="19">
        <f t="shared" si="283"/>
        <v>0</v>
      </c>
      <c r="W282" s="19">
        <f t="shared" si="283"/>
        <v>0</v>
      </c>
      <c r="X282" s="19">
        <f t="shared" si="283"/>
        <v>0</v>
      </c>
      <c r="Y282" s="19">
        <f t="shared" si="283"/>
        <v>0</v>
      </c>
      <c r="Z282" s="19">
        <f t="shared" si="283"/>
        <v>0</v>
      </c>
      <c r="AA282" s="19">
        <f t="shared" si="283"/>
        <v>0</v>
      </c>
      <c r="AB282" s="19">
        <f t="shared" si="283"/>
        <v>0</v>
      </c>
      <c r="AC282" s="19">
        <f t="shared" si="283"/>
        <v>0</v>
      </c>
      <c r="AD282" s="19">
        <f t="shared" si="283"/>
        <v>0</v>
      </c>
      <c r="AE282" s="19">
        <f t="shared" si="283"/>
        <v>0</v>
      </c>
      <c r="AF282" s="19">
        <f t="shared" si="283"/>
        <v>0</v>
      </c>
      <c r="AG282" s="19">
        <f t="shared" si="283"/>
        <v>0</v>
      </c>
    </row>
    <row r="283" spans="1:33" outlineLevel="2">
      <c r="A283" s="21" t="s">
        <v>21</v>
      </c>
      <c r="B283" s="21">
        <v>242</v>
      </c>
      <c r="C283" s="21">
        <v>1.8131999999999999</v>
      </c>
      <c r="D283" s="22">
        <v>0.23480000000000001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S283" s="19">
        <f t="shared" si="284"/>
        <v>1.0981602121995348E-3</v>
      </c>
      <c r="T283" s="19">
        <f t="shared" si="283"/>
        <v>1.3155329253014855E-3</v>
      </c>
      <c r="U283" s="19">
        <f t="shared" si="283"/>
        <v>0</v>
      </c>
      <c r="V283" s="19">
        <f t="shared" si="283"/>
        <v>0</v>
      </c>
      <c r="W283" s="19">
        <f t="shared" si="283"/>
        <v>0</v>
      </c>
      <c r="X283" s="19">
        <f t="shared" si="283"/>
        <v>0</v>
      </c>
      <c r="Y283" s="19">
        <f t="shared" si="283"/>
        <v>0</v>
      </c>
      <c r="Z283" s="19">
        <f t="shared" si="283"/>
        <v>0</v>
      </c>
      <c r="AA283" s="19">
        <f t="shared" si="283"/>
        <v>0</v>
      </c>
      <c r="AB283" s="19">
        <f t="shared" si="283"/>
        <v>0</v>
      </c>
      <c r="AC283" s="19">
        <f t="shared" si="283"/>
        <v>0</v>
      </c>
      <c r="AD283" s="19">
        <f t="shared" si="283"/>
        <v>0</v>
      </c>
      <c r="AE283" s="19">
        <f t="shared" si="283"/>
        <v>0</v>
      </c>
      <c r="AF283" s="19">
        <f t="shared" si="283"/>
        <v>0</v>
      </c>
      <c r="AG283" s="19">
        <f t="shared" si="283"/>
        <v>0</v>
      </c>
    </row>
    <row r="284" spans="1:33" outlineLevel="2">
      <c r="A284" s="21" t="s">
        <v>21</v>
      </c>
      <c r="B284" s="21">
        <v>243</v>
      </c>
      <c r="C284" s="21">
        <v>34.811999999999998</v>
      </c>
      <c r="D284" s="22">
        <v>15.587999999999999</v>
      </c>
      <c r="E284">
        <v>4.3600000000000003</v>
      </c>
      <c r="F284">
        <v>2.44</v>
      </c>
      <c r="G284">
        <v>0.2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S284" s="19">
        <f t="shared" si="284"/>
        <v>2.1083803941699873E-2</v>
      </c>
      <c r="T284" s="19">
        <f t="shared" si="283"/>
        <v>8.733614667631838E-2</v>
      </c>
      <c r="U284" s="19">
        <f t="shared" si="283"/>
        <v>5.8902999189408278E-2</v>
      </c>
      <c r="V284" s="19">
        <f t="shared" si="283"/>
        <v>4.2942625835973247E-2</v>
      </c>
      <c r="W284" s="19">
        <f t="shared" si="283"/>
        <v>1.2755102040816327E-2</v>
      </c>
      <c r="X284" s="19">
        <f t="shared" si="283"/>
        <v>0</v>
      </c>
      <c r="Y284" s="19">
        <f t="shared" si="283"/>
        <v>0</v>
      </c>
      <c r="Z284" s="19">
        <f t="shared" si="283"/>
        <v>0</v>
      </c>
      <c r="AA284" s="19">
        <f t="shared" si="283"/>
        <v>0</v>
      </c>
      <c r="AB284" s="19">
        <f t="shared" si="283"/>
        <v>0</v>
      </c>
      <c r="AC284" s="19">
        <f t="shared" si="283"/>
        <v>0</v>
      </c>
      <c r="AD284" s="19">
        <f t="shared" si="283"/>
        <v>0</v>
      </c>
      <c r="AE284" s="19">
        <f t="shared" si="283"/>
        <v>0</v>
      </c>
      <c r="AF284" s="19">
        <f t="shared" si="283"/>
        <v>0</v>
      </c>
      <c r="AG284" s="19">
        <f t="shared" si="283"/>
        <v>0</v>
      </c>
    </row>
    <row r="285" spans="1:33" outlineLevel="2">
      <c r="A285" s="21" t="s">
        <v>21</v>
      </c>
      <c r="B285" s="21">
        <v>244</v>
      </c>
      <c r="C285" s="21">
        <v>17.22</v>
      </c>
      <c r="D285" s="22">
        <v>4.38</v>
      </c>
      <c r="E285">
        <v>0.9</v>
      </c>
      <c r="F285">
        <v>1.1399999999999999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s="19">
        <f t="shared" si="284"/>
        <v>1.0429251518903591E-2</v>
      </c>
      <c r="T285" s="19">
        <f t="shared" si="283"/>
        <v>2.4540179782029412E-2</v>
      </c>
      <c r="U285" s="19">
        <f t="shared" si="283"/>
        <v>1.215887597946501E-2</v>
      </c>
      <c r="V285" s="19">
        <f t="shared" si="283"/>
        <v>2.0063357972544878E-2</v>
      </c>
      <c r="W285" s="19">
        <f t="shared" si="283"/>
        <v>0</v>
      </c>
      <c r="X285" s="19">
        <f t="shared" si="283"/>
        <v>0</v>
      </c>
      <c r="Y285" s="19">
        <f t="shared" si="283"/>
        <v>0</v>
      </c>
      <c r="Z285" s="19">
        <f t="shared" si="283"/>
        <v>0</v>
      </c>
      <c r="AA285" s="19">
        <f t="shared" si="283"/>
        <v>0</v>
      </c>
      <c r="AB285" s="19">
        <f t="shared" si="283"/>
        <v>0</v>
      </c>
      <c r="AC285" s="19">
        <f t="shared" si="283"/>
        <v>0</v>
      </c>
      <c r="AD285" s="19">
        <f t="shared" si="283"/>
        <v>0</v>
      </c>
      <c r="AE285" s="19">
        <f t="shared" si="283"/>
        <v>0</v>
      </c>
      <c r="AF285" s="19">
        <f t="shared" si="283"/>
        <v>0</v>
      </c>
      <c r="AG285" s="19">
        <f t="shared" si="283"/>
        <v>0</v>
      </c>
    </row>
    <row r="286" spans="1:33" outlineLevel="2">
      <c r="A286" s="21" t="s">
        <v>21</v>
      </c>
      <c r="B286" s="21">
        <v>246</v>
      </c>
      <c r="C286" s="21">
        <v>5.74</v>
      </c>
      <c r="D286" s="22">
        <v>0.06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s="19">
        <f t="shared" si="284"/>
        <v>3.4764171729678639E-3</v>
      </c>
      <c r="T286" s="19">
        <f t="shared" si="283"/>
        <v>3.3616684632917004E-4</v>
      </c>
      <c r="U286" s="19">
        <f t="shared" si="283"/>
        <v>0</v>
      </c>
      <c r="V286" s="19">
        <f t="shared" si="283"/>
        <v>0</v>
      </c>
      <c r="W286" s="19">
        <f t="shared" si="283"/>
        <v>0</v>
      </c>
      <c r="X286" s="19">
        <f t="shared" si="283"/>
        <v>0</v>
      </c>
      <c r="Y286" s="19">
        <f t="shared" si="283"/>
        <v>0</v>
      </c>
      <c r="Z286" s="19">
        <f t="shared" si="283"/>
        <v>0</v>
      </c>
      <c r="AA286" s="19">
        <f t="shared" si="283"/>
        <v>0</v>
      </c>
      <c r="AB286" s="19">
        <f t="shared" si="283"/>
        <v>0</v>
      </c>
      <c r="AC286" s="19">
        <f t="shared" si="283"/>
        <v>0</v>
      </c>
      <c r="AD286" s="19">
        <f t="shared" si="283"/>
        <v>0</v>
      </c>
      <c r="AE286" s="19">
        <f t="shared" si="283"/>
        <v>0</v>
      </c>
      <c r="AF286" s="19">
        <f t="shared" si="283"/>
        <v>0</v>
      </c>
      <c r="AG286" s="19">
        <f t="shared" si="283"/>
        <v>0</v>
      </c>
    </row>
    <row r="287" spans="1:33" outlineLevel="2">
      <c r="A287" s="21" t="s">
        <v>21</v>
      </c>
      <c r="B287" s="21">
        <v>247</v>
      </c>
      <c r="C287" s="21">
        <v>5.14</v>
      </c>
      <c r="D287" s="22">
        <v>0.26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s="19">
        <f t="shared" si="284"/>
        <v>3.1130286183022331E-3</v>
      </c>
      <c r="T287" s="19">
        <f t="shared" si="283"/>
        <v>1.4567230007597369E-3</v>
      </c>
      <c r="U287" s="19">
        <f t="shared" si="283"/>
        <v>0</v>
      </c>
      <c r="V287" s="19">
        <f t="shared" si="283"/>
        <v>0</v>
      </c>
      <c r="W287" s="19">
        <f t="shared" si="283"/>
        <v>0</v>
      </c>
      <c r="X287" s="19">
        <f t="shared" si="283"/>
        <v>0</v>
      </c>
      <c r="Y287" s="19">
        <f t="shared" si="283"/>
        <v>0</v>
      </c>
      <c r="Z287" s="19">
        <f t="shared" si="283"/>
        <v>0</v>
      </c>
      <c r="AA287" s="19">
        <f t="shared" si="283"/>
        <v>0</v>
      </c>
      <c r="AB287" s="19">
        <f t="shared" si="283"/>
        <v>0</v>
      </c>
      <c r="AC287" s="19">
        <f t="shared" si="283"/>
        <v>0</v>
      </c>
      <c r="AD287" s="19">
        <f t="shared" si="283"/>
        <v>0</v>
      </c>
      <c r="AE287" s="19">
        <f t="shared" si="283"/>
        <v>0</v>
      </c>
      <c r="AF287" s="19">
        <f t="shared" si="283"/>
        <v>0</v>
      </c>
      <c r="AG287" s="19">
        <f t="shared" si="283"/>
        <v>0</v>
      </c>
    </row>
    <row r="288" spans="1:33" outlineLevel="2">
      <c r="A288" t="s">
        <v>21</v>
      </c>
      <c r="B288">
        <v>248</v>
      </c>
      <c r="C288">
        <v>28.78</v>
      </c>
      <c r="D288">
        <v>7.44</v>
      </c>
      <c r="E288">
        <v>1.52</v>
      </c>
      <c r="F288">
        <v>0.78</v>
      </c>
      <c r="G288">
        <v>0.08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s="19">
        <f t="shared" si="284"/>
        <v>1.7430537672128071E-2</v>
      </c>
      <c r="T288" s="19">
        <f t="shared" si="283"/>
        <v>4.168468894481709E-2</v>
      </c>
      <c r="U288" s="19">
        <f t="shared" si="283"/>
        <v>2.0534990543096463E-2</v>
      </c>
      <c r="V288" s="19">
        <f t="shared" si="283"/>
        <v>1.3727560718057023E-2</v>
      </c>
      <c r="W288" s="19">
        <f t="shared" si="283"/>
        <v>5.1020408163265311E-3</v>
      </c>
      <c r="X288" s="19">
        <f t="shared" si="283"/>
        <v>0</v>
      </c>
      <c r="Y288" s="19">
        <f t="shared" si="283"/>
        <v>0</v>
      </c>
      <c r="Z288" s="19">
        <f t="shared" si="283"/>
        <v>0</v>
      </c>
      <c r="AA288" s="19">
        <f t="shared" si="283"/>
        <v>0</v>
      </c>
      <c r="AB288" s="19">
        <f t="shared" si="283"/>
        <v>0</v>
      </c>
      <c r="AC288" s="19">
        <f t="shared" si="283"/>
        <v>0</v>
      </c>
      <c r="AD288" s="19">
        <f t="shared" si="283"/>
        <v>0</v>
      </c>
      <c r="AE288" s="19">
        <f t="shared" si="283"/>
        <v>0</v>
      </c>
      <c r="AF288" s="19">
        <f t="shared" si="283"/>
        <v>0</v>
      </c>
      <c r="AG288" s="19">
        <f t="shared" si="283"/>
        <v>0</v>
      </c>
    </row>
    <row r="289" spans="1:33" outlineLevel="2">
      <c r="A289" s="21" t="s">
        <v>21</v>
      </c>
      <c r="B289" s="21">
        <v>249</v>
      </c>
      <c r="C289" s="21">
        <v>104.94</v>
      </c>
      <c r="D289" s="22">
        <v>21.98</v>
      </c>
      <c r="E289">
        <v>4.76</v>
      </c>
      <c r="F289">
        <v>3.34</v>
      </c>
      <c r="G289">
        <v>1.46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s="19">
        <f t="shared" si="284"/>
        <v>6.3556658211018746E-2</v>
      </c>
      <c r="T289" s="19">
        <f t="shared" si="283"/>
        <v>0.1231491213719193</v>
      </c>
      <c r="U289" s="19">
        <f t="shared" si="283"/>
        <v>6.4306944069170494E-2</v>
      </c>
      <c r="V289" s="19">
        <f t="shared" si="283"/>
        <v>5.878211897219289E-2</v>
      </c>
      <c r="W289" s="19">
        <f t="shared" si="283"/>
        <v>9.311224489795919E-2</v>
      </c>
      <c r="X289" s="19">
        <f t="shared" si="283"/>
        <v>0</v>
      </c>
      <c r="Y289" s="19">
        <f t="shared" si="283"/>
        <v>0</v>
      </c>
      <c r="Z289" s="19">
        <f t="shared" si="283"/>
        <v>0</v>
      </c>
      <c r="AA289" s="19">
        <f t="shared" si="283"/>
        <v>0</v>
      </c>
      <c r="AB289" s="19">
        <f t="shared" si="283"/>
        <v>0</v>
      </c>
      <c r="AC289" s="19">
        <f t="shared" si="283"/>
        <v>0</v>
      </c>
      <c r="AD289" s="19">
        <f t="shared" si="283"/>
        <v>0</v>
      </c>
      <c r="AE289" s="19">
        <f t="shared" si="283"/>
        <v>0</v>
      </c>
      <c r="AF289" s="19">
        <f t="shared" si="283"/>
        <v>0</v>
      </c>
      <c r="AG289" s="19">
        <f t="shared" si="283"/>
        <v>0</v>
      </c>
    </row>
    <row r="290" spans="1:33" outlineLevel="2">
      <c r="A290" s="21" t="s">
        <v>21</v>
      </c>
      <c r="B290" s="21">
        <v>250</v>
      </c>
      <c r="C290" s="21">
        <v>229.2</v>
      </c>
      <c r="D290" s="22">
        <v>72</v>
      </c>
      <c r="E290">
        <v>31.6</v>
      </c>
      <c r="F290">
        <v>26.8</v>
      </c>
      <c r="G290">
        <v>8.06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S290" s="19">
        <f t="shared" si="284"/>
        <v>0.1388144278822708</v>
      </c>
      <c r="T290" s="19">
        <f t="shared" si="283"/>
        <v>0.40340021559500405</v>
      </c>
      <c r="U290" s="19">
        <f t="shared" si="283"/>
        <v>0.42691164550121591</v>
      </c>
      <c r="V290" s="19">
        <f t="shared" si="283"/>
        <v>0.47166490672298489</v>
      </c>
      <c r="W290" s="19">
        <f t="shared" si="283"/>
        <v>0.51403061224489799</v>
      </c>
      <c r="X290" s="19">
        <f t="shared" si="283"/>
        <v>0</v>
      </c>
      <c r="Y290" s="19">
        <f t="shared" si="283"/>
        <v>0</v>
      </c>
      <c r="Z290" s="19">
        <f t="shared" si="283"/>
        <v>0</v>
      </c>
      <c r="AA290" s="19">
        <f t="shared" si="283"/>
        <v>0</v>
      </c>
      <c r="AB290" s="19">
        <f t="shared" si="283"/>
        <v>0</v>
      </c>
      <c r="AC290" s="19">
        <f t="shared" si="283"/>
        <v>0</v>
      </c>
      <c r="AD290" s="19">
        <f t="shared" si="283"/>
        <v>0</v>
      </c>
      <c r="AE290" s="19">
        <f t="shared" si="283"/>
        <v>0</v>
      </c>
      <c r="AF290" s="19">
        <f t="shared" si="283"/>
        <v>0</v>
      </c>
      <c r="AG290" s="19">
        <f t="shared" si="283"/>
        <v>0</v>
      </c>
    </row>
    <row r="291" spans="1:33" outlineLevel="2">
      <c r="A291" s="21" t="s">
        <v>21</v>
      </c>
      <c r="B291" s="21">
        <v>252</v>
      </c>
      <c r="C291" s="21">
        <v>33.380000000000003</v>
      </c>
      <c r="D291" s="22">
        <v>6.86</v>
      </c>
      <c r="E291">
        <v>0.6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S291" s="19">
        <f t="shared" si="284"/>
        <v>2.0216516591231238E-2</v>
      </c>
      <c r="T291" s="19">
        <f t="shared" si="283"/>
        <v>3.8435076096968446E-2</v>
      </c>
      <c r="U291" s="19">
        <f t="shared" si="283"/>
        <v>8.1059173196433403E-3</v>
      </c>
      <c r="V291" s="19">
        <f t="shared" si="283"/>
        <v>0</v>
      </c>
      <c r="W291" s="19">
        <f t="shared" si="283"/>
        <v>0</v>
      </c>
      <c r="X291" s="19">
        <f t="shared" si="283"/>
        <v>0</v>
      </c>
      <c r="Y291" s="19">
        <f t="shared" si="283"/>
        <v>0</v>
      </c>
      <c r="Z291" s="19">
        <f t="shared" si="283"/>
        <v>0</v>
      </c>
      <c r="AA291" s="19">
        <f t="shared" si="283"/>
        <v>0</v>
      </c>
      <c r="AB291" s="19">
        <f t="shared" si="283"/>
        <v>0</v>
      </c>
      <c r="AC291" s="19">
        <f t="shared" si="283"/>
        <v>0</v>
      </c>
      <c r="AD291" s="19">
        <f t="shared" si="283"/>
        <v>0</v>
      </c>
      <c r="AE291" s="19">
        <f t="shared" si="283"/>
        <v>0</v>
      </c>
      <c r="AF291" s="19">
        <f t="shared" si="283"/>
        <v>0</v>
      </c>
      <c r="AG291" s="19">
        <f t="shared" si="283"/>
        <v>0</v>
      </c>
    </row>
    <row r="292" spans="1:33" outlineLevel="2">
      <c r="A292" s="21" t="s">
        <v>21</v>
      </c>
      <c r="B292" s="21">
        <v>253</v>
      </c>
      <c r="C292" s="21">
        <v>18.7</v>
      </c>
      <c r="D292" s="22">
        <v>7.78</v>
      </c>
      <c r="E292">
        <v>5.14</v>
      </c>
      <c r="F292">
        <v>1.1000000000000001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S292" s="19">
        <f t="shared" si="284"/>
        <v>1.1325609953745479E-2</v>
      </c>
      <c r="T292" s="19">
        <f t="shared" si="283"/>
        <v>4.3589634407349052E-2</v>
      </c>
      <c r="U292" s="19">
        <f t="shared" si="283"/>
        <v>6.9440691704944615E-2</v>
      </c>
      <c r="V292" s="19">
        <f t="shared" si="283"/>
        <v>1.9359380499824008E-2</v>
      </c>
      <c r="W292" s="19">
        <f t="shared" si="283"/>
        <v>0</v>
      </c>
      <c r="X292" s="19">
        <f t="shared" si="283"/>
        <v>0</v>
      </c>
      <c r="Y292" s="19">
        <f t="shared" si="283"/>
        <v>0</v>
      </c>
      <c r="Z292" s="19">
        <f t="shared" si="283"/>
        <v>0</v>
      </c>
      <c r="AA292" s="19">
        <f t="shared" si="283"/>
        <v>0</v>
      </c>
      <c r="AB292" s="19">
        <f t="shared" si="283"/>
        <v>0</v>
      </c>
      <c r="AC292" s="19">
        <f t="shared" si="283"/>
        <v>0</v>
      </c>
      <c r="AD292" s="19">
        <f t="shared" si="283"/>
        <v>0</v>
      </c>
      <c r="AE292" s="19">
        <f t="shared" si="283"/>
        <v>0</v>
      </c>
      <c r="AF292" s="19">
        <f t="shared" si="283"/>
        <v>0</v>
      </c>
      <c r="AG292" s="19">
        <f t="shared" si="283"/>
        <v>0</v>
      </c>
    </row>
    <row r="293" spans="1:33" outlineLevel="2">
      <c r="A293" s="21" t="s">
        <v>21</v>
      </c>
      <c r="B293" s="21">
        <v>300</v>
      </c>
      <c r="C293" s="21">
        <v>13.96</v>
      </c>
      <c r="D293" s="22">
        <v>8.6</v>
      </c>
      <c r="E293">
        <v>7.9</v>
      </c>
      <c r="F293">
        <v>10.64</v>
      </c>
      <c r="G293">
        <v>5.0199999999999996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S293" s="19">
        <f t="shared" si="284"/>
        <v>8.4548403718870003E-3</v>
      </c>
      <c r="T293" s="19">
        <f t="shared" si="283"/>
        <v>4.8183914640514372E-2</v>
      </c>
      <c r="U293" s="19">
        <f t="shared" si="283"/>
        <v>0.10672791137530398</v>
      </c>
      <c r="V293" s="19">
        <f t="shared" si="283"/>
        <v>0.1872580077437522</v>
      </c>
      <c r="W293" s="19">
        <f t="shared" si="283"/>
        <v>0.32015306122448978</v>
      </c>
      <c r="X293" s="19">
        <f t="shared" si="283"/>
        <v>0</v>
      </c>
      <c r="Y293" s="19">
        <f t="shared" si="283"/>
        <v>0</v>
      </c>
      <c r="Z293" s="19">
        <f t="shared" si="283"/>
        <v>0</v>
      </c>
      <c r="AA293" s="19">
        <f t="shared" si="283"/>
        <v>0</v>
      </c>
      <c r="AB293" s="19">
        <f t="shared" si="283"/>
        <v>0</v>
      </c>
      <c r="AC293" s="19">
        <f t="shared" si="283"/>
        <v>0</v>
      </c>
      <c r="AD293" s="19">
        <f t="shared" si="283"/>
        <v>0</v>
      </c>
      <c r="AE293" s="19">
        <f t="shared" si="283"/>
        <v>0</v>
      </c>
      <c r="AF293" s="19">
        <f t="shared" si="283"/>
        <v>0</v>
      </c>
      <c r="AG293" s="19">
        <f t="shared" si="283"/>
        <v>0</v>
      </c>
    </row>
    <row r="294" spans="1:33" outlineLevel="2">
      <c r="A294" s="21" t="s">
        <v>21</v>
      </c>
      <c r="B294" s="21">
        <v>301</v>
      </c>
      <c r="C294" s="21">
        <v>9.74</v>
      </c>
      <c r="D294" s="22">
        <v>3.52</v>
      </c>
      <c r="E294">
        <v>1.66</v>
      </c>
      <c r="F294">
        <v>2.48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s="19">
        <f t="shared" si="284"/>
        <v>5.8990075374053992E-3</v>
      </c>
      <c r="T294" s="19">
        <f t="shared" si="283"/>
        <v>1.9721788317977978E-2</v>
      </c>
      <c r="U294" s="19">
        <f t="shared" si="283"/>
        <v>2.2426371251013238E-2</v>
      </c>
      <c r="V294" s="19">
        <f t="shared" si="283"/>
        <v>4.3646603308694118E-2</v>
      </c>
      <c r="W294" s="19">
        <f t="shared" si="283"/>
        <v>0</v>
      </c>
      <c r="X294" s="19">
        <f t="shared" si="283"/>
        <v>0</v>
      </c>
      <c r="Y294" s="19">
        <f t="shared" si="283"/>
        <v>0</v>
      </c>
      <c r="Z294" s="19">
        <f t="shared" si="283"/>
        <v>0</v>
      </c>
      <c r="AA294" s="19">
        <f t="shared" si="283"/>
        <v>0</v>
      </c>
      <c r="AB294" s="19">
        <f t="shared" si="283"/>
        <v>0</v>
      </c>
      <c r="AC294" s="19">
        <f t="shared" si="283"/>
        <v>0</v>
      </c>
      <c r="AD294" s="19">
        <f t="shared" si="283"/>
        <v>0</v>
      </c>
      <c r="AE294" s="19">
        <f t="shared" si="283"/>
        <v>0</v>
      </c>
      <c r="AF294" s="19">
        <f t="shared" si="283"/>
        <v>0</v>
      </c>
      <c r="AG294" s="19">
        <f t="shared" si="283"/>
        <v>0</v>
      </c>
    </row>
    <row r="295" spans="1:33" outlineLevel="2">
      <c r="A295" s="21" t="s">
        <v>21</v>
      </c>
      <c r="B295" s="21">
        <v>308</v>
      </c>
      <c r="C295" s="21">
        <v>58.02</v>
      </c>
      <c r="D295" s="22">
        <v>29.46</v>
      </c>
      <c r="E295">
        <v>15.58</v>
      </c>
      <c r="F295">
        <v>8.1</v>
      </c>
      <c r="G295">
        <v>0.86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s="19">
        <f t="shared" si="284"/>
        <v>3.5139673236166458E-2</v>
      </c>
      <c r="T295" s="19">
        <f t="shared" si="283"/>
        <v>0.1650579215476225</v>
      </c>
      <c r="U295" s="19">
        <f t="shared" si="283"/>
        <v>0.21048365306673872</v>
      </c>
      <c r="V295" s="19">
        <f t="shared" si="283"/>
        <v>0.14255543822597677</v>
      </c>
      <c r="W295" s="19">
        <f t="shared" si="283"/>
        <v>5.4846938775510203E-2</v>
      </c>
      <c r="X295" s="19">
        <f t="shared" si="283"/>
        <v>0</v>
      </c>
      <c r="Y295" s="19">
        <f t="shared" si="283"/>
        <v>0</v>
      </c>
      <c r="Z295" s="19">
        <f t="shared" si="283"/>
        <v>0</v>
      </c>
      <c r="AA295" s="19">
        <f t="shared" si="283"/>
        <v>0</v>
      </c>
      <c r="AB295" s="19">
        <f t="shared" si="283"/>
        <v>0</v>
      </c>
      <c r="AC295" s="19">
        <f t="shared" si="283"/>
        <v>0</v>
      </c>
      <c r="AD295" s="19">
        <f t="shared" si="283"/>
        <v>0</v>
      </c>
      <c r="AE295" s="19">
        <f t="shared" si="283"/>
        <v>0</v>
      </c>
      <c r="AF295" s="19">
        <f t="shared" si="283"/>
        <v>0</v>
      </c>
      <c r="AG295" s="19">
        <f t="shared" si="283"/>
        <v>0</v>
      </c>
    </row>
    <row r="296" spans="1:33" outlineLevel="1">
      <c r="A296" s="23" t="s">
        <v>75</v>
      </c>
      <c r="C296" s="21">
        <f t="shared" ref="C296:Q296" si="285">SUBTOTAL(9,C280:C295)</f>
        <v>1651.1252000000004</v>
      </c>
      <c r="D296" s="22">
        <f t="shared" si="285"/>
        <v>178.48280000000003</v>
      </c>
      <c r="E296">
        <f t="shared" si="285"/>
        <v>74.02</v>
      </c>
      <c r="F296">
        <f t="shared" si="285"/>
        <v>56.82</v>
      </c>
      <c r="G296">
        <f t="shared" si="285"/>
        <v>15.68</v>
      </c>
      <c r="H296">
        <f t="shared" si="285"/>
        <v>0</v>
      </c>
      <c r="I296">
        <f t="shared" si="285"/>
        <v>0</v>
      </c>
      <c r="J296">
        <f t="shared" si="285"/>
        <v>0</v>
      </c>
      <c r="K296">
        <f t="shared" si="285"/>
        <v>0</v>
      </c>
      <c r="L296">
        <f t="shared" si="285"/>
        <v>0</v>
      </c>
      <c r="M296">
        <f t="shared" si="285"/>
        <v>0</v>
      </c>
      <c r="N296">
        <f t="shared" si="285"/>
        <v>0</v>
      </c>
      <c r="O296">
        <f t="shared" si="285"/>
        <v>0</v>
      </c>
      <c r="P296">
        <f t="shared" si="285"/>
        <v>0</v>
      </c>
      <c r="Q296">
        <f t="shared" si="285"/>
        <v>0</v>
      </c>
    </row>
    <row r="297" spans="1:33" outlineLevel="2">
      <c r="A297" s="21" t="s">
        <v>22</v>
      </c>
      <c r="B297" s="21">
        <v>73</v>
      </c>
      <c r="C297" s="21">
        <v>2086.96</v>
      </c>
      <c r="D297" s="22">
        <v>670.1</v>
      </c>
      <c r="E297">
        <v>32.28</v>
      </c>
      <c r="F297">
        <v>4.12</v>
      </c>
      <c r="G297">
        <v>4.9800000000000004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19"/>
      <c r="S297" s="19">
        <f>IF(C$316&gt;0, C297/C$316, 0)</f>
        <v>2.5379077595736869E-2</v>
      </c>
      <c r="T297" s="19">
        <f t="shared" ref="T297:AG312" si="286">IF(D$316&gt;0, D297/D$316, 0)</f>
        <v>1.4387957831109296E-2</v>
      </c>
      <c r="U297" s="19">
        <f t="shared" si="286"/>
        <v>1.9117401454770287E-3</v>
      </c>
      <c r="V297" s="19">
        <f t="shared" si="286"/>
        <v>5.5260104752771376E-4</v>
      </c>
      <c r="W297" s="19">
        <f t="shared" si="286"/>
        <v>1.5855126172419722E-3</v>
      </c>
      <c r="X297" s="19">
        <f t="shared" si="286"/>
        <v>0</v>
      </c>
      <c r="Y297" s="19">
        <f t="shared" si="286"/>
        <v>0</v>
      </c>
      <c r="Z297" s="19">
        <f t="shared" si="286"/>
        <v>0</v>
      </c>
      <c r="AA297" s="19">
        <f t="shared" si="286"/>
        <v>0</v>
      </c>
      <c r="AB297" s="19">
        <f t="shared" si="286"/>
        <v>0</v>
      </c>
      <c r="AC297" s="19">
        <f t="shared" si="286"/>
        <v>0</v>
      </c>
      <c r="AD297" s="19">
        <f t="shared" si="286"/>
        <v>0</v>
      </c>
      <c r="AE297" s="19">
        <f t="shared" si="286"/>
        <v>0</v>
      </c>
      <c r="AF297" s="19">
        <f t="shared" si="286"/>
        <v>0</v>
      </c>
      <c r="AG297" s="19">
        <f t="shared" si="286"/>
        <v>0</v>
      </c>
    </row>
    <row r="298" spans="1:33" outlineLevel="2">
      <c r="A298" s="21" t="s">
        <v>22</v>
      </c>
      <c r="B298" s="21">
        <v>74</v>
      </c>
      <c r="C298" s="21">
        <v>17945.419999999998</v>
      </c>
      <c r="D298" s="22">
        <v>15463.900000000001</v>
      </c>
      <c r="E298">
        <v>8647.56</v>
      </c>
      <c r="F298">
        <v>6657.58</v>
      </c>
      <c r="G298">
        <v>2688.84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s="19">
        <f t="shared" ref="S298:S315" si="287">IF(C$316&gt;0, C298/C$316, 0)</f>
        <v>0.21823044364438623</v>
      </c>
      <c r="T298" s="19">
        <f t="shared" si="286"/>
        <v>0.33203095225263551</v>
      </c>
      <c r="U298" s="19">
        <f t="shared" si="286"/>
        <v>0.51214026060784801</v>
      </c>
      <c r="V298" s="19">
        <f t="shared" si="286"/>
        <v>0.89295768980571766</v>
      </c>
      <c r="W298" s="19">
        <f t="shared" si="286"/>
        <v>0.8560621979407439</v>
      </c>
      <c r="X298" s="19">
        <f t="shared" si="286"/>
        <v>0</v>
      </c>
      <c r="Y298" s="19">
        <f t="shared" si="286"/>
        <v>0</v>
      </c>
      <c r="Z298" s="19">
        <f t="shared" si="286"/>
        <v>0</v>
      </c>
      <c r="AA298" s="19">
        <f t="shared" si="286"/>
        <v>0</v>
      </c>
      <c r="AB298" s="19">
        <f t="shared" si="286"/>
        <v>0</v>
      </c>
      <c r="AC298" s="19">
        <f t="shared" si="286"/>
        <v>0</v>
      </c>
      <c r="AD298" s="19">
        <f t="shared" si="286"/>
        <v>0</v>
      </c>
      <c r="AE298" s="19">
        <f t="shared" si="286"/>
        <v>0</v>
      </c>
      <c r="AF298" s="19">
        <f t="shared" si="286"/>
        <v>0</v>
      </c>
      <c r="AG298" s="19">
        <f t="shared" si="286"/>
        <v>0</v>
      </c>
    </row>
    <row r="299" spans="1:33" outlineLevel="2">
      <c r="A299" s="21" t="s">
        <v>22</v>
      </c>
      <c r="B299" s="21">
        <v>75</v>
      </c>
      <c r="C299" s="21">
        <v>308.84000000000003</v>
      </c>
      <c r="D299" s="22">
        <v>89.94</v>
      </c>
      <c r="E299">
        <v>13.879999999999999</v>
      </c>
      <c r="F299">
        <v>6.4600000000000009</v>
      </c>
      <c r="G299">
        <v>2.44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S299" s="19">
        <f t="shared" si="287"/>
        <v>3.755737687673638E-3</v>
      </c>
      <c r="T299" s="19">
        <f t="shared" si="286"/>
        <v>1.9311340506341888E-3</v>
      </c>
      <c r="U299" s="19">
        <f t="shared" si="286"/>
        <v>8.2202457308615717E-4</v>
      </c>
      <c r="V299" s="19">
        <f t="shared" si="286"/>
        <v>8.6645698228859989E-4</v>
      </c>
      <c r="W299" s="19">
        <f t="shared" si="286"/>
        <v>7.7683750724305458E-4</v>
      </c>
      <c r="X299" s="19">
        <f t="shared" si="286"/>
        <v>0</v>
      </c>
      <c r="Y299" s="19">
        <f t="shared" si="286"/>
        <v>0</v>
      </c>
      <c r="Z299" s="19">
        <f t="shared" si="286"/>
        <v>0</v>
      </c>
      <c r="AA299" s="19">
        <f t="shared" si="286"/>
        <v>0</v>
      </c>
      <c r="AB299" s="19">
        <f t="shared" si="286"/>
        <v>0</v>
      </c>
      <c r="AC299" s="19">
        <f t="shared" si="286"/>
        <v>0</v>
      </c>
      <c r="AD299" s="19">
        <f t="shared" si="286"/>
        <v>0</v>
      </c>
      <c r="AE299" s="19">
        <f t="shared" si="286"/>
        <v>0</v>
      </c>
      <c r="AF299" s="19">
        <f t="shared" si="286"/>
        <v>0</v>
      </c>
      <c r="AG299" s="19">
        <f t="shared" si="286"/>
        <v>0</v>
      </c>
    </row>
    <row r="300" spans="1:33" outlineLevel="2">
      <c r="A300" s="21" t="s">
        <v>22</v>
      </c>
      <c r="B300" s="21">
        <v>76</v>
      </c>
      <c r="C300" s="21">
        <v>29.98</v>
      </c>
      <c r="D300" s="22">
        <v>6.16</v>
      </c>
      <c r="E300">
        <v>1.08</v>
      </c>
      <c r="F300">
        <v>0.24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S300" s="19">
        <f t="shared" si="287"/>
        <v>3.645804166443973E-4</v>
      </c>
      <c r="T300" s="19">
        <f t="shared" si="286"/>
        <v>1.3226357295871252E-4</v>
      </c>
      <c r="U300" s="19">
        <f t="shared" si="286"/>
        <v>6.3961566205551147E-5</v>
      </c>
      <c r="V300" s="19">
        <f t="shared" si="286"/>
        <v>3.2190352283167795E-5</v>
      </c>
      <c r="W300" s="19">
        <f t="shared" si="286"/>
        <v>0</v>
      </c>
      <c r="X300" s="19">
        <f t="shared" si="286"/>
        <v>0</v>
      </c>
      <c r="Y300" s="19">
        <f t="shared" si="286"/>
        <v>0</v>
      </c>
      <c r="Z300" s="19">
        <f t="shared" si="286"/>
        <v>0</v>
      </c>
      <c r="AA300" s="19">
        <f t="shared" si="286"/>
        <v>0</v>
      </c>
      <c r="AB300" s="19">
        <f t="shared" si="286"/>
        <v>0</v>
      </c>
      <c r="AC300" s="19">
        <f t="shared" si="286"/>
        <v>0</v>
      </c>
      <c r="AD300" s="19">
        <f t="shared" si="286"/>
        <v>0</v>
      </c>
      <c r="AE300" s="19">
        <f t="shared" si="286"/>
        <v>0</v>
      </c>
      <c r="AF300" s="19">
        <f t="shared" si="286"/>
        <v>0</v>
      </c>
      <c r="AG300" s="19">
        <f t="shared" si="286"/>
        <v>0</v>
      </c>
    </row>
    <row r="301" spans="1:33" outlineLevel="2">
      <c r="A301" t="s">
        <v>22</v>
      </c>
      <c r="B301">
        <v>77</v>
      </c>
      <c r="C301">
        <v>14.48</v>
      </c>
      <c r="D301">
        <v>10.08</v>
      </c>
      <c r="E301">
        <v>6.06</v>
      </c>
      <c r="F301">
        <v>5.66</v>
      </c>
      <c r="G301">
        <v>0.96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S301" s="19">
        <f t="shared" si="287"/>
        <v>1.7608820657141004E-4</v>
      </c>
      <c r="T301" s="19">
        <f t="shared" si="286"/>
        <v>2.1643130120516593E-4</v>
      </c>
      <c r="U301" s="19">
        <f t="shared" si="286"/>
        <v>3.5889545482003696E-4</v>
      </c>
      <c r="V301" s="19">
        <f t="shared" si="286"/>
        <v>7.5915580801137381E-4</v>
      </c>
      <c r="W301" s="19">
        <f t="shared" si="286"/>
        <v>3.0564098645628377E-4</v>
      </c>
      <c r="X301" s="19">
        <f t="shared" si="286"/>
        <v>0</v>
      </c>
      <c r="Y301" s="19">
        <f t="shared" si="286"/>
        <v>0</v>
      </c>
      <c r="Z301" s="19">
        <f t="shared" si="286"/>
        <v>0</v>
      </c>
      <c r="AA301" s="19">
        <f t="shared" si="286"/>
        <v>0</v>
      </c>
      <c r="AB301" s="19">
        <f t="shared" si="286"/>
        <v>0</v>
      </c>
      <c r="AC301" s="19">
        <f t="shared" si="286"/>
        <v>0</v>
      </c>
      <c r="AD301" s="19">
        <f t="shared" si="286"/>
        <v>0</v>
      </c>
      <c r="AE301" s="19">
        <f t="shared" si="286"/>
        <v>0</v>
      </c>
      <c r="AF301" s="19">
        <f t="shared" si="286"/>
        <v>0</v>
      </c>
      <c r="AG301" s="19">
        <f t="shared" si="286"/>
        <v>0</v>
      </c>
    </row>
    <row r="302" spans="1:33" outlineLevel="2">
      <c r="A302" s="21" t="s">
        <v>22</v>
      </c>
      <c r="B302" s="21">
        <v>78</v>
      </c>
      <c r="C302" s="21">
        <v>163.86</v>
      </c>
      <c r="D302" s="22">
        <v>59.22</v>
      </c>
      <c r="E302">
        <v>31.34</v>
      </c>
      <c r="F302">
        <v>27.88</v>
      </c>
      <c r="G302">
        <v>35.04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S302" s="19">
        <f t="shared" si="287"/>
        <v>1.9926666801651418E-3</v>
      </c>
      <c r="T302" s="19">
        <f t="shared" si="286"/>
        <v>1.2715338945803497E-3</v>
      </c>
      <c r="U302" s="19">
        <f t="shared" si="286"/>
        <v>1.8560698934092341E-3</v>
      </c>
      <c r="V302" s="19">
        <f t="shared" si="286"/>
        <v>3.7394459235613252E-3</v>
      </c>
      <c r="W302" s="19">
        <f t="shared" si="286"/>
        <v>1.1155896005654357E-2</v>
      </c>
      <c r="X302" s="19">
        <f t="shared" si="286"/>
        <v>0</v>
      </c>
      <c r="Y302" s="19">
        <f t="shared" si="286"/>
        <v>0</v>
      </c>
      <c r="Z302" s="19">
        <f t="shared" si="286"/>
        <v>0</v>
      </c>
      <c r="AA302" s="19">
        <f t="shared" si="286"/>
        <v>0</v>
      </c>
      <c r="AB302" s="19">
        <f t="shared" si="286"/>
        <v>0</v>
      </c>
      <c r="AC302" s="19">
        <f t="shared" si="286"/>
        <v>0</v>
      </c>
      <c r="AD302" s="19">
        <f t="shared" si="286"/>
        <v>0</v>
      </c>
      <c r="AE302" s="19">
        <f t="shared" si="286"/>
        <v>0</v>
      </c>
      <c r="AF302" s="19">
        <f t="shared" si="286"/>
        <v>0</v>
      </c>
      <c r="AG302" s="19">
        <f t="shared" si="286"/>
        <v>0</v>
      </c>
    </row>
    <row r="303" spans="1:33" outlineLevel="2">
      <c r="A303" s="21" t="s">
        <v>22</v>
      </c>
      <c r="B303" s="21">
        <v>79</v>
      </c>
      <c r="C303" s="21">
        <v>612.66</v>
      </c>
      <c r="D303" s="22">
        <v>367.48</v>
      </c>
      <c r="E303">
        <v>163.19999999999999</v>
      </c>
      <c r="F303">
        <v>97</v>
      </c>
      <c r="G303">
        <v>31.2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s="19">
        <f t="shared" si="287"/>
        <v>7.4504282208591203E-3</v>
      </c>
      <c r="T303" s="19">
        <f t="shared" si="286"/>
        <v>7.8902950959200777E-3</v>
      </c>
      <c r="U303" s="19">
        <f t="shared" si="286"/>
        <v>9.6653033377277278E-3</v>
      </c>
      <c r="V303" s="19">
        <f t="shared" si="286"/>
        <v>1.301026738111365E-2</v>
      </c>
      <c r="W303" s="19">
        <f t="shared" si="286"/>
        <v>9.9333320598292228E-3</v>
      </c>
      <c r="X303" s="19">
        <f t="shared" si="286"/>
        <v>0</v>
      </c>
      <c r="Y303" s="19">
        <f t="shared" si="286"/>
        <v>0</v>
      </c>
      <c r="Z303" s="19">
        <f t="shared" si="286"/>
        <v>0</v>
      </c>
      <c r="AA303" s="19">
        <f t="shared" si="286"/>
        <v>0</v>
      </c>
      <c r="AB303" s="19">
        <f t="shared" si="286"/>
        <v>0</v>
      </c>
      <c r="AC303" s="19">
        <f t="shared" si="286"/>
        <v>0</v>
      </c>
      <c r="AD303" s="19">
        <f t="shared" si="286"/>
        <v>0</v>
      </c>
      <c r="AE303" s="19">
        <f t="shared" si="286"/>
        <v>0</v>
      </c>
      <c r="AF303" s="19">
        <f t="shared" si="286"/>
        <v>0</v>
      </c>
      <c r="AG303" s="19">
        <f t="shared" si="286"/>
        <v>0</v>
      </c>
    </row>
    <row r="304" spans="1:33" outlineLevel="2">
      <c r="A304" t="s">
        <v>22</v>
      </c>
      <c r="B304">
        <v>80</v>
      </c>
      <c r="C304">
        <v>133.24</v>
      </c>
      <c r="D304">
        <v>59.32</v>
      </c>
      <c r="E304">
        <v>30.56</v>
      </c>
      <c r="F304">
        <v>22.56</v>
      </c>
      <c r="G304">
        <v>19.04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s="19">
        <f t="shared" si="287"/>
        <v>1.6203033593628919E-3</v>
      </c>
      <c r="T304" s="19">
        <f t="shared" si="286"/>
        <v>1.2736810305050044E-3</v>
      </c>
      <c r="U304" s="19">
        <f t="shared" si="286"/>
        <v>1.809875428927447E-3</v>
      </c>
      <c r="V304" s="19">
        <f t="shared" si="286"/>
        <v>3.0258931146177723E-3</v>
      </c>
      <c r="W304" s="19">
        <f t="shared" si="286"/>
        <v>6.0618795647162946E-3</v>
      </c>
      <c r="X304" s="19">
        <f t="shared" si="286"/>
        <v>0</v>
      </c>
      <c r="Y304" s="19">
        <f t="shared" si="286"/>
        <v>0</v>
      </c>
      <c r="Z304" s="19">
        <f t="shared" si="286"/>
        <v>0</v>
      </c>
      <c r="AA304" s="19">
        <f t="shared" si="286"/>
        <v>0</v>
      </c>
      <c r="AB304" s="19">
        <f t="shared" si="286"/>
        <v>0</v>
      </c>
      <c r="AC304" s="19">
        <f t="shared" si="286"/>
        <v>0</v>
      </c>
      <c r="AD304" s="19">
        <f t="shared" si="286"/>
        <v>0</v>
      </c>
      <c r="AE304" s="19">
        <f t="shared" si="286"/>
        <v>0</v>
      </c>
      <c r="AF304" s="19">
        <f t="shared" si="286"/>
        <v>0</v>
      </c>
      <c r="AG304" s="19">
        <f t="shared" si="286"/>
        <v>0</v>
      </c>
    </row>
    <row r="305" spans="1:33" outlineLevel="2">
      <c r="A305" s="21" t="s">
        <v>22</v>
      </c>
      <c r="B305" s="21">
        <v>81</v>
      </c>
      <c r="C305" s="21">
        <v>208.06</v>
      </c>
      <c r="D305" s="22">
        <v>71.62</v>
      </c>
      <c r="E305">
        <v>28.18</v>
      </c>
      <c r="F305">
        <v>22.22</v>
      </c>
      <c r="G305">
        <v>21.92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s="19">
        <f t="shared" si="287"/>
        <v>2.5301734985668212E-3</v>
      </c>
      <c r="T305" s="19">
        <f t="shared" si="286"/>
        <v>1.5377787492374985E-3</v>
      </c>
      <c r="U305" s="19">
        <f t="shared" si="286"/>
        <v>1.6689230885855845E-3</v>
      </c>
      <c r="V305" s="19">
        <f t="shared" si="286"/>
        <v>2.9802901155499511E-3</v>
      </c>
      <c r="W305" s="19">
        <f t="shared" si="286"/>
        <v>6.9788025240851469E-3</v>
      </c>
      <c r="X305" s="19">
        <f t="shared" si="286"/>
        <v>0</v>
      </c>
      <c r="Y305" s="19">
        <f t="shared" si="286"/>
        <v>0</v>
      </c>
      <c r="Z305" s="19">
        <f t="shared" si="286"/>
        <v>0</v>
      </c>
      <c r="AA305" s="19">
        <f t="shared" si="286"/>
        <v>0</v>
      </c>
      <c r="AB305" s="19">
        <f t="shared" si="286"/>
        <v>0</v>
      </c>
      <c r="AC305" s="19">
        <f t="shared" si="286"/>
        <v>0</v>
      </c>
      <c r="AD305" s="19">
        <f t="shared" si="286"/>
        <v>0</v>
      </c>
      <c r="AE305" s="19">
        <f t="shared" si="286"/>
        <v>0</v>
      </c>
      <c r="AF305" s="19">
        <f t="shared" si="286"/>
        <v>0</v>
      </c>
      <c r="AG305" s="19">
        <f t="shared" si="286"/>
        <v>0</v>
      </c>
    </row>
    <row r="306" spans="1:33" outlineLevel="2">
      <c r="A306" s="21" t="s">
        <v>22</v>
      </c>
      <c r="B306" s="21">
        <v>82</v>
      </c>
      <c r="C306" s="21">
        <v>256.38</v>
      </c>
      <c r="D306" s="22">
        <v>44.3</v>
      </c>
      <c r="E306">
        <v>22.14</v>
      </c>
      <c r="F306">
        <v>14.18</v>
      </c>
      <c r="G306">
        <v>5.2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s="19">
        <f t="shared" si="287"/>
        <v>3.1177827624846756E-3</v>
      </c>
      <c r="T306" s="19">
        <f t="shared" si="286"/>
        <v>9.5118121462190971E-4</v>
      </c>
      <c r="U306" s="19">
        <f t="shared" si="286"/>
        <v>1.3112121072137984E-3</v>
      </c>
      <c r="V306" s="19">
        <f t="shared" si="286"/>
        <v>1.9019133140638304E-3</v>
      </c>
      <c r="W306" s="19">
        <f t="shared" si="286"/>
        <v>1.6555553433048706E-3</v>
      </c>
      <c r="X306" s="19">
        <f t="shared" si="286"/>
        <v>0</v>
      </c>
      <c r="Y306" s="19">
        <f t="shared" si="286"/>
        <v>0</v>
      </c>
      <c r="Z306" s="19">
        <f t="shared" si="286"/>
        <v>0</v>
      </c>
      <c r="AA306" s="19">
        <f t="shared" si="286"/>
        <v>0</v>
      </c>
      <c r="AB306" s="19">
        <f t="shared" si="286"/>
        <v>0</v>
      </c>
      <c r="AC306" s="19">
        <f t="shared" si="286"/>
        <v>0</v>
      </c>
      <c r="AD306" s="19">
        <f t="shared" si="286"/>
        <v>0</v>
      </c>
      <c r="AE306" s="19">
        <f t="shared" si="286"/>
        <v>0</v>
      </c>
      <c r="AF306" s="19">
        <f t="shared" si="286"/>
        <v>0</v>
      </c>
      <c r="AG306" s="19">
        <f t="shared" si="286"/>
        <v>0</v>
      </c>
    </row>
    <row r="307" spans="1:33" outlineLevel="2">
      <c r="A307" s="21" t="s">
        <v>22</v>
      </c>
      <c r="B307" s="21">
        <v>83</v>
      </c>
      <c r="C307" s="21">
        <v>646.70000000000005</v>
      </c>
      <c r="D307" s="22">
        <v>16.48</v>
      </c>
      <c r="E307">
        <v>5.68</v>
      </c>
      <c r="F307">
        <v>4.5</v>
      </c>
      <c r="G307">
        <v>1.88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s="19">
        <f t="shared" si="287"/>
        <v>7.8643814357548941E-3</v>
      </c>
      <c r="T307" s="19">
        <f t="shared" si="286"/>
        <v>3.5384800038304909E-4</v>
      </c>
      <c r="U307" s="19">
        <f t="shared" si="286"/>
        <v>3.3639045930326897E-4</v>
      </c>
      <c r="V307" s="19">
        <f t="shared" si="286"/>
        <v>6.0356910530939606E-4</v>
      </c>
      <c r="W307" s="19">
        <f t="shared" si="286"/>
        <v>5.9854693181022234E-4</v>
      </c>
      <c r="X307" s="19">
        <f t="shared" si="286"/>
        <v>0</v>
      </c>
      <c r="Y307" s="19">
        <f t="shared" si="286"/>
        <v>0</v>
      </c>
      <c r="Z307" s="19">
        <f t="shared" si="286"/>
        <v>0</v>
      </c>
      <c r="AA307" s="19">
        <f t="shared" si="286"/>
        <v>0</v>
      </c>
      <c r="AB307" s="19">
        <f t="shared" si="286"/>
        <v>0</v>
      </c>
      <c r="AC307" s="19">
        <f t="shared" si="286"/>
        <v>0</v>
      </c>
      <c r="AD307" s="19">
        <f t="shared" si="286"/>
        <v>0</v>
      </c>
      <c r="AE307" s="19">
        <f t="shared" si="286"/>
        <v>0</v>
      </c>
      <c r="AF307" s="19">
        <f t="shared" si="286"/>
        <v>0</v>
      </c>
      <c r="AG307" s="19">
        <f t="shared" si="286"/>
        <v>0</v>
      </c>
    </row>
    <row r="308" spans="1:33" outlineLevel="2">
      <c r="A308" s="21" t="s">
        <v>22</v>
      </c>
      <c r="B308" s="21">
        <v>84</v>
      </c>
      <c r="C308" s="21">
        <v>522.22</v>
      </c>
      <c r="D308" s="22">
        <v>60.42</v>
      </c>
      <c r="E308">
        <v>17.62</v>
      </c>
      <c r="F308">
        <v>9.2200000000000006</v>
      </c>
      <c r="G308">
        <v>3.4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S308" s="19">
        <f t="shared" si="287"/>
        <v>6.350606577052607E-3</v>
      </c>
      <c r="T308" s="19">
        <f t="shared" si="286"/>
        <v>1.2972995256762029E-3</v>
      </c>
      <c r="U308" s="19">
        <f t="shared" si="286"/>
        <v>1.0435211079090844E-3</v>
      </c>
      <c r="V308" s="19">
        <f t="shared" si="286"/>
        <v>1.2366460335450295E-3</v>
      </c>
      <c r="W308" s="19">
        <f t="shared" si="286"/>
        <v>1.0824784936993384E-3</v>
      </c>
      <c r="X308" s="19">
        <f t="shared" si="286"/>
        <v>0</v>
      </c>
      <c r="Y308" s="19">
        <f t="shared" si="286"/>
        <v>0</v>
      </c>
      <c r="Z308" s="19">
        <f t="shared" si="286"/>
        <v>0</v>
      </c>
      <c r="AA308" s="19">
        <f t="shared" si="286"/>
        <v>0</v>
      </c>
      <c r="AB308" s="19">
        <f t="shared" si="286"/>
        <v>0</v>
      </c>
      <c r="AC308" s="19">
        <f t="shared" si="286"/>
        <v>0</v>
      </c>
      <c r="AD308" s="19">
        <f t="shared" si="286"/>
        <v>0</v>
      </c>
      <c r="AE308" s="19">
        <f t="shared" si="286"/>
        <v>0</v>
      </c>
      <c r="AF308" s="19">
        <f t="shared" si="286"/>
        <v>0</v>
      </c>
      <c r="AG308" s="19">
        <f t="shared" si="286"/>
        <v>0</v>
      </c>
    </row>
    <row r="309" spans="1:33" outlineLevel="2">
      <c r="A309" s="21" t="s">
        <v>22</v>
      </c>
      <c r="B309" s="21">
        <v>85</v>
      </c>
      <c r="C309" s="21">
        <v>15909.86</v>
      </c>
      <c r="D309" s="22">
        <v>3556.9</v>
      </c>
      <c r="E309">
        <v>142.66</v>
      </c>
      <c r="F309">
        <v>3.58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S309" s="19">
        <f t="shared" si="287"/>
        <v>0.1934764305388269</v>
      </c>
      <c r="T309" s="19">
        <f t="shared" si="286"/>
        <v>7.63714777040332E-2</v>
      </c>
      <c r="U309" s="19">
        <f t="shared" si="286"/>
        <v>8.4488491063740047E-3</v>
      </c>
      <c r="V309" s="19">
        <f t="shared" si="286"/>
        <v>4.8017275489058625E-4</v>
      </c>
      <c r="W309" s="19">
        <f t="shared" si="286"/>
        <v>0</v>
      </c>
      <c r="X309" s="19">
        <f t="shared" si="286"/>
        <v>0</v>
      </c>
      <c r="Y309" s="19">
        <f t="shared" si="286"/>
        <v>0</v>
      </c>
      <c r="Z309" s="19">
        <f t="shared" si="286"/>
        <v>0</v>
      </c>
      <c r="AA309" s="19">
        <f t="shared" si="286"/>
        <v>0</v>
      </c>
      <c r="AB309" s="19">
        <f t="shared" si="286"/>
        <v>0</v>
      </c>
      <c r="AC309" s="19">
        <f t="shared" si="286"/>
        <v>0</v>
      </c>
      <c r="AD309" s="19">
        <f t="shared" si="286"/>
        <v>0</v>
      </c>
      <c r="AE309" s="19">
        <f t="shared" si="286"/>
        <v>0</v>
      </c>
      <c r="AF309" s="19">
        <f t="shared" si="286"/>
        <v>0</v>
      </c>
      <c r="AG309" s="19">
        <f t="shared" si="286"/>
        <v>0</v>
      </c>
    </row>
    <row r="310" spans="1:33" outlineLevel="2">
      <c r="A310" s="21" t="s">
        <v>22</v>
      </c>
      <c r="B310" s="21">
        <v>86</v>
      </c>
      <c r="C310" s="21">
        <v>15459.35</v>
      </c>
      <c r="D310" s="22">
        <v>2637.3900000000003</v>
      </c>
      <c r="E310">
        <v>0.2</v>
      </c>
      <c r="F310">
        <v>0.05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S310" s="19">
        <f t="shared" si="287"/>
        <v>0.18799787405108617</v>
      </c>
      <c r="T310" s="19">
        <f t="shared" si="286"/>
        <v>5.6628348163243317E-2</v>
      </c>
      <c r="U310" s="19">
        <f t="shared" si="286"/>
        <v>1.1844734482509471E-5</v>
      </c>
      <c r="V310" s="19">
        <f t="shared" si="286"/>
        <v>6.7063233923266242E-6</v>
      </c>
      <c r="W310" s="19">
        <f t="shared" si="286"/>
        <v>0</v>
      </c>
      <c r="X310" s="19">
        <f t="shared" si="286"/>
        <v>0</v>
      </c>
      <c r="Y310" s="19">
        <f t="shared" si="286"/>
        <v>0</v>
      </c>
      <c r="Z310" s="19">
        <f t="shared" si="286"/>
        <v>0</v>
      </c>
      <c r="AA310" s="19">
        <f t="shared" si="286"/>
        <v>0</v>
      </c>
      <c r="AB310" s="19">
        <f t="shared" si="286"/>
        <v>0</v>
      </c>
      <c r="AC310" s="19">
        <f t="shared" si="286"/>
        <v>0</v>
      </c>
      <c r="AD310" s="19">
        <f t="shared" si="286"/>
        <v>0</v>
      </c>
      <c r="AE310" s="19">
        <f t="shared" si="286"/>
        <v>0</v>
      </c>
      <c r="AF310" s="19">
        <f t="shared" si="286"/>
        <v>0</v>
      </c>
      <c r="AG310" s="19">
        <f t="shared" si="286"/>
        <v>0</v>
      </c>
    </row>
    <row r="311" spans="1:33" outlineLevel="2">
      <c r="A311" s="21" t="s">
        <v>22</v>
      </c>
      <c r="B311" s="21">
        <v>87</v>
      </c>
      <c r="C311" s="21">
        <v>7979.5450000000001</v>
      </c>
      <c r="D311" s="22">
        <v>6218.74</v>
      </c>
      <c r="E311">
        <v>118.62</v>
      </c>
      <c r="F311">
        <v>63.72</v>
      </c>
      <c r="G311">
        <v>34.6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S311" s="19">
        <f t="shared" si="287"/>
        <v>9.703755305979711E-2</v>
      </c>
      <c r="T311" s="19">
        <f t="shared" si="286"/>
        <v>0.1335248006008545</v>
      </c>
      <c r="U311" s="19">
        <f t="shared" si="286"/>
        <v>7.0251120215763675E-3</v>
      </c>
      <c r="V311" s="19">
        <f t="shared" si="286"/>
        <v>8.5465385311810482E-3</v>
      </c>
      <c r="W311" s="19">
        <f t="shared" si="286"/>
        <v>1.1015810553528562E-2</v>
      </c>
      <c r="X311" s="19">
        <f t="shared" si="286"/>
        <v>0</v>
      </c>
      <c r="Y311" s="19">
        <f t="shared" si="286"/>
        <v>0</v>
      </c>
      <c r="Z311" s="19">
        <f t="shared" si="286"/>
        <v>0</v>
      </c>
      <c r="AA311" s="19">
        <f t="shared" si="286"/>
        <v>0</v>
      </c>
      <c r="AB311" s="19">
        <f t="shared" si="286"/>
        <v>0</v>
      </c>
      <c r="AC311" s="19">
        <f t="shared" si="286"/>
        <v>0</v>
      </c>
      <c r="AD311" s="19">
        <f t="shared" si="286"/>
        <v>0</v>
      </c>
      <c r="AE311" s="19">
        <f t="shared" si="286"/>
        <v>0</v>
      </c>
      <c r="AF311" s="19">
        <f t="shared" si="286"/>
        <v>0</v>
      </c>
      <c r="AG311" s="19">
        <f t="shared" si="286"/>
        <v>0</v>
      </c>
    </row>
    <row r="312" spans="1:33" outlineLevel="2">
      <c r="A312" s="21" t="s">
        <v>22</v>
      </c>
      <c r="B312" s="21">
        <v>95</v>
      </c>
      <c r="C312" s="21">
        <v>2999.64</v>
      </c>
      <c r="D312" s="22">
        <v>6839.38</v>
      </c>
      <c r="E312">
        <v>3505.5600000000004</v>
      </c>
      <c r="F312">
        <v>447.26</v>
      </c>
      <c r="G312">
        <v>291.39999999999998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s="19">
        <f t="shared" si="287"/>
        <v>3.6477985356344222E-2</v>
      </c>
      <c r="T312" s="19">
        <f t="shared" si="286"/>
        <v>0.14685078500362975</v>
      </c>
      <c r="U312" s="19">
        <f t="shared" si="286"/>
        <v>0.20761213706252951</v>
      </c>
      <c r="V312" s="19">
        <f t="shared" si="286"/>
        <v>5.9989404009040112E-2</v>
      </c>
      <c r="W312" s="19">
        <f t="shared" si="286"/>
        <v>9.2774774430584461E-2</v>
      </c>
      <c r="X312" s="19">
        <f t="shared" si="286"/>
        <v>0</v>
      </c>
      <c r="Y312" s="19">
        <f t="shared" si="286"/>
        <v>0</v>
      </c>
      <c r="Z312" s="19">
        <f t="shared" si="286"/>
        <v>0</v>
      </c>
      <c r="AA312" s="19">
        <f t="shared" si="286"/>
        <v>0</v>
      </c>
      <c r="AB312" s="19">
        <f t="shared" si="286"/>
        <v>0</v>
      </c>
      <c r="AC312" s="19">
        <f t="shared" si="286"/>
        <v>0</v>
      </c>
      <c r="AD312" s="19">
        <f t="shared" si="286"/>
        <v>0</v>
      </c>
      <c r="AE312" s="19">
        <f t="shared" si="286"/>
        <v>0</v>
      </c>
      <c r="AF312" s="19">
        <f t="shared" si="286"/>
        <v>0</v>
      </c>
      <c r="AG312" s="19">
        <f t="shared" si="286"/>
        <v>0</v>
      </c>
    </row>
    <row r="313" spans="1:33" outlineLevel="2">
      <c r="A313" s="21" t="s">
        <v>22</v>
      </c>
      <c r="B313" s="21">
        <v>105</v>
      </c>
      <c r="C313" s="21">
        <v>1261.46</v>
      </c>
      <c r="D313" s="22">
        <v>3504.9</v>
      </c>
      <c r="E313">
        <v>3372.4</v>
      </c>
      <c r="F313">
        <v>58.28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s="19">
        <f t="shared" si="287"/>
        <v>1.5340347310881968E-2</v>
      </c>
      <c r="T313" s="19">
        <f t="shared" ref="T313:T315" si="288">IF(D$316&gt;0, D313/D$316, 0)</f>
        <v>7.525496702321291E-2</v>
      </c>
      <c r="U313" s="19">
        <f t="shared" ref="U313:U315" si="289">IF(E$316&gt;0, E313/E$316, 0)</f>
        <v>0.1997259128440747</v>
      </c>
      <c r="V313" s="19">
        <f t="shared" ref="V313:V315" si="290">IF(F$316&gt;0, F313/F$316, 0)</f>
        <v>7.8168905460959132E-3</v>
      </c>
      <c r="W313" s="19">
        <f t="shared" ref="W313:W315" si="291">IF(G$316&gt;0, G313/G$316, 0)</f>
        <v>0</v>
      </c>
      <c r="X313" s="19">
        <f t="shared" ref="X313:X315" si="292">IF(H$316&gt;0, H313/H$316, 0)</f>
        <v>0</v>
      </c>
      <c r="Y313" s="19">
        <f t="shared" ref="Y313:Y315" si="293">IF(I$316&gt;0, I313/I$316, 0)</f>
        <v>0</v>
      </c>
      <c r="Z313" s="19">
        <f t="shared" ref="Z313:Z315" si="294">IF(J$316&gt;0, J313/J$316, 0)</f>
        <v>0</v>
      </c>
      <c r="AA313" s="19">
        <f t="shared" ref="AA313:AA315" si="295">IF(K$316&gt;0, K313/K$316, 0)</f>
        <v>0</v>
      </c>
      <c r="AB313" s="19">
        <f t="shared" ref="AB313:AB315" si="296">IF(L$316&gt;0, L313/L$316, 0)</f>
        <v>0</v>
      </c>
      <c r="AC313" s="19">
        <f t="shared" ref="AC313:AC315" si="297">IF(M$316&gt;0, M313/M$316, 0)</f>
        <v>0</v>
      </c>
      <c r="AD313" s="19">
        <f t="shared" ref="AD313:AD315" si="298">IF(N$316&gt;0, N313/N$316, 0)</f>
        <v>0</v>
      </c>
      <c r="AE313" s="19">
        <f t="shared" ref="AE313:AE315" si="299">IF(O$316&gt;0, O313/O$316, 0)</f>
        <v>0</v>
      </c>
      <c r="AF313" s="19">
        <f t="shared" ref="AF313:AF315" si="300">IF(P$316&gt;0, P313/P$316, 0)</f>
        <v>0</v>
      </c>
      <c r="AG313" s="19">
        <f t="shared" ref="AG313:AG315" si="301">IF(Q$316&gt;0, Q313/Q$316, 0)</f>
        <v>0</v>
      </c>
    </row>
    <row r="314" spans="1:33" outlineLevel="2">
      <c r="A314" t="s">
        <v>22</v>
      </c>
      <c r="B314">
        <v>107</v>
      </c>
      <c r="C314">
        <v>1370.26</v>
      </c>
      <c r="D314">
        <v>1748</v>
      </c>
      <c r="E314">
        <v>609.82000000000005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s="19">
        <f t="shared" si="287"/>
        <v>1.6663441017716871E-2</v>
      </c>
      <c r="T314" s="19">
        <f t="shared" si="288"/>
        <v>3.7531935962959333E-2</v>
      </c>
      <c r="U314" s="19">
        <f t="shared" si="289"/>
        <v>3.6115779910619629E-2</v>
      </c>
      <c r="V314" s="19">
        <f t="shared" si="290"/>
        <v>0</v>
      </c>
      <c r="W314" s="19">
        <f t="shared" si="291"/>
        <v>0</v>
      </c>
      <c r="X314" s="19">
        <f t="shared" si="292"/>
        <v>0</v>
      </c>
      <c r="Y314" s="19">
        <f t="shared" si="293"/>
        <v>0</v>
      </c>
      <c r="Z314" s="19">
        <f t="shared" si="294"/>
        <v>0</v>
      </c>
      <c r="AA314" s="19">
        <f t="shared" si="295"/>
        <v>0</v>
      </c>
      <c r="AB314" s="19">
        <f t="shared" si="296"/>
        <v>0</v>
      </c>
      <c r="AC314" s="19">
        <f t="shared" si="297"/>
        <v>0</v>
      </c>
      <c r="AD314" s="19">
        <f t="shared" si="298"/>
        <v>0</v>
      </c>
      <c r="AE314" s="19">
        <f t="shared" si="299"/>
        <v>0</v>
      </c>
      <c r="AF314" s="19">
        <f t="shared" si="300"/>
        <v>0</v>
      </c>
      <c r="AG314" s="19">
        <f t="shared" si="301"/>
        <v>0</v>
      </c>
    </row>
    <row r="315" spans="1:33" outlineLevel="2">
      <c r="A315" s="21" t="s">
        <v>22</v>
      </c>
      <c r="B315" s="21">
        <v>114</v>
      </c>
      <c r="C315" s="21">
        <v>14322.599999999999</v>
      </c>
      <c r="D315" s="22">
        <v>5149.34</v>
      </c>
      <c r="E315">
        <v>136.30000000000001</v>
      </c>
      <c r="F315">
        <v>11.14</v>
      </c>
      <c r="G315">
        <v>0.04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s="19">
        <f t="shared" si="287"/>
        <v>0.1741740985800882</v>
      </c>
      <c r="T315" s="19">
        <f t="shared" si="288"/>
        <v>0.11056332902260012</v>
      </c>
      <c r="U315" s="19">
        <f t="shared" si="289"/>
        <v>8.0721865498302042E-3</v>
      </c>
      <c r="V315" s="19">
        <f t="shared" si="290"/>
        <v>1.4941688518103717E-3</v>
      </c>
      <c r="W315" s="19">
        <f t="shared" si="291"/>
        <v>1.2735041102345158E-5</v>
      </c>
      <c r="X315" s="19">
        <f t="shared" si="292"/>
        <v>0</v>
      </c>
      <c r="Y315" s="19">
        <f t="shared" si="293"/>
        <v>0</v>
      </c>
      <c r="Z315" s="19">
        <f t="shared" si="294"/>
        <v>0</v>
      </c>
      <c r="AA315" s="19">
        <f t="shared" si="295"/>
        <v>0</v>
      </c>
      <c r="AB315" s="19">
        <f t="shared" si="296"/>
        <v>0</v>
      </c>
      <c r="AC315" s="19">
        <f t="shared" si="297"/>
        <v>0</v>
      </c>
      <c r="AD315" s="19">
        <f t="shared" si="298"/>
        <v>0</v>
      </c>
      <c r="AE315" s="19">
        <f t="shared" si="299"/>
        <v>0</v>
      </c>
      <c r="AF315" s="19">
        <f t="shared" si="300"/>
        <v>0</v>
      </c>
      <c r="AG315" s="19">
        <f t="shared" si="301"/>
        <v>0</v>
      </c>
    </row>
    <row r="316" spans="1:33" outlineLevel="1">
      <c r="A316" s="23" t="s">
        <v>76</v>
      </c>
      <c r="C316" s="21">
        <f t="shared" ref="C316:Q316" si="302">SUBTOTAL(9,C297:C315)</f>
        <v>82231.514999999985</v>
      </c>
      <c r="D316" s="22">
        <f t="shared" si="302"/>
        <v>46573.67</v>
      </c>
      <c r="E316">
        <f t="shared" si="302"/>
        <v>16885.140000000003</v>
      </c>
      <c r="F316">
        <f t="shared" si="302"/>
        <v>7455.6500000000015</v>
      </c>
      <c r="G316">
        <f t="shared" si="302"/>
        <v>3140.94</v>
      </c>
      <c r="H316">
        <f t="shared" si="302"/>
        <v>0</v>
      </c>
      <c r="I316">
        <f t="shared" si="302"/>
        <v>0</v>
      </c>
      <c r="J316">
        <f t="shared" si="302"/>
        <v>0</v>
      </c>
      <c r="K316">
        <f t="shared" si="302"/>
        <v>0</v>
      </c>
      <c r="L316">
        <f t="shared" si="302"/>
        <v>0</v>
      </c>
      <c r="M316">
        <f t="shared" si="302"/>
        <v>0</v>
      </c>
      <c r="N316">
        <f t="shared" si="302"/>
        <v>0</v>
      </c>
      <c r="O316">
        <f t="shared" si="302"/>
        <v>0</v>
      </c>
      <c r="P316">
        <f t="shared" si="302"/>
        <v>0</v>
      </c>
      <c r="Q316">
        <f t="shared" si="302"/>
        <v>0</v>
      </c>
    </row>
    <row r="317" spans="1:33" outlineLevel="2">
      <c r="A317" s="21" t="s">
        <v>23</v>
      </c>
      <c r="B317" s="21">
        <v>40</v>
      </c>
      <c r="C317" s="21">
        <v>540.98</v>
      </c>
      <c r="D317" s="22">
        <v>46.78</v>
      </c>
      <c r="E317">
        <v>9.74</v>
      </c>
      <c r="F317">
        <v>2.3199999999999998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s="19"/>
      <c r="S317" s="19">
        <f>IF(C$317&gt;0, C317/C$317, 0)</f>
        <v>1</v>
      </c>
      <c r="T317" s="19">
        <f t="shared" ref="T317:AG317" si="303">IF(D$317&gt;0, D317/D$317, 0)</f>
        <v>1</v>
      </c>
      <c r="U317" s="19">
        <f t="shared" si="303"/>
        <v>1</v>
      </c>
      <c r="V317" s="19">
        <f t="shared" si="303"/>
        <v>1</v>
      </c>
      <c r="W317" s="19">
        <f t="shared" si="303"/>
        <v>0</v>
      </c>
      <c r="X317" s="19">
        <f t="shared" si="303"/>
        <v>0</v>
      </c>
      <c r="Y317" s="19">
        <f t="shared" si="303"/>
        <v>0</v>
      </c>
      <c r="Z317" s="19">
        <f t="shared" si="303"/>
        <v>0</v>
      </c>
      <c r="AA317" s="19">
        <f t="shared" si="303"/>
        <v>0</v>
      </c>
      <c r="AB317" s="19">
        <f t="shared" si="303"/>
        <v>0</v>
      </c>
      <c r="AC317" s="19">
        <f t="shared" si="303"/>
        <v>0</v>
      </c>
      <c r="AD317" s="19">
        <f t="shared" si="303"/>
        <v>0</v>
      </c>
      <c r="AE317" s="19">
        <f t="shared" si="303"/>
        <v>0</v>
      </c>
      <c r="AF317" s="19">
        <f t="shared" si="303"/>
        <v>0</v>
      </c>
      <c r="AG317" s="19">
        <f t="shared" si="303"/>
        <v>0</v>
      </c>
    </row>
    <row r="318" spans="1:33" outlineLevel="1">
      <c r="A318" s="23" t="s">
        <v>77</v>
      </c>
      <c r="C318" s="21">
        <f t="shared" ref="C318:Q318" si="304">SUBTOTAL(9,C317:C317)</f>
        <v>540.98</v>
      </c>
      <c r="D318" s="22">
        <f t="shared" si="304"/>
        <v>46.78</v>
      </c>
      <c r="E318">
        <f t="shared" si="304"/>
        <v>9.74</v>
      </c>
      <c r="F318">
        <f t="shared" si="304"/>
        <v>2.3199999999999998</v>
      </c>
      <c r="G318">
        <f t="shared" si="304"/>
        <v>0</v>
      </c>
      <c r="H318">
        <f t="shared" si="304"/>
        <v>0</v>
      </c>
      <c r="I318">
        <f t="shared" si="304"/>
        <v>0</v>
      </c>
      <c r="J318">
        <f t="shared" si="304"/>
        <v>0</v>
      </c>
      <c r="K318">
        <f t="shared" si="304"/>
        <v>0</v>
      </c>
      <c r="L318">
        <f t="shared" si="304"/>
        <v>0</v>
      </c>
      <c r="M318">
        <f t="shared" si="304"/>
        <v>0</v>
      </c>
      <c r="N318">
        <f t="shared" si="304"/>
        <v>0</v>
      </c>
      <c r="O318">
        <f t="shared" si="304"/>
        <v>0</v>
      </c>
      <c r="P318">
        <f t="shared" si="304"/>
        <v>0</v>
      </c>
      <c r="Q318">
        <f t="shared" si="304"/>
        <v>0</v>
      </c>
    </row>
    <row r="319" spans="1:33" outlineLevel="2">
      <c r="A319" s="21" t="s">
        <v>24</v>
      </c>
      <c r="B319" s="21">
        <v>261</v>
      </c>
      <c r="C319" s="21">
        <v>0</v>
      </c>
      <c r="D319" s="22">
        <v>0</v>
      </c>
      <c r="E319">
        <v>0</v>
      </c>
      <c r="F319">
        <v>0</v>
      </c>
      <c r="G319">
        <v>0</v>
      </c>
      <c r="H319">
        <v>290.16000000000003</v>
      </c>
      <c r="I319">
        <v>0</v>
      </c>
      <c r="J319">
        <v>0</v>
      </c>
      <c r="K319">
        <v>0</v>
      </c>
      <c r="L319">
        <v>0</v>
      </c>
      <c r="M319">
        <v>298.88</v>
      </c>
      <c r="N319">
        <v>26.08</v>
      </c>
      <c r="O319">
        <v>0</v>
      </c>
      <c r="P319">
        <v>0</v>
      </c>
      <c r="Q319">
        <v>0</v>
      </c>
      <c r="R319" s="19"/>
      <c r="S319" s="19">
        <f>IF(C$330&gt;0, C319/C$330, 0)</f>
        <v>0</v>
      </c>
      <c r="T319" s="19">
        <f t="shared" ref="T319:AG329" si="305">IF(D$330&gt;0, D319/D$330, 0)</f>
        <v>0</v>
      </c>
      <c r="U319" s="19">
        <f t="shared" si="305"/>
        <v>0</v>
      </c>
      <c r="V319" s="19">
        <f t="shared" si="305"/>
        <v>0</v>
      </c>
      <c r="W319" s="19">
        <f t="shared" si="305"/>
        <v>0</v>
      </c>
      <c r="X319" s="19">
        <f t="shared" si="305"/>
        <v>3.4272431339384006E-2</v>
      </c>
      <c r="Y319" s="19">
        <f t="shared" si="305"/>
        <v>0</v>
      </c>
      <c r="Z319" s="19">
        <f t="shared" si="305"/>
        <v>0</v>
      </c>
      <c r="AA319" s="19">
        <f t="shared" si="305"/>
        <v>0</v>
      </c>
      <c r="AB319" s="19">
        <f t="shared" si="305"/>
        <v>0</v>
      </c>
      <c r="AC319" s="19">
        <f t="shared" si="305"/>
        <v>3.4101125903072842E-2</v>
      </c>
      <c r="AD319" s="19">
        <f t="shared" si="305"/>
        <v>1.7323562702263222E-3</v>
      </c>
      <c r="AE319" s="19">
        <f t="shared" si="305"/>
        <v>0</v>
      </c>
      <c r="AF319" s="19">
        <f t="shared" si="305"/>
        <v>0</v>
      </c>
      <c r="AG319" s="19">
        <f t="shared" si="305"/>
        <v>0</v>
      </c>
    </row>
    <row r="320" spans="1:33" outlineLevel="2">
      <c r="A320" s="21" t="s">
        <v>24</v>
      </c>
      <c r="B320" s="21">
        <v>264</v>
      </c>
      <c r="C320" s="21">
        <v>0</v>
      </c>
      <c r="D320" s="22">
        <v>0</v>
      </c>
      <c r="E320">
        <v>0</v>
      </c>
      <c r="F320">
        <v>0</v>
      </c>
      <c r="G320">
        <v>0</v>
      </c>
      <c r="H320">
        <v>939.48</v>
      </c>
      <c r="I320">
        <v>0</v>
      </c>
      <c r="J320">
        <v>0</v>
      </c>
      <c r="K320">
        <v>0</v>
      </c>
      <c r="L320">
        <v>0</v>
      </c>
      <c r="M320">
        <v>365.16</v>
      </c>
      <c r="N320">
        <v>0</v>
      </c>
      <c r="O320">
        <v>0</v>
      </c>
      <c r="P320">
        <v>0</v>
      </c>
      <c r="Q320">
        <v>0</v>
      </c>
      <c r="S320" s="19">
        <f t="shared" ref="S320:S329" si="306">IF(C$330&gt;0, C320/C$330, 0)</f>
        <v>0</v>
      </c>
      <c r="T320" s="19">
        <f t="shared" si="305"/>
        <v>0</v>
      </c>
      <c r="U320" s="19">
        <f t="shared" si="305"/>
        <v>0</v>
      </c>
      <c r="V320" s="19">
        <f t="shared" si="305"/>
        <v>0</v>
      </c>
      <c r="W320" s="19">
        <f t="shared" si="305"/>
        <v>0</v>
      </c>
      <c r="X320" s="19">
        <f t="shared" si="305"/>
        <v>0.11096727252110726</v>
      </c>
      <c r="Y320" s="19">
        <f t="shared" si="305"/>
        <v>0</v>
      </c>
      <c r="Z320" s="19">
        <f t="shared" si="305"/>
        <v>0</v>
      </c>
      <c r="AA320" s="19">
        <f t="shared" si="305"/>
        <v>0</v>
      </c>
      <c r="AB320" s="19">
        <f t="shared" si="305"/>
        <v>0</v>
      </c>
      <c r="AC320" s="19">
        <f t="shared" si="305"/>
        <v>4.1663433935914346E-2</v>
      </c>
      <c r="AD320" s="19">
        <f t="shared" si="305"/>
        <v>0</v>
      </c>
      <c r="AE320" s="19">
        <f t="shared" si="305"/>
        <v>0</v>
      </c>
      <c r="AF320" s="19">
        <f t="shared" si="305"/>
        <v>0</v>
      </c>
      <c r="AG320" s="19">
        <f t="shared" si="305"/>
        <v>0</v>
      </c>
    </row>
    <row r="321" spans="1:33" outlineLevel="2">
      <c r="A321" s="21" t="s">
        <v>24</v>
      </c>
      <c r="B321" s="21">
        <v>267</v>
      </c>
      <c r="C321" s="21">
        <v>0</v>
      </c>
      <c r="D321" s="22">
        <v>0</v>
      </c>
      <c r="E321">
        <v>0</v>
      </c>
      <c r="F321">
        <v>0</v>
      </c>
      <c r="G321">
        <v>0</v>
      </c>
      <c r="H321">
        <v>1712.8</v>
      </c>
      <c r="I321">
        <v>0.12</v>
      </c>
      <c r="J321">
        <v>0</v>
      </c>
      <c r="K321">
        <v>0</v>
      </c>
      <c r="L321">
        <v>0</v>
      </c>
      <c r="M321">
        <v>2102.3200000000002</v>
      </c>
      <c r="N321">
        <v>3653.64</v>
      </c>
      <c r="O321">
        <v>0</v>
      </c>
      <c r="P321">
        <v>0</v>
      </c>
      <c r="Q321">
        <v>0</v>
      </c>
      <c r="S321" s="19">
        <f t="shared" si="306"/>
        <v>0</v>
      </c>
      <c r="T321" s="19">
        <f t="shared" si="305"/>
        <v>0</v>
      </c>
      <c r="U321" s="19">
        <f t="shared" si="305"/>
        <v>0</v>
      </c>
      <c r="V321" s="19">
        <f t="shared" si="305"/>
        <v>0</v>
      </c>
      <c r="W321" s="19">
        <f t="shared" si="305"/>
        <v>0</v>
      </c>
      <c r="X321" s="19">
        <f t="shared" si="305"/>
        <v>0.20230845188205443</v>
      </c>
      <c r="Y321" s="19">
        <f t="shared" si="305"/>
        <v>2.4474212338266243E-5</v>
      </c>
      <c r="Z321" s="19">
        <f t="shared" si="305"/>
        <v>0</v>
      </c>
      <c r="AA321" s="19">
        <f t="shared" si="305"/>
        <v>0</v>
      </c>
      <c r="AB321" s="19">
        <f t="shared" si="305"/>
        <v>0</v>
      </c>
      <c r="AC321" s="19">
        <f t="shared" si="305"/>
        <v>0.23986710053716576</v>
      </c>
      <c r="AD321" s="19">
        <f t="shared" si="305"/>
        <v>0.24269195410850078</v>
      </c>
      <c r="AE321" s="19">
        <f t="shared" si="305"/>
        <v>0</v>
      </c>
      <c r="AF321" s="19">
        <f t="shared" si="305"/>
        <v>0</v>
      </c>
      <c r="AG321" s="19">
        <f t="shared" si="305"/>
        <v>0</v>
      </c>
    </row>
    <row r="322" spans="1:33" outlineLevel="2">
      <c r="A322" t="s">
        <v>24</v>
      </c>
      <c r="B322">
        <v>268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405.28</v>
      </c>
      <c r="I322">
        <v>0</v>
      </c>
      <c r="J322">
        <v>0</v>
      </c>
      <c r="K322">
        <v>0</v>
      </c>
      <c r="L322">
        <v>0</v>
      </c>
      <c r="M322">
        <v>27.24</v>
      </c>
      <c r="N322">
        <v>0</v>
      </c>
      <c r="O322">
        <v>0</v>
      </c>
      <c r="P322">
        <v>0</v>
      </c>
      <c r="Q322">
        <v>0</v>
      </c>
      <c r="S322" s="19">
        <f t="shared" si="306"/>
        <v>0</v>
      </c>
      <c r="T322" s="19">
        <f t="shared" si="305"/>
        <v>0</v>
      </c>
      <c r="U322" s="19">
        <f t="shared" si="305"/>
        <v>0</v>
      </c>
      <c r="V322" s="19">
        <f t="shared" si="305"/>
        <v>0</v>
      </c>
      <c r="W322" s="19">
        <f t="shared" si="305"/>
        <v>0</v>
      </c>
      <c r="X322" s="19">
        <f t="shared" si="305"/>
        <v>4.7869902719966731E-2</v>
      </c>
      <c r="Y322" s="19">
        <f t="shared" si="305"/>
        <v>0</v>
      </c>
      <c r="Z322" s="19">
        <f t="shared" si="305"/>
        <v>0</v>
      </c>
      <c r="AA322" s="19">
        <f t="shared" si="305"/>
        <v>0</v>
      </c>
      <c r="AB322" s="19">
        <f t="shared" si="305"/>
        <v>0</v>
      </c>
      <c r="AC322" s="19">
        <f t="shared" si="305"/>
        <v>3.1079853774080039E-3</v>
      </c>
      <c r="AD322" s="19">
        <f t="shared" si="305"/>
        <v>0</v>
      </c>
      <c r="AE322" s="19">
        <f t="shared" si="305"/>
        <v>0</v>
      </c>
      <c r="AF322" s="19">
        <f t="shared" si="305"/>
        <v>0</v>
      </c>
      <c r="AG322" s="19">
        <f t="shared" si="305"/>
        <v>0</v>
      </c>
    </row>
    <row r="323" spans="1:33" outlineLevel="2">
      <c r="A323" s="21" t="s">
        <v>24</v>
      </c>
      <c r="B323" s="21">
        <v>269</v>
      </c>
      <c r="C323" s="21">
        <v>0</v>
      </c>
      <c r="D323" s="22">
        <v>0</v>
      </c>
      <c r="E323">
        <v>0</v>
      </c>
      <c r="F323">
        <v>0</v>
      </c>
      <c r="G323">
        <v>0</v>
      </c>
      <c r="H323">
        <v>790.88</v>
      </c>
      <c r="I323">
        <v>0</v>
      </c>
      <c r="J323">
        <v>0</v>
      </c>
      <c r="K323">
        <v>0</v>
      </c>
      <c r="L323">
        <v>0</v>
      </c>
      <c r="M323">
        <v>1431.08</v>
      </c>
      <c r="N323">
        <v>2597.6799999999998</v>
      </c>
      <c r="O323">
        <v>0</v>
      </c>
      <c r="P323">
        <v>0</v>
      </c>
      <c r="Q323">
        <v>0</v>
      </c>
      <c r="S323" s="19">
        <f t="shared" si="306"/>
        <v>0</v>
      </c>
      <c r="T323" s="19">
        <f t="shared" si="305"/>
        <v>0</v>
      </c>
      <c r="U323" s="19">
        <f t="shared" si="305"/>
        <v>0</v>
      </c>
      <c r="V323" s="19">
        <f t="shared" si="305"/>
        <v>0</v>
      </c>
      <c r="W323" s="19">
        <f t="shared" si="305"/>
        <v>0</v>
      </c>
      <c r="X323" s="19">
        <f t="shared" si="305"/>
        <v>9.3415289832134055E-2</v>
      </c>
      <c r="Y323" s="19">
        <f t="shared" si="305"/>
        <v>0</v>
      </c>
      <c r="Z323" s="19">
        <f t="shared" si="305"/>
        <v>0</v>
      </c>
      <c r="AA323" s="19">
        <f t="shared" si="305"/>
        <v>0</v>
      </c>
      <c r="AB323" s="19">
        <f t="shared" si="305"/>
        <v>0</v>
      </c>
      <c r="AC323" s="19">
        <f t="shared" si="305"/>
        <v>0.163281046765824</v>
      </c>
      <c r="AD323" s="19">
        <f t="shared" si="305"/>
        <v>0.17255012408134635</v>
      </c>
      <c r="AE323" s="19">
        <f t="shared" si="305"/>
        <v>0</v>
      </c>
      <c r="AF323" s="19">
        <f t="shared" si="305"/>
        <v>0</v>
      </c>
      <c r="AG323" s="19">
        <f t="shared" si="305"/>
        <v>0</v>
      </c>
    </row>
    <row r="324" spans="1:33" outlineLevel="2">
      <c r="A324" s="21" t="s">
        <v>24</v>
      </c>
      <c r="B324" s="21">
        <v>270</v>
      </c>
      <c r="C324" s="21">
        <v>0</v>
      </c>
      <c r="D324" s="22">
        <v>0</v>
      </c>
      <c r="E324">
        <v>0</v>
      </c>
      <c r="F324">
        <v>0</v>
      </c>
      <c r="G324">
        <v>0</v>
      </c>
      <c r="H324">
        <v>629.79999999999995</v>
      </c>
      <c r="I324">
        <v>699.24</v>
      </c>
      <c r="J324">
        <v>0</v>
      </c>
      <c r="K324">
        <v>0</v>
      </c>
      <c r="L324">
        <v>0</v>
      </c>
      <c r="M324">
        <v>3629.84</v>
      </c>
      <c r="N324">
        <v>8108.24</v>
      </c>
      <c r="O324">
        <v>0</v>
      </c>
      <c r="P324">
        <v>0</v>
      </c>
      <c r="Q324">
        <v>0</v>
      </c>
      <c r="S324" s="19">
        <f t="shared" si="306"/>
        <v>0</v>
      </c>
      <c r="T324" s="19">
        <f t="shared" si="305"/>
        <v>0</v>
      </c>
      <c r="U324" s="19">
        <f t="shared" si="305"/>
        <v>0</v>
      </c>
      <c r="V324" s="19">
        <f t="shared" si="305"/>
        <v>0</v>
      </c>
      <c r="W324" s="19">
        <f t="shared" si="305"/>
        <v>0</v>
      </c>
      <c r="X324" s="19">
        <f t="shared" si="305"/>
        <v>7.4389224074800253E-2</v>
      </c>
      <c r="Y324" s="19">
        <f t="shared" si="305"/>
        <v>0.14261123529507741</v>
      </c>
      <c r="Z324" s="19">
        <f t="shared" si="305"/>
        <v>0</v>
      </c>
      <c r="AA324" s="19">
        <f t="shared" si="305"/>
        <v>0</v>
      </c>
      <c r="AB324" s="19">
        <f t="shared" si="305"/>
        <v>0</v>
      </c>
      <c r="AC324" s="19">
        <f t="shared" si="305"/>
        <v>0.41415160214136082</v>
      </c>
      <c r="AD324" s="19">
        <f t="shared" si="305"/>
        <v>0.53858743882284799</v>
      </c>
      <c r="AE324" s="19">
        <f t="shared" si="305"/>
        <v>0</v>
      </c>
      <c r="AF324" s="19">
        <f t="shared" si="305"/>
        <v>0</v>
      </c>
      <c r="AG324" s="19">
        <f t="shared" si="305"/>
        <v>0</v>
      </c>
    </row>
    <row r="325" spans="1:33" outlineLevel="2">
      <c r="A325" s="21" t="s">
        <v>24</v>
      </c>
      <c r="B325" s="21">
        <v>271</v>
      </c>
      <c r="C325" s="21">
        <v>0</v>
      </c>
      <c r="D325" s="22">
        <v>0</v>
      </c>
      <c r="E325">
        <v>0</v>
      </c>
      <c r="F325">
        <v>0</v>
      </c>
      <c r="G325">
        <v>0</v>
      </c>
      <c r="H325">
        <v>410.64</v>
      </c>
      <c r="I325">
        <v>0</v>
      </c>
      <c r="J325">
        <v>0</v>
      </c>
      <c r="K325">
        <v>0</v>
      </c>
      <c r="L325">
        <v>0</v>
      </c>
      <c r="M325">
        <v>901</v>
      </c>
      <c r="N325">
        <v>292</v>
      </c>
      <c r="O325">
        <v>0</v>
      </c>
      <c r="P325">
        <v>0</v>
      </c>
      <c r="Q325">
        <v>0</v>
      </c>
      <c r="S325" s="19">
        <f t="shared" si="306"/>
        <v>0</v>
      </c>
      <c r="T325" s="19">
        <f t="shared" si="305"/>
        <v>0</v>
      </c>
      <c r="U325" s="19">
        <f t="shared" si="305"/>
        <v>0</v>
      </c>
      <c r="V325" s="19">
        <f t="shared" si="305"/>
        <v>0</v>
      </c>
      <c r="W325" s="19">
        <f t="shared" si="305"/>
        <v>0</v>
      </c>
      <c r="X325" s="19">
        <f t="shared" si="305"/>
        <v>4.8503002499326736E-2</v>
      </c>
      <c r="Y325" s="19">
        <f t="shared" si="305"/>
        <v>0</v>
      </c>
      <c r="Z325" s="19">
        <f t="shared" si="305"/>
        <v>0</v>
      </c>
      <c r="AA325" s="19">
        <f t="shared" si="305"/>
        <v>0</v>
      </c>
      <c r="AB325" s="19">
        <f t="shared" si="305"/>
        <v>0</v>
      </c>
      <c r="AC325" s="19">
        <f t="shared" si="305"/>
        <v>0.10280083792381099</v>
      </c>
      <c r="AD325" s="19">
        <f t="shared" si="305"/>
        <v>1.9396013454987964E-2</v>
      </c>
      <c r="AE325" s="19">
        <f t="shared" si="305"/>
        <v>0</v>
      </c>
      <c r="AF325" s="19">
        <f t="shared" si="305"/>
        <v>0</v>
      </c>
      <c r="AG325" s="19">
        <f t="shared" si="305"/>
        <v>0</v>
      </c>
    </row>
    <row r="326" spans="1:33" outlineLevel="2">
      <c r="A326" s="21" t="s">
        <v>24</v>
      </c>
      <c r="B326" s="21">
        <v>272</v>
      </c>
      <c r="C326" s="21">
        <v>0</v>
      </c>
      <c r="D326" s="22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</v>
      </c>
      <c r="N326">
        <v>9</v>
      </c>
      <c r="O326">
        <v>0</v>
      </c>
      <c r="P326">
        <v>0</v>
      </c>
      <c r="Q326">
        <v>0</v>
      </c>
      <c r="S326" s="19">
        <f t="shared" si="306"/>
        <v>0</v>
      </c>
      <c r="T326" s="19">
        <f t="shared" si="305"/>
        <v>0</v>
      </c>
      <c r="U326" s="19">
        <f t="shared" si="305"/>
        <v>0</v>
      </c>
      <c r="V326" s="19">
        <f t="shared" si="305"/>
        <v>0</v>
      </c>
      <c r="W326" s="19">
        <f t="shared" si="305"/>
        <v>0</v>
      </c>
      <c r="X326" s="19">
        <f t="shared" si="305"/>
        <v>0</v>
      </c>
      <c r="Y326" s="19">
        <f t="shared" si="305"/>
        <v>0</v>
      </c>
      <c r="Z326" s="19">
        <f t="shared" si="305"/>
        <v>0</v>
      </c>
      <c r="AA326" s="19">
        <f t="shared" si="305"/>
        <v>0</v>
      </c>
      <c r="AB326" s="19">
        <f t="shared" si="305"/>
        <v>0</v>
      </c>
      <c r="AC326" s="19">
        <f t="shared" si="305"/>
        <v>1.026867415443173E-3</v>
      </c>
      <c r="AD326" s="19">
        <f t="shared" si="305"/>
        <v>5.9782233251675233E-4</v>
      </c>
      <c r="AE326" s="19">
        <f t="shared" si="305"/>
        <v>0</v>
      </c>
      <c r="AF326" s="19">
        <f t="shared" si="305"/>
        <v>0</v>
      </c>
      <c r="AG326" s="19">
        <f t="shared" si="305"/>
        <v>0</v>
      </c>
    </row>
    <row r="327" spans="1:33" outlineLevel="2">
      <c r="A327" s="21" t="s">
        <v>24</v>
      </c>
      <c r="B327" s="21">
        <v>275</v>
      </c>
      <c r="C327" s="21">
        <v>0</v>
      </c>
      <c r="D327" s="22">
        <v>0</v>
      </c>
      <c r="E327">
        <v>0</v>
      </c>
      <c r="F327">
        <v>0</v>
      </c>
      <c r="G327">
        <v>0</v>
      </c>
      <c r="H327">
        <v>3157.48</v>
      </c>
      <c r="I327">
        <v>3698.36</v>
      </c>
      <c r="J327">
        <v>310.72000000000003</v>
      </c>
      <c r="K327">
        <v>0</v>
      </c>
      <c r="L327">
        <v>0</v>
      </c>
      <c r="M327">
        <v>0</v>
      </c>
      <c r="N327">
        <v>264.92</v>
      </c>
      <c r="O327">
        <v>1835.08</v>
      </c>
      <c r="P327">
        <v>0</v>
      </c>
      <c r="Q327">
        <v>0</v>
      </c>
      <c r="S327" s="19">
        <f t="shared" si="306"/>
        <v>0</v>
      </c>
      <c r="T327" s="19">
        <f t="shared" si="305"/>
        <v>0</v>
      </c>
      <c r="U327" s="19">
        <f t="shared" si="305"/>
        <v>0</v>
      </c>
      <c r="V327" s="19">
        <f t="shared" si="305"/>
        <v>0</v>
      </c>
      <c r="W327" s="19">
        <f t="shared" si="305"/>
        <v>0</v>
      </c>
      <c r="X327" s="19">
        <f t="shared" si="305"/>
        <v>0.37294774092045146</v>
      </c>
      <c r="Y327" s="19">
        <f t="shared" si="305"/>
        <v>0.75428706619458619</v>
      </c>
      <c r="Z327" s="19">
        <f t="shared" si="305"/>
        <v>1</v>
      </c>
      <c r="AA327" s="19">
        <f t="shared" si="305"/>
        <v>0</v>
      </c>
      <c r="AB327" s="19">
        <f t="shared" si="305"/>
        <v>0</v>
      </c>
      <c r="AC327" s="19">
        <f t="shared" si="305"/>
        <v>0</v>
      </c>
      <c r="AD327" s="19">
        <f t="shared" si="305"/>
        <v>1.759723248114867E-2</v>
      </c>
      <c r="AE327" s="19">
        <f t="shared" si="305"/>
        <v>0.84593966661749531</v>
      </c>
      <c r="AF327" s="19">
        <f t="shared" si="305"/>
        <v>0</v>
      </c>
      <c r="AG327" s="19">
        <f t="shared" si="305"/>
        <v>0</v>
      </c>
    </row>
    <row r="328" spans="1:33" outlineLevel="2">
      <c r="A328" s="21" t="s">
        <v>24</v>
      </c>
      <c r="B328" s="21">
        <v>309</v>
      </c>
      <c r="C328" s="21">
        <v>0</v>
      </c>
      <c r="D328" s="22">
        <v>0</v>
      </c>
      <c r="E328">
        <v>0</v>
      </c>
      <c r="F328">
        <v>0</v>
      </c>
      <c r="G328">
        <v>0</v>
      </c>
      <c r="H328">
        <v>17.399999999999999</v>
      </c>
      <c r="I328">
        <v>101.8</v>
      </c>
      <c r="J328">
        <v>0</v>
      </c>
      <c r="K328">
        <v>0</v>
      </c>
      <c r="L328">
        <v>0</v>
      </c>
      <c r="M328">
        <v>0</v>
      </c>
      <c r="N328">
        <v>9.56</v>
      </c>
      <c r="O328">
        <v>0</v>
      </c>
      <c r="P328">
        <v>0</v>
      </c>
      <c r="Q328">
        <v>0</v>
      </c>
      <c r="S328" s="19">
        <f t="shared" si="306"/>
        <v>0</v>
      </c>
      <c r="T328" s="19">
        <f t="shared" si="305"/>
        <v>0</v>
      </c>
      <c r="U328" s="19">
        <f t="shared" si="305"/>
        <v>0</v>
      </c>
      <c r="V328" s="19">
        <f t="shared" si="305"/>
        <v>0</v>
      </c>
      <c r="W328" s="19">
        <f t="shared" si="305"/>
        <v>0</v>
      </c>
      <c r="X328" s="19">
        <f t="shared" si="305"/>
        <v>2.0552119703104547E-3</v>
      </c>
      <c r="Y328" s="19">
        <f t="shared" si="305"/>
        <v>2.0762290133629194E-2</v>
      </c>
      <c r="Z328" s="19">
        <f t="shared" si="305"/>
        <v>0</v>
      </c>
      <c r="AA328" s="19">
        <f t="shared" si="305"/>
        <v>0</v>
      </c>
      <c r="AB328" s="19">
        <f t="shared" si="305"/>
        <v>0</v>
      </c>
      <c r="AC328" s="19">
        <f t="shared" si="305"/>
        <v>0</v>
      </c>
      <c r="AD328" s="19">
        <f t="shared" si="305"/>
        <v>6.3502016654001694E-4</v>
      </c>
      <c r="AE328" s="19">
        <f t="shared" si="305"/>
        <v>0</v>
      </c>
      <c r="AF328" s="19">
        <f t="shared" si="305"/>
        <v>0</v>
      </c>
      <c r="AG328" s="19">
        <f t="shared" si="305"/>
        <v>0</v>
      </c>
    </row>
    <row r="329" spans="1:33" outlineLevel="2">
      <c r="A329" s="21" t="s">
        <v>24</v>
      </c>
      <c r="B329" s="21">
        <v>310</v>
      </c>
      <c r="C329" s="21">
        <v>0</v>
      </c>
      <c r="D329" s="22">
        <v>0</v>
      </c>
      <c r="E329">
        <v>0</v>
      </c>
      <c r="F329">
        <v>0</v>
      </c>
      <c r="G329">
        <v>0</v>
      </c>
      <c r="H329">
        <v>112.36</v>
      </c>
      <c r="I329">
        <v>403.6</v>
      </c>
      <c r="J329">
        <v>0</v>
      </c>
      <c r="K329">
        <v>0</v>
      </c>
      <c r="L329">
        <v>0</v>
      </c>
      <c r="M329">
        <v>0</v>
      </c>
      <c r="N329">
        <v>93.52</v>
      </c>
      <c r="O329">
        <v>334.2</v>
      </c>
      <c r="P329">
        <v>0</v>
      </c>
      <c r="Q329">
        <v>0</v>
      </c>
      <c r="S329" s="19">
        <f t="shared" si="306"/>
        <v>0</v>
      </c>
      <c r="T329" s="19">
        <f t="shared" si="305"/>
        <v>0</v>
      </c>
      <c r="U329" s="19">
        <f t="shared" si="305"/>
        <v>0</v>
      </c>
      <c r="V329" s="19">
        <f t="shared" si="305"/>
        <v>0</v>
      </c>
      <c r="W329" s="19">
        <f t="shared" si="305"/>
        <v>0</v>
      </c>
      <c r="X329" s="19">
        <f t="shared" si="305"/>
        <v>1.3271472240464524E-2</v>
      </c>
      <c r="Y329" s="19">
        <f t="shared" si="305"/>
        <v>8.2314934164368803E-2</v>
      </c>
      <c r="Z329" s="19">
        <f t="shared" si="305"/>
        <v>0</v>
      </c>
      <c r="AA329" s="19">
        <f t="shared" si="305"/>
        <v>0</v>
      </c>
      <c r="AB329" s="19">
        <f t="shared" si="305"/>
        <v>0</v>
      </c>
      <c r="AC329" s="19">
        <f t="shared" si="305"/>
        <v>0</v>
      </c>
      <c r="AD329" s="19">
        <f t="shared" si="305"/>
        <v>6.2120382818851858E-3</v>
      </c>
      <c r="AE329" s="19">
        <f t="shared" si="305"/>
        <v>0.1540603333825048</v>
      </c>
      <c r="AF329" s="19">
        <f t="shared" si="305"/>
        <v>0</v>
      </c>
      <c r="AG329" s="19">
        <f t="shared" si="305"/>
        <v>0</v>
      </c>
    </row>
    <row r="330" spans="1:33" outlineLevel="1">
      <c r="A330" s="23" t="s">
        <v>78</v>
      </c>
      <c r="C330" s="21">
        <f t="shared" ref="C330:Q330" si="307">SUBTOTAL(9,C319:C329)</f>
        <v>0</v>
      </c>
      <c r="D330" s="22">
        <f t="shared" si="307"/>
        <v>0</v>
      </c>
      <c r="E330">
        <f t="shared" si="307"/>
        <v>0</v>
      </c>
      <c r="F330">
        <f t="shared" si="307"/>
        <v>0</v>
      </c>
      <c r="G330">
        <f t="shared" si="307"/>
        <v>0</v>
      </c>
      <c r="H330">
        <f t="shared" si="307"/>
        <v>8466.2800000000007</v>
      </c>
      <c r="I330">
        <f t="shared" si="307"/>
        <v>4903.1200000000008</v>
      </c>
      <c r="J330">
        <f t="shared" si="307"/>
        <v>310.72000000000003</v>
      </c>
      <c r="K330">
        <f t="shared" si="307"/>
        <v>0</v>
      </c>
      <c r="L330">
        <f t="shared" si="307"/>
        <v>0</v>
      </c>
      <c r="M330">
        <f t="shared" si="307"/>
        <v>8764.52</v>
      </c>
      <c r="N330">
        <f t="shared" si="307"/>
        <v>15054.64</v>
      </c>
      <c r="O330">
        <f t="shared" si="307"/>
        <v>2169.2799999999997</v>
      </c>
      <c r="P330">
        <f t="shared" si="307"/>
        <v>0</v>
      </c>
      <c r="Q330">
        <f t="shared" si="307"/>
        <v>0</v>
      </c>
    </row>
    <row r="331" spans="1:33" outlineLevel="2">
      <c r="A331" s="21" t="s">
        <v>25</v>
      </c>
      <c r="B331" s="21">
        <v>135</v>
      </c>
      <c r="C331" s="21">
        <v>18344.55</v>
      </c>
      <c r="D331" s="22">
        <v>30369.857999999997</v>
      </c>
      <c r="E331">
        <v>61.671999999999997</v>
      </c>
      <c r="F331">
        <v>20.63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19"/>
      <c r="S331" s="19">
        <f>IF(C$341&gt;0, C331/C$341, 0)</f>
        <v>0.2018355437315571</v>
      </c>
      <c r="T331" s="19">
        <f t="shared" ref="T331:AG340" si="308">IF(D$341&gt;0, D331/D$341, 0)</f>
        <v>0.71500932365216685</v>
      </c>
      <c r="U331" s="19">
        <f t="shared" si="308"/>
        <v>0.36742767265621273</v>
      </c>
      <c r="V331" s="19">
        <f t="shared" si="308"/>
        <v>0.97311320754717001</v>
      </c>
      <c r="W331" s="19">
        <f t="shared" si="308"/>
        <v>0</v>
      </c>
      <c r="X331" s="19">
        <f t="shared" si="308"/>
        <v>0</v>
      </c>
      <c r="Y331" s="19">
        <f t="shared" si="308"/>
        <v>0</v>
      </c>
      <c r="Z331" s="19">
        <f t="shared" si="308"/>
        <v>0</v>
      </c>
      <c r="AA331" s="19">
        <f t="shared" si="308"/>
        <v>0</v>
      </c>
      <c r="AB331" s="19">
        <f t="shared" si="308"/>
        <v>0</v>
      </c>
      <c r="AC331" s="19">
        <f t="shared" si="308"/>
        <v>0</v>
      </c>
      <c r="AD331" s="19">
        <f t="shared" si="308"/>
        <v>0</v>
      </c>
      <c r="AE331" s="19">
        <f t="shared" si="308"/>
        <v>0</v>
      </c>
      <c r="AF331" s="19">
        <f t="shared" si="308"/>
        <v>0</v>
      </c>
      <c r="AG331" s="19">
        <f t="shared" si="308"/>
        <v>0</v>
      </c>
    </row>
    <row r="332" spans="1:33" outlineLevel="2">
      <c r="A332" t="s">
        <v>25</v>
      </c>
      <c r="B332">
        <v>136</v>
      </c>
      <c r="C332">
        <v>24229.935000000001</v>
      </c>
      <c r="D332">
        <v>9153.68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S332" s="19">
        <f t="shared" ref="S332:S340" si="309">IF(C$341&gt;0, C332/C$341, 0)</f>
        <v>0.26658937424495488</v>
      </c>
      <c r="T332" s="19">
        <f t="shared" si="308"/>
        <v>0.21550863180619309</v>
      </c>
      <c r="U332" s="19">
        <f t="shared" si="308"/>
        <v>0</v>
      </c>
      <c r="V332" s="19">
        <f t="shared" si="308"/>
        <v>0</v>
      </c>
      <c r="W332" s="19">
        <f t="shared" si="308"/>
        <v>0</v>
      </c>
      <c r="X332" s="19">
        <f t="shared" si="308"/>
        <v>0</v>
      </c>
      <c r="Y332" s="19">
        <f t="shared" si="308"/>
        <v>0</v>
      </c>
      <c r="Z332" s="19">
        <f t="shared" si="308"/>
        <v>0</v>
      </c>
      <c r="AA332" s="19">
        <f t="shared" si="308"/>
        <v>0</v>
      </c>
      <c r="AB332" s="19">
        <f t="shared" si="308"/>
        <v>0</v>
      </c>
      <c r="AC332" s="19">
        <f t="shared" si="308"/>
        <v>0</v>
      </c>
      <c r="AD332" s="19">
        <f t="shared" si="308"/>
        <v>0</v>
      </c>
      <c r="AE332" s="19">
        <f t="shared" si="308"/>
        <v>0</v>
      </c>
      <c r="AF332" s="19">
        <f t="shared" si="308"/>
        <v>0</v>
      </c>
      <c r="AG332" s="19">
        <f t="shared" si="308"/>
        <v>0</v>
      </c>
    </row>
    <row r="333" spans="1:33" outlineLevel="2">
      <c r="A333" s="21" t="s">
        <v>25</v>
      </c>
      <c r="B333" s="21">
        <v>137</v>
      </c>
      <c r="C333" s="21">
        <v>18056.274999999998</v>
      </c>
      <c r="D333" s="22">
        <v>797</v>
      </c>
      <c r="E333">
        <v>78.2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S333" s="19">
        <f t="shared" si="309"/>
        <v>0.19866380382138132</v>
      </c>
      <c r="T333" s="19">
        <f t="shared" si="308"/>
        <v>1.8764079534082018E-2</v>
      </c>
      <c r="U333" s="19">
        <f t="shared" si="308"/>
        <v>0.46589771698203136</v>
      </c>
      <c r="V333" s="19">
        <f t="shared" si="308"/>
        <v>0</v>
      </c>
      <c r="W333" s="19">
        <f t="shared" si="308"/>
        <v>0</v>
      </c>
      <c r="X333" s="19">
        <f t="shared" si="308"/>
        <v>0</v>
      </c>
      <c r="Y333" s="19">
        <f t="shared" si="308"/>
        <v>0</v>
      </c>
      <c r="Z333" s="19">
        <f t="shared" si="308"/>
        <v>0</v>
      </c>
      <c r="AA333" s="19">
        <f t="shared" si="308"/>
        <v>0</v>
      </c>
      <c r="AB333" s="19">
        <f t="shared" si="308"/>
        <v>0</v>
      </c>
      <c r="AC333" s="19">
        <f t="shared" si="308"/>
        <v>0</v>
      </c>
      <c r="AD333" s="19">
        <f t="shared" si="308"/>
        <v>0</v>
      </c>
      <c r="AE333" s="19">
        <f t="shared" si="308"/>
        <v>0</v>
      </c>
      <c r="AF333" s="19">
        <f t="shared" si="308"/>
        <v>0</v>
      </c>
      <c r="AG333" s="19">
        <f t="shared" si="308"/>
        <v>0</v>
      </c>
    </row>
    <row r="334" spans="1:33" outlineLevel="2">
      <c r="A334" t="s">
        <v>25</v>
      </c>
      <c r="B334">
        <v>138</v>
      </c>
      <c r="C334">
        <v>9586.625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S334" s="19">
        <f t="shared" si="309"/>
        <v>0.10547664943678306</v>
      </c>
      <c r="T334" s="19">
        <f t="shared" si="308"/>
        <v>0</v>
      </c>
      <c r="U334" s="19">
        <f t="shared" si="308"/>
        <v>0</v>
      </c>
      <c r="V334" s="19">
        <f t="shared" si="308"/>
        <v>0</v>
      </c>
      <c r="W334" s="19">
        <f t="shared" si="308"/>
        <v>0</v>
      </c>
      <c r="X334" s="19">
        <f t="shared" si="308"/>
        <v>0</v>
      </c>
      <c r="Y334" s="19">
        <f t="shared" si="308"/>
        <v>0</v>
      </c>
      <c r="Z334" s="19">
        <f t="shared" si="308"/>
        <v>0</v>
      </c>
      <c r="AA334" s="19">
        <f t="shared" si="308"/>
        <v>0</v>
      </c>
      <c r="AB334" s="19">
        <f t="shared" si="308"/>
        <v>0</v>
      </c>
      <c r="AC334" s="19">
        <f t="shared" si="308"/>
        <v>0</v>
      </c>
      <c r="AD334" s="19">
        <f t="shared" si="308"/>
        <v>0</v>
      </c>
      <c r="AE334" s="19">
        <f t="shared" si="308"/>
        <v>0</v>
      </c>
      <c r="AF334" s="19">
        <f t="shared" si="308"/>
        <v>0</v>
      </c>
      <c r="AG334" s="19">
        <f t="shared" si="308"/>
        <v>0</v>
      </c>
    </row>
    <row r="335" spans="1:33" outlineLevel="2">
      <c r="A335" s="21" t="s">
        <v>25</v>
      </c>
      <c r="B335" s="21">
        <v>139</v>
      </c>
      <c r="C335" s="21">
        <v>7613.75</v>
      </c>
      <c r="D335" s="22">
        <v>1074.94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S335" s="19">
        <f t="shared" si="309"/>
        <v>8.3770131787704954E-2</v>
      </c>
      <c r="T335" s="19">
        <f t="shared" si="308"/>
        <v>2.5307728550020232E-2</v>
      </c>
      <c r="U335" s="19">
        <f t="shared" si="308"/>
        <v>0</v>
      </c>
      <c r="V335" s="19">
        <f t="shared" si="308"/>
        <v>0</v>
      </c>
      <c r="W335" s="19">
        <f t="shared" si="308"/>
        <v>0</v>
      </c>
      <c r="X335" s="19">
        <f t="shared" si="308"/>
        <v>0</v>
      </c>
      <c r="Y335" s="19">
        <f t="shared" si="308"/>
        <v>0</v>
      </c>
      <c r="Z335" s="19">
        <f t="shared" si="308"/>
        <v>0</v>
      </c>
      <c r="AA335" s="19">
        <f t="shared" si="308"/>
        <v>0</v>
      </c>
      <c r="AB335" s="19">
        <f t="shared" si="308"/>
        <v>0</v>
      </c>
      <c r="AC335" s="19">
        <f t="shared" si="308"/>
        <v>0</v>
      </c>
      <c r="AD335" s="19">
        <f t="shared" si="308"/>
        <v>0</v>
      </c>
      <c r="AE335" s="19">
        <f t="shared" si="308"/>
        <v>0</v>
      </c>
      <c r="AF335" s="19">
        <f t="shared" si="308"/>
        <v>0</v>
      </c>
      <c r="AG335" s="19">
        <f t="shared" si="308"/>
        <v>0</v>
      </c>
    </row>
    <row r="336" spans="1:33" outlineLevel="2">
      <c r="A336" s="21" t="s">
        <v>25</v>
      </c>
      <c r="B336" s="21">
        <v>140</v>
      </c>
      <c r="C336" s="21">
        <v>4703.3549999999996</v>
      </c>
      <c r="D336" s="22">
        <v>182.72</v>
      </c>
      <c r="E336">
        <v>24</v>
      </c>
      <c r="F336">
        <v>0.08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S336" s="19">
        <f t="shared" si="309"/>
        <v>5.1748569127481332E-2</v>
      </c>
      <c r="T336" s="19">
        <f t="shared" si="308"/>
        <v>4.3018476944384773E-3</v>
      </c>
      <c r="U336" s="19">
        <f t="shared" si="308"/>
        <v>0.14298651160573853</v>
      </c>
      <c r="V336" s="19">
        <f t="shared" si="308"/>
        <v>3.7735849056603783E-3</v>
      </c>
      <c r="W336" s="19">
        <f t="shared" si="308"/>
        <v>0</v>
      </c>
      <c r="X336" s="19">
        <f t="shared" si="308"/>
        <v>0</v>
      </c>
      <c r="Y336" s="19">
        <f t="shared" si="308"/>
        <v>0</v>
      </c>
      <c r="Z336" s="19">
        <f t="shared" si="308"/>
        <v>0</v>
      </c>
      <c r="AA336" s="19">
        <f t="shared" si="308"/>
        <v>0</v>
      </c>
      <c r="AB336" s="19">
        <f t="shared" si="308"/>
        <v>0</v>
      </c>
      <c r="AC336" s="19">
        <f t="shared" si="308"/>
        <v>0</v>
      </c>
      <c r="AD336" s="19">
        <f t="shared" si="308"/>
        <v>0</v>
      </c>
      <c r="AE336" s="19">
        <f t="shared" si="308"/>
        <v>0</v>
      </c>
      <c r="AF336" s="19">
        <f t="shared" si="308"/>
        <v>0</v>
      </c>
      <c r="AG336" s="19">
        <f t="shared" si="308"/>
        <v>0</v>
      </c>
    </row>
    <row r="337" spans="1:33" outlineLevel="2">
      <c r="A337" s="21" t="s">
        <v>25</v>
      </c>
      <c r="B337" s="21">
        <v>141</v>
      </c>
      <c r="C337" s="21">
        <v>7353.7650000000003</v>
      </c>
      <c r="D337" s="22">
        <v>882.53399999999999</v>
      </c>
      <c r="E337">
        <v>1.1759999999999999</v>
      </c>
      <c r="F337">
        <v>0.49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S337" s="19">
        <f t="shared" si="309"/>
        <v>8.0909652035568824E-2</v>
      </c>
      <c r="T337" s="19">
        <f t="shared" si="308"/>
        <v>2.0777839607944215E-2</v>
      </c>
      <c r="U337" s="19">
        <f t="shared" si="308"/>
        <v>7.0063390686811869E-3</v>
      </c>
      <c r="V337" s="19">
        <f t="shared" si="308"/>
        <v>2.3113207547169817E-2</v>
      </c>
      <c r="W337" s="19">
        <f t="shared" si="308"/>
        <v>0</v>
      </c>
      <c r="X337" s="19">
        <f t="shared" si="308"/>
        <v>0</v>
      </c>
      <c r="Y337" s="19">
        <f t="shared" si="308"/>
        <v>0</v>
      </c>
      <c r="Z337" s="19">
        <f t="shared" si="308"/>
        <v>0</v>
      </c>
      <c r="AA337" s="19">
        <f t="shared" si="308"/>
        <v>0</v>
      </c>
      <c r="AB337" s="19">
        <f t="shared" si="308"/>
        <v>0</v>
      </c>
      <c r="AC337" s="19">
        <f t="shared" si="308"/>
        <v>0</v>
      </c>
      <c r="AD337" s="19">
        <f t="shared" si="308"/>
        <v>0</v>
      </c>
      <c r="AE337" s="19">
        <f t="shared" si="308"/>
        <v>0</v>
      </c>
      <c r="AF337" s="19">
        <f t="shared" si="308"/>
        <v>0</v>
      </c>
      <c r="AG337" s="19">
        <f t="shared" si="308"/>
        <v>0</v>
      </c>
    </row>
    <row r="338" spans="1:33" outlineLevel="2">
      <c r="A338" t="s">
        <v>25</v>
      </c>
      <c r="B338">
        <v>142</v>
      </c>
      <c r="C338">
        <v>467.99</v>
      </c>
      <c r="D338">
        <v>14.04</v>
      </c>
      <c r="E338">
        <v>2.8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S338" s="19">
        <f t="shared" si="309"/>
        <v>5.1490505960043401E-3</v>
      </c>
      <c r="T338" s="19">
        <f t="shared" si="308"/>
        <v>3.3054915515497055E-4</v>
      </c>
      <c r="U338" s="19">
        <f t="shared" si="308"/>
        <v>1.6681759687336158E-2</v>
      </c>
      <c r="V338" s="19">
        <f t="shared" si="308"/>
        <v>0</v>
      </c>
      <c r="W338" s="19">
        <f t="shared" si="308"/>
        <v>0</v>
      </c>
      <c r="X338" s="19">
        <f t="shared" si="308"/>
        <v>0</v>
      </c>
      <c r="Y338" s="19">
        <f t="shared" si="308"/>
        <v>0</v>
      </c>
      <c r="Z338" s="19">
        <f t="shared" si="308"/>
        <v>0</v>
      </c>
      <c r="AA338" s="19">
        <f t="shared" si="308"/>
        <v>0</v>
      </c>
      <c r="AB338" s="19">
        <f t="shared" si="308"/>
        <v>0</v>
      </c>
      <c r="AC338" s="19">
        <f t="shared" si="308"/>
        <v>0</v>
      </c>
      <c r="AD338" s="19">
        <f t="shared" si="308"/>
        <v>0</v>
      </c>
      <c r="AE338" s="19">
        <f t="shared" si="308"/>
        <v>0</v>
      </c>
      <c r="AF338" s="19">
        <f t="shared" si="308"/>
        <v>0</v>
      </c>
      <c r="AG338" s="19">
        <f t="shared" si="308"/>
        <v>0</v>
      </c>
    </row>
    <row r="339" spans="1:33" outlineLevel="2">
      <c r="A339" s="21" t="s">
        <v>25</v>
      </c>
      <c r="B339" s="21">
        <v>143</v>
      </c>
      <c r="C339" s="21">
        <v>99.924999999999997</v>
      </c>
      <c r="D339" s="22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S339" s="19">
        <f t="shared" si="309"/>
        <v>1.0994228099013518E-3</v>
      </c>
      <c r="T339" s="19">
        <f t="shared" si="308"/>
        <v>0</v>
      </c>
      <c r="U339" s="19">
        <f t="shared" si="308"/>
        <v>0</v>
      </c>
      <c r="V339" s="19">
        <f t="shared" si="308"/>
        <v>0</v>
      </c>
      <c r="W339" s="19">
        <f t="shared" si="308"/>
        <v>0</v>
      </c>
      <c r="X339" s="19">
        <f t="shared" si="308"/>
        <v>0</v>
      </c>
      <c r="Y339" s="19">
        <f t="shared" si="308"/>
        <v>0</v>
      </c>
      <c r="Z339" s="19">
        <f t="shared" si="308"/>
        <v>0</v>
      </c>
      <c r="AA339" s="19">
        <f t="shared" si="308"/>
        <v>0</v>
      </c>
      <c r="AB339" s="19">
        <f t="shared" si="308"/>
        <v>0</v>
      </c>
      <c r="AC339" s="19">
        <f t="shared" si="308"/>
        <v>0</v>
      </c>
      <c r="AD339" s="19">
        <f t="shared" si="308"/>
        <v>0</v>
      </c>
      <c r="AE339" s="19">
        <f t="shared" si="308"/>
        <v>0</v>
      </c>
      <c r="AF339" s="19">
        <f t="shared" si="308"/>
        <v>0</v>
      </c>
      <c r="AG339" s="19">
        <f t="shared" si="308"/>
        <v>0</v>
      </c>
    </row>
    <row r="340" spans="1:33" outlineLevel="2">
      <c r="A340" s="21" t="s">
        <v>25</v>
      </c>
      <c r="B340" s="21">
        <v>144</v>
      </c>
      <c r="C340" s="21">
        <v>432.43</v>
      </c>
      <c r="D340" s="22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S340" s="19">
        <f t="shared" si="309"/>
        <v>4.7578024086629127E-3</v>
      </c>
      <c r="T340" s="19">
        <f t="shared" si="308"/>
        <v>0</v>
      </c>
      <c r="U340" s="19">
        <f t="shared" si="308"/>
        <v>0</v>
      </c>
      <c r="V340" s="19">
        <f t="shared" si="308"/>
        <v>0</v>
      </c>
      <c r="W340" s="19">
        <f t="shared" si="308"/>
        <v>0</v>
      </c>
      <c r="X340" s="19">
        <f t="shared" si="308"/>
        <v>0</v>
      </c>
      <c r="Y340" s="19">
        <f t="shared" si="308"/>
        <v>0</v>
      </c>
      <c r="Z340" s="19">
        <f t="shared" si="308"/>
        <v>0</v>
      </c>
      <c r="AA340" s="19">
        <f t="shared" si="308"/>
        <v>0</v>
      </c>
      <c r="AB340" s="19">
        <f t="shared" si="308"/>
        <v>0</v>
      </c>
      <c r="AC340" s="19">
        <f t="shared" si="308"/>
        <v>0</v>
      </c>
      <c r="AD340" s="19">
        <f t="shared" si="308"/>
        <v>0</v>
      </c>
      <c r="AE340" s="19">
        <f t="shared" si="308"/>
        <v>0</v>
      </c>
      <c r="AF340" s="19">
        <f t="shared" si="308"/>
        <v>0</v>
      </c>
      <c r="AG340" s="19">
        <f t="shared" si="308"/>
        <v>0</v>
      </c>
    </row>
    <row r="341" spans="1:33" outlineLevel="1">
      <c r="A341" s="23" t="s">
        <v>79</v>
      </c>
      <c r="C341" s="21">
        <f t="shared" ref="C341:Q341" si="310">SUBTOTAL(9,C331:C340)</f>
        <v>90888.599999999991</v>
      </c>
      <c r="D341" s="22">
        <f t="shared" si="310"/>
        <v>42474.772000000004</v>
      </c>
      <c r="E341">
        <f t="shared" si="310"/>
        <v>167.84800000000001</v>
      </c>
      <c r="F341">
        <f t="shared" si="310"/>
        <v>21.199999999999996</v>
      </c>
      <c r="G341">
        <f t="shared" si="310"/>
        <v>0</v>
      </c>
      <c r="H341">
        <f t="shared" si="310"/>
        <v>0</v>
      </c>
      <c r="I341">
        <f t="shared" si="310"/>
        <v>0</v>
      </c>
      <c r="J341">
        <f t="shared" si="310"/>
        <v>0</v>
      </c>
      <c r="K341">
        <f t="shared" si="310"/>
        <v>0</v>
      </c>
      <c r="L341">
        <f t="shared" si="310"/>
        <v>0</v>
      </c>
      <c r="M341">
        <f t="shared" si="310"/>
        <v>0</v>
      </c>
      <c r="N341">
        <f t="shared" si="310"/>
        <v>0</v>
      </c>
      <c r="O341">
        <f t="shared" si="310"/>
        <v>0</v>
      </c>
      <c r="P341">
        <f t="shared" si="310"/>
        <v>0</v>
      </c>
      <c r="Q341">
        <f t="shared" si="310"/>
        <v>0</v>
      </c>
    </row>
    <row r="342" spans="1:33" outlineLevel="2">
      <c r="A342" t="s">
        <v>26</v>
      </c>
      <c r="B342">
        <v>93</v>
      </c>
      <c r="C342">
        <v>5033.58</v>
      </c>
      <c r="D342">
        <v>4090.78</v>
      </c>
      <c r="E342">
        <v>420.7</v>
      </c>
      <c r="F342">
        <v>12.84</v>
      </c>
      <c r="G342">
        <v>1.2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19"/>
      <c r="S342" s="19">
        <f>IF(C$356&gt;0, C342/C$356, 0)</f>
        <v>5.5545044814654256E-2</v>
      </c>
      <c r="T342" s="19">
        <f t="shared" ref="T342:AG355" si="311">IF(D$356&gt;0, D342/D$356, 0)</f>
        <v>5.007409307892547E-2</v>
      </c>
      <c r="U342" s="19">
        <f t="shared" si="311"/>
        <v>5.6834608182994732E-2</v>
      </c>
      <c r="V342" s="19">
        <f t="shared" si="311"/>
        <v>0.16491137939892112</v>
      </c>
      <c r="W342" s="19">
        <f t="shared" si="311"/>
        <v>0.1744186046511628</v>
      </c>
      <c r="X342" s="19">
        <f t="shared" si="311"/>
        <v>0</v>
      </c>
      <c r="Y342" s="19">
        <f t="shared" si="311"/>
        <v>0</v>
      </c>
      <c r="Z342" s="19">
        <f t="shared" si="311"/>
        <v>0</v>
      </c>
      <c r="AA342" s="19">
        <f t="shared" si="311"/>
        <v>0</v>
      </c>
      <c r="AB342" s="19">
        <f t="shared" si="311"/>
        <v>0</v>
      </c>
      <c r="AC342" s="19">
        <f t="shared" si="311"/>
        <v>0</v>
      </c>
      <c r="AD342" s="19">
        <f t="shared" si="311"/>
        <v>0</v>
      </c>
      <c r="AE342" s="19">
        <f t="shared" si="311"/>
        <v>0</v>
      </c>
      <c r="AF342" s="19">
        <f t="shared" si="311"/>
        <v>0</v>
      </c>
      <c r="AG342" s="19">
        <f t="shared" si="311"/>
        <v>0</v>
      </c>
    </row>
    <row r="343" spans="1:33" outlineLevel="2">
      <c r="A343" s="21" t="s">
        <v>26</v>
      </c>
      <c r="B343" s="21">
        <v>148</v>
      </c>
      <c r="C343" s="21">
        <v>22250.100000000002</v>
      </c>
      <c r="D343" s="22">
        <v>2298.96</v>
      </c>
      <c r="E343">
        <v>395.96</v>
      </c>
      <c r="F343">
        <v>64.88000000000001</v>
      </c>
      <c r="G343">
        <v>5.68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S343" s="19">
        <f t="shared" ref="S343:S355" si="312">IF(C$356&gt;0, C343/C$356, 0)</f>
        <v>0.2455275969847581</v>
      </c>
      <c r="T343" s="19">
        <f t="shared" si="311"/>
        <v>2.8140925941929532E-2</v>
      </c>
      <c r="U343" s="19">
        <f t="shared" si="311"/>
        <v>5.3492349551078192E-2</v>
      </c>
      <c r="V343" s="19">
        <f t="shared" si="311"/>
        <v>0.83329052144875415</v>
      </c>
      <c r="W343" s="19">
        <f t="shared" si="311"/>
        <v>0.82558139534883723</v>
      </c>
      <c r="X343" s="19">
        <f t="shared" si="311"/>
        <v>0</v>
      </c>
      <c r="Y343" s="19">
        <f t="shared" si="311"/>
        <v>0</v>
      </c>
      <c r="Z343" s="19">
        <f t="shared" si="311"/>
        <v>0</v>
      </c>
      <c r="AA343" s="19">
        <f t="shared" si="311"/>
        <v>0</v>
      </c>
      <c r="AB343" s="19">
        <f t="shared" si="311"/>
        <v>0</v>
      </c>
      <c r="AC343" s="19">
        <f t="shared" si="311"/>
        <v>0</v>
      </c>
      <c r="AD343" s="19">
        <f t="shared" si="311"/>
        <v>0</v>
      </c>
      <c r="AE343" s="19">
        <f t="shared" si="311"/>
        <v>0</v>
      </c>
      <c r="AF343" s="19">
        <f t="shared" si="311"/>
        <v>0</v>
      </c>
      <c r="AG343" s="19">
        <f t="shared" si="311"/>
        <v>0</v>
      </c>
    </row>
    <row r="344" spans="1:33" outlineLevel="2">
      <c r="A344" s="21" t="s">
        <v>26</v>
      </c>
      <c r="B344" s="21">
        <v>149</v>
      </c>
      <c r="C344" s="21">
        <v>11060.86</v>
      </c>
      <c r="D344" s="22">
        <v>6059.18</v>
      </c>
      <c r="E344">
        <v>1.32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S344" s="19">
        <f t="shared" si="312"/>
        <v>0.12205546835226949</v>
      </c>
      <c r="T344" s="19">
        <f t="shared" si="311"/>
        <v>7.416872657585194E-2</v>
      </c>
      <c r="U344" s="19">
        <f t="shared" si="311"/>
        <v>1.7832584454849788E-4</v>
      </c>
      <c r="V344" s="19">
        <f t="shared" si="311"/>
        <v>0</v>
      </c>
      <c r="W344" s="19">
        <f t="shared" si="311"/>
        <v>0</v>
      </c>
      <c r="X344" s="19">
        <f t="shared" si="311"/>
        <v>0</v>
      </c>
      <c r="Y344" s="19">
        <f t="shared" si="311"/>
        <v>0</v>
      </c>
      <c r="Z344" s="19">
        <f t="shared" si="311"/>
        <v>0</v>
      </c>
      <c r="AA344" s="19">
        <f t="shared" si="311"/>
        <v>0</v>
      </c>
      <c r="AB344" s="19">
        <f t="shared" si="311"/>
        <v>0</v>
      </c>
      <c r="AC344" s="19">
        <f t="shared" si="311"/>
        <v>0</v>
      </c>
      <c r="AD344" s="19">
        <f t="shared" si="311"/>
        <v>0</v>
      </c>
      <c r="AE344" s="19">
        <f t="shared" si="311"/>
        <v>0</v>
      </c>
      <c r="AF344" s="19">
        <f t="shared" si="311"/>
        <v>0</v>
      </c>
      <c r="AG344" s="19">
        <f t="shared" si="311"/>
        <v>0</v>
      </c>
    </row>
    <row r="345" spans="1:33" outlineLevel="2">
      <c r="A345" t="s">
        <v>26</v>
      </c>
      <c r="B345">
        <v>150</v>
      </c>
      <c r="C345">
        <v>1365.66</v>
      </c>
      <c r="D345">
        <v>47147.74</v>
      </c>
      <c r="E345">
        <v>84.74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S345" s="19">
        <f t="shared" si="312"/>
        <v>1.5069919600280661E-2</v>
      </c>
      <c r="T345" s="19">
        <f t="shared" si="311"/>
        <v>0.57712228993516568</v>
      </c>
      <c r="U345" s="19">
        <f t="shared" si="311"/>
        <v>1.1447978838666446E-2</v>
      </c>
      <c r="V345" s="19">
        <f t="shared" si="311"/>
        <v>0</v>
      </c>
      <c r="W345" s="19">
        <f t="shared" si="311"/>
        <v>0</v>
      </c>
      <c r="X345" s="19">
        <f t="shared" si="311"/>
        <v>0</v>
      </c>
      <c r="Y345" s="19">
        <f t="shared" si="311"/>
        <v>0</v>
      </c>
      <c r="Z345" s="19">
        <f t="shared" si="311"/>
        <v>0</v>
      </c>
      <c r="AA345" s="19">
        <f t="shared" si="311"/>
        <v>0</v>
      </c>
      <c r="AB345" s="19">
        <f t="shared" si="311"/>
        <v>0</v>
      </c>
      <c r="AC345" s="19">
        <f t="shared" si="311"/>
        <v>0</v>
      </c>
      <c r="AD345" s="19">
        <f t="shared" si="311"/>
        <v>0</v>
      </c>
      <c r="AE345" s="19">
        <f t="shared" si="311"/>
        <v>0</v>
      </c>
      <c r="AF345" s="19">
        <f t="shared" si="311"/>
        <v>0</v>
      </c>
      <c r="AG345" s="19">
        <f t="shared" si="311"/>
        <v>0</v>
      </c>
    </row>
    <row r="346" spans="1:33" outlineLevel="2">
      <c r="A346" s="21" t="s">
        <v>26</v>
      </c>
      <c r="B346" s="21">
        <v>152</v>
      </c>
      <c r="C346" s="21">
        <v>4283.165</v>
      </c>
      <c r="D346" s="22">
        <v>7386.2800000000007</v>
      </c>
      <c r="E346">
        <v>2844.3999999999996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S346" s="19">
        <f t="shared" si="312"/>
        <v>4.7264291393711549E-2</v>
      </c>
      <c r="T346" s="19">
        <f t="shared" si="311"/>
        <v>9.0413386255678768E-2</v>
      </c>
      <c r="U346" s="19">
        <f t="shared" si="311"/>
        <v>0.38426517593465703</v>
      </c>
      <c r="V346" s="19">
        <f t="shared" si="311"/>
        <v>0</v>
      </c>
      <c r="W346" s="19">
        <f t="shared" si="311"/>
        <v>0</v>
      </c>
      <c r="X346" s="19">
        <f t="shared" si="311"/>
        <v>0</v>
      </c>
      <c r="Y346" s="19">
        <f t="shared" si="311"/>
        <v>0</v>
      </c>
      <c r="Z346" s="19">
        <f t="shared" si="311"/>
        <v>0</v>
      </c>
      <c r="AA346" s="19">
        <f t="shared" si="311"/>
        <v>0</v>
      </c>
      <c r="AB346" s="19">
        <f t="shared" si="311"/>
        <v>0</v>
      </c>
      <c r="AC346" s="19">
        <f t="shared" si="311"/>
        <v>0</v>
      </c>
      <c r="AD346" s="19">
        <f t="shared" si="311"/>
        <v>0</v>
      </c>
      <c r="AE346" s="19">
        <f t="shared" si="311"/>
        <v>0</v>
      </c>
      <c r="AF346" s="19">
        <f t="shared" si="311"/>
        <v>0</v>
      </c>
      <c r="AG346" s="19">
        <f t="shared" si="311"/>
        <v>0</v>
      </c>
    </row>
    <row r="347" spans="1:33" outlineLevel="2">
      <c r="A347" s="21" t="s">
        <v>26</v>
      </c>
      <c r="B347" s="21">
        <v>153</v>
      </c>
      <c r="C347" s="21">
        <v>15549.3</v>
      </c>
      <c r="D347" s="22">
        <v>7420.78</v>
      </c>
      <c r="E347">
        <v>2971.9799999999996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S347" s="19">
        <f t="shared" si="312"/>
        <v>0.17158494855281992</v>
      </c>
      <c r="T347" s="19">
        <f t="shared" si="311"/>
        <v>9.0835691100041679E-2</v>
      </c>
      <c r="U347" s="19">
        <f t="shared" si="311"/>
        <v>0.4015006390009429</v>
      </c>
      <c r="V347" s="19">
        <f t="shared" si="311"/>
        <v>0</v>
      </c>
      <c r="W347" s="19">
        <f t="shared" si="311"/>
        <v>0</v>
      </c>
      <c r="X347" s="19">
        <f t="shared" si="311"/>
        <v>0</v>
      </c>
      <c r="Y347" s="19">
        <f t="shared" si="311"/>
        <v>0</v>
      </c>
      <c r="Z347" s="19">
        <f t="shared" si="311"/>
        <v>0</v>
      </c>
      <c r="AA347" s="19">
        <f t="shared" si="311"/>
        <v>0</v>
      </c>
      <c r="AB347" s="19">
        <f t="shared" si="311"/>
        <v>0</v>
      </c>
      <c r="AC347" s="19">
        <f t="shared" si="311"/>
        <v>0</v>
      </c>
      <c r="AD347" s="19">
        <f t="shared" si="311"/>
        <v>0</v>
      </c>
      <c r="AE347" s="19">
        <f t="shared" si="311"/>
        <v>0</v>
      </c>
      <c r="AF347" s="19">
        <f t="shared" si="311"/>
        <v>0</v>
      </c>
      <c r="AG347" s="19">
        <f t="shared" si="311"/>
        <v>0</v>
      </c>
    </row>
    <row r="348" spans="1:33" outlineLevel="2">
      <c r="A348" s="21" t="s">
        <v>26</v>
      </c>
      <c r="B348" s="21">
        <v>154</v>
      </c>
      <c r="C348" s="21">
        <v>15489</v>
      </c>
      <c r="D348" s="22">
        <v>4064.12</v>
      </c>
      <c r="E348">
        <v>588.64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S348" s="19">
        <f t="shared" si="312"/>
        <v>0.17091954416820229</v>
      </c>
      <c r="T348" s="19">
        <f t="shared" si="311"/>
        <v>4.9747755480354004E-2</v>
      </c>
      <c r="U348" s="19">
        <f t="shared" si="311"/>
        <v>7.9522519041687709E-2</v>
      </c>
      <c r="V348" s="19">
        <f t="shared" si="311"/>
        <v>0</v>
      </c>
      <c r="W348" s="19">
        <f t="shared" si="311"/>
        <v>0</v>
      </c>
      <c r="X348" s="19">
        <f t="shared" si="311"/>
        <v>0</v>
      </c>
      <c r="Y348" s="19">
        <f t="shared" si="311"/>
        <v>0</v>
      </c>
      <c r="Z348" s="19">
        <f t="shared" si="311"/>
        <v>0</v>
      </c>
      <c r="AA348" s="19">
        <f t="shared" si="311"/>
        <v>0</v>
      </c>
      <c r="AB348" s="19">
        <f t="shared" si="311"/>
        <v>0</v>
      </c>
      <c r="AC348" s="19">
        <f t="shared" si="311"/>
        <v>0</v>
      </c>
      <c r="AD348" s="19">
        <f t="shared" si="311"/>
        <v>0</v>
      </c>
      <c r="AE348" s="19">
        <f t="shared" si="311"/>
        <v>0</v>
      </c>
      <c r="AF348" s="19">
        <f t="shared" si="311"/>
        <v>0</v>
      </c>
      <c r="AG348" s="19">
        <f t="shared" si="311"/>
        <v>0</v>
      </c>
    </row>
    <row r="349" spans="1:33" outlineLevel="2">
      <c r="A349" t="s">
        <v>26</v>
      </c>
      <c r="B349">
        <v>155</v>
      </c>
      <c r="C349">
        <v>6651.83</v>
      </c>
      <c r="D349">
        <v>158.72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S349" s="19">
        <f t="shared" si="312"/>
        <v>7.3402269448277685E-2</v>
      </c>
      <c r="T349" s="19">
        <f t="shared" si="311"/>
        <v>1.9428470984719417E-3</v>
      </c>
      <c r="U349" s="19">
        <f t="shared" si="311"/>
        <v>0</v>
      </c>
      <c r="V349" s="19">
        <f t="shared" si="311"/>
        <v>0</v>
      </c>
      <c r="W349" s="19">
        <f t="shared" si="311"/>
        <v>0</v>
      </c>
      <c r="X349" s="19">
        <f t="shared" si="311"/>
        <v>0</v>
      </c>
      <c r="Y349" s="19">
        <f t="shared" si="311"/>
        <v>0</v>
      </c>
      <c r="Z349" s="19">
        <f t="shared" si="311"/>
        <v>0</v>
      </c>
      <c r="AA349" s="19">
        <f t="shared" si="311"/>
        <v>0</v>
      </c>
      <c r="AB349" s="19">
        <f t="shared" si="311"/>
        <v>0</v>
      </c>
      <c r="AC349" s="19">
        <f t="shared" si="311"/>
        <v>0</v>
      </c>
      <c r="AD349" s="19">
        <f t="shared" si="311"/>
        <v>0</v>
      </c>
      <c r="AE349" s="19">
        <f t="shared" si="311"/>
        <v>0</v>
      </c>
      <c r="AF349" s="19">
        <f t="shared" si="311"/>
        <v>0</v>
      </c>
      <c r="AG349" s="19">
        <f t="shared" si="311"/>
        <v>0</v>
      </c>
    </row>
    <row r="350" spans="1:33" outlineLevel="2">
      <c r="A350" s="21" t="s">
        <v>26</v>
      </c>
      <c r="B350" s="21">
        <v>156</v>
      </c>
      <c r="C350" s="21">
        <v>6780.82</v>
      </c>
      <c r="D350" s="22">
        <v>858.32</v>
      </c>
      <c r="E350">
        <v>33.6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S350" s="19">
        <f t="shared" si="312"/>
        <v>7.4825661016633058E-2</v>
      </c>
      <c r="T350" s="19">
        <f t="shared" si="311"/>
        <v>1.0506454898944287E-2</v>
      </c>
      <c r="U350" s="19">
        <f t="shared" si="311"/>
        <v>4.5392033157799459E-3</v>
      </c>
      <c r="V350" s="19">
        <f t="shared" si="311"/>
        <v>0</v>
      </c>
      <c r="W350" s="19">
        <f t="shared" si="311"/>
        <v>0</v>
      </c>
      <c r="X350" s="19">
        <f t="shared" si="311"/>
        <v>0</v>
      </c>
      <c r="Y350" s="19">
        <f t="shared" si="311"/>
        <v>0</v>
      </c>
      <c r="Z350" s="19">
        <f t="shared" si="311"/>
        <v>0</v>
      </c>
      <c r="AA350" s="19">
        <f t="shared" si="311"/>
        <v>0</v>
      </c>
      <c r="AB350" s="19">
        <f t="shared" si="311"/>
        <v>0</v>
      </c>
      <c r="AC350" s="19">
        <f t="shared" si="311"/>
        <v>0</v>
      </c>
      <c r="AD350" s="19">
        <f t="shared" si="311"/>
        <v>0</v>
      </c>
      <c r="AE350" s="19">
        <f t="shared" si="311"/>
        <v>0</v>
      </c>
      <c r="AF350" s="19">
        <f t="shared" si="311"/>
        <v>0</v>
      </c>
      <c r="AG350" s="19">
        <f t="shared" si="311"/>
        <v>0</v>
      </c>
    </row>
    <row r="351" spans="1:33" outlineLevel="2">
      <c r="A351" s="21" t="s">
        <v>26</v>
      </c>
      <c r="B351" s="21">
        <v>157</v>
      </c>
      <c r="C351" s="21">
        <v>1056.97</v>
      </c>
      <c r="D351" s="22">
        <v>63.96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S351" s="19">
        <f t="shared" si="312"/>
        <v>1.166355675637322E-2</v>
      </c>
      <c r="T351" s="19">
        <f t="shared" si="311"/>
        <v>7.8291645928846645E-4</v>
      </c>
      <c r="U351" s="19">
        <f t="shared" si="311"/>
        <v>0</v>
      </c>
      <c r="V351" s="19">
        <f t="shared" si="311"/>
        <v>0</v>
      </c>
      <c r="W351" s="19">
        <f t="shared" si="311"/>
        <v>0</v>
      </c>
      <c r="X351" s="19">
        <f t="shared" si="311"/>
        <v>0</v>
      </c>
      <c r="Y351" s="19">
        <f t="shared" si="311"/>
        <v>0</v>
      </c>
      <c r="Z351" s="19">
        <f t="shared" si="311"/>
        <v>0</v>
      </c>
      <c r="AA351" s="19">
        <f t="shared" si="311"/>
        <v>0</v>
      </c>
      <c r="AB351" s="19">
        <f t="shared" si="311"/>
        <v>0</v>
      </c>
      <c r="AC351" s="19">
        <f t="shared" si="311"/>
        <v>0</v>
      </c>
      <c r="AD351" s="19">
        <f t="shared" si="311"/>
        <v>0</v>
      </c>
      <c r="AE351" s="19">
        <f t="shared" si="311"/>
        <v>0</v>
      </c>
      <c r="AF351" s="19">
        <f t="shared" si="311"/>
        <v>0</v>
      </c>
      <c r="AG351" s="19">
        <f t="shared" si="311"/>
        <v>0</v>
      </c>
    </row>
    <row r="352" spans="1:33" outlineLevel="2">
      <c r="A352" s="21" t="s">
        <v>26</v>
      </c>
      <c r="B352" s="21">
        <v>158</v>
      </c>
      <c r="C352" s="21">
        <v>636.62</v>
      </c>
      <c r="D352" s="22">
        <v>16.98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S352" s="19">
        <f t="shared" si="312"/>
        <v>7.025037136571822E-3</v>
      </c>
      <c r="T352" s="19">
        <f t="shared" si="311"/>
        <v>2.0784742774731334E-4</v>
      </c>
      <c r="U352" s="19">
        <f t="shared" si="311"/>
        <v>0</v>
      </c>
      <c r="V352" s="19">
        <f t="shared" si="311"/>
        <v>0</v>
      </c>
      <c r="W352" s="19">
        <f t="shared" si="311"/>
        <v>0</v>
      </c>
      <c r="X352" s="19">
        <f t="shared" si="311"/>
        <v>0</v>
      </c>
      <c r="Y352" s="19">
        <f t="shared" si="311"/>
        <v>0</v>
      </c>
      <c r="Z352" s="19">
        <f t="shared" si="311"/>
        <v>0</v>
      </c>
      <c r="AA352" s="19">
        <f t="shared" si="311"/>
        <v>0</v>
      </c>
      <c r="AB352" s="19">
        <f t="shared" si="311"/>
        <v>0</v>
      </c>
      <c r="AC352" s="19">
        <f t="shared" si="311"/>
        <v>0</v>
      </c>
      <c r="AD352" s="19">
        <f t="shared" si="311"/>
        <v>0</v>
      </c>
      <c r="AE352" s="19">
        <f t="shared" si="311"/>
        <v>0</v>
      </c>
      <c r="AF352" s="19">
        <f t="shared" si="311"/>
        <v>0</v>
      </c>
      <c r="AG352" s="19">
        <f t="shared" si="311"/>
        <v>0</v>
      </c>
    </row>
    <row r="353" spans="1:33" outlineLevel="2">
      <c r="A353" s="21" t="s">
        <v>26</v>
      </c>
      <c r="B353" s="21">
        <v>159</v>
      </c>
      <c r="C353" s="21">
        <v>15.78</v>
      </c>
      <c r="D353" s="22">
        <v>0.74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S353" s="19">
        <f t="shared" si="312"/>
        <v>1.7413069965615806E-4</v>
      </c>
      <c r="T353" s="19">
        <f t="shared" si="311"/>
        <v>9.0581328935813817E-6</v>
      </c>
      <c r="U353" s="19">
        <f t="shared" si="311"/>
        <v>0</v>
      </c>
      <c r="V353" s="19">
        <f t="shared" si="311"/>
        <v>0</v>
      </c>
      <c r="W353" s="19">
        <f t="shared" si="311"/>
        <v>0</v>
      </c>
      <c r="X353" s="19">
        <f t="shared" si="311"/>
        <v>0</v>
      </c>
      <c r="Y353" s="19">
        <f t="shared" si="311"/>
        <v>0</v>
      </c>
      <c r="Z353" s="19">
        <f t="shared" si="311"/>
        <v>0</v>
      </c>
      <c r="AA353" s="19">
        <f t="shared" si="311"/>
        <v>0</v>
      </c>
      <c r="AB353" s="19">
        <f t="shared" si="311"/>
        <v>0</v>
      </c>
      <c r="AC353" s="19">
        <f t="shared" si="311"/>
        <v>0</v>
      </c>
      <c r="AD353" s="19">
        <f t="shared" si="311"/>
        <v>0</v>
      </c>
      <c r="AE353" s="19">
        <f t="shared" si="311"/>
        <v>0</v>
      </c>
      <c r="AF353" s="19">
        <f t="shared" si="311"/>
        <v>0</v>
      </c>
      <c r="AG353" s="19">
        <f t="shared" si="311"/>
        <v>0</v>
      </c>
    </row>
    <row r="354" spans="1:33" outlineLevel="2">
      <c r="A354" t="s">
        <v>26</v>
      </c>
      <c r="B354">
        <v>160</v>
      </c>
      <c r="C354">
        <v>47.82</v>
      </c>
      <c r="D354">
        <v>6.68</v>
      </c>
      <c r="E354">
        <v>1.04</v>
      </c>
      <c r="F354">
        <v>0.14000000000000001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S354" s="19">
        <f t="shared" si="312"/>
        <v>5.2768885028881365E-4</v>
      </c>
      <c r="T354" s="19">
        <f t="shared" si="311"/>
        <v>8.1768010444761654E-5</v>
      </c>
      <c r="U354" s="19">
        <f t="shared" si="311"/>
        <v>1.4049915025033166E-4</v>
      </c>
      <c r="V354" s="19">
        <f t="shared" si="311"/>
        <v>1.7980991523246853E-3</v>
      </c>
      <c r="W354" s="19">
        <f t="shared" si="311"/>
        <v>0</v>
      </c>
      <c r="X354" s="19">
        <f t="shared" si="311"/>
        <v>0</v>
      </c>
      <c r="Y354" s="19">
        <f t="shared" si="311"/>
        <v>0</v>
      </c>
      <c r="Z354" s="19">
        <f t="shared" si="311"/>
        <v>0</v>
      </c>
      <c r="AA354" s="19">
        <f t="shared" si="311"/>
        <v>0</v>
      </c>
      <c r="AB354" s="19">
        <f t="shared" si="311"/>
        <v>0</v>
      </c>
      <c r="AC354" s="19">
        <f t="shared" si="311"/>
        <v>0</v>
      </c>
      <c r="AD354" s="19">
        <f t="shared" si="311"/>
        <v>0</v>
      </c>
      <c r="AE354" s="19">
        <f t="shared" si="311"/>
        <v>0</v>
      </c>
      <c r="AF354" s="19">
        <f t="shared" si="311"/>
        <v>0</v>
      </c>
      <c r="AG354" s="19">
        <f t="shared" si="311"/>
        <v>0</v>
      </c>
    </row>
    <row r="355" spans="1:33" outlineLevel="2">
      <c r="A355" s="21" t="s">
        <v>26</v>
      </c>
      <c r="B355" s="21">
        <v>165</v>
      </c>
      <c r="C355" s="21">
        <v>400.08</v>
      </c>
      <c r="D355" s="22">
        <v>2121.3000000000002</v>
      </c>
      <c r="E355">
        <v>59.8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S355" s="19">
        <f t="shared" si="312"/>
        <v>4.4148422255028972E-3</v>
      </c>
      <c r="T355" s="19">
        <f t="shared" si="311"/>
        <v>2.5966239604262413E-2</v>
      </c>
      <c r="U355" s="19">
        <f t="shared" si="311"/>
        <v>8.0787011393940698E-3</v>
      </c>
      <c r="V355" s="19">
        <f t="shared" si="311"/>
        <v>0</v>
      </c>
      <c r="W355" s="19">
        <f t="shared" si="311"/>
        <v>0</v>
      </c>
      <c r="X355" s="19">
        <f t="shared" si="311"/>
        <v>0</v>
      </c>
      <c r="Y355" s="19">
        <f t="shared" si="311"/>
        <v>0</v>
      </c>
      <c r="Z355" s="19">
        <f t="shared" si="311"/>
        <v>0</v>
      </c>
      <c r="AA355" s="19">
        <f t="shared" si="311"/>
        <v>0</v>
      </c>
      <c r="AB355" s="19">
        <f t="shared" si="311"/>
        <v>0</v>
      </c>
      <c r="AC355" s="19">
        <f t="shared" si="311"/>
        <v>0</v>
      </c>
      <c r="AD355" s="19">
        <f t="shared" si="311"/>
        <v>0</v>
      </c>
      <c r="AE355" s="19">
        <f t="shared" si="311"/>
        <v>0</v>
      </c>
      <c r="AF355" s="19">
        <f t="shared" si="311"/>
        <v>0</v>
      </c>
      <c r="AG355" s="19">
        <f t="shared" si="311"/>
        <v>0</v>
      </c>
    </row>
    <row r="356" spans="1:33" outlineLevel="1">
      <c r="A356" s="23" t="s">
        <v>80</v>
      </c>
      <c r="C356" s="21">
        <f t="shared" ref="C356:Q356" si="313">SUBTOTAL(9,C342:C355)</f>
        <v>90621.585000000006</v>
      </c>
      <c r="D356" s="22">
        <f t="shared" si="313"/>
        <v>81694.540000000008</v>
      </c>
      <c r="E356">
        <f t="shared" si="313"/>
        <v>7402.18</v>
      </c>
      <c r="F356">
        <f t="shared" si="313"/>
        <v>77.860000000000014</v>
      </c>
      <c r="G356">
        <f t="shared" si="313"/>
        <v>6.88</v>
      </c>
      <c r="H356">
        <f t="shared" si="313"/>
        <v>0</v>
      </c>
      <c r="I356">
        <f t="shared" si="313"/>
        <v>0</v>
      </c>
      <c r="J356">
        <f t="shared" si="313"/>
        <v>0</v>
      </c>
      <c r="K356">
        <f t="shared" si="313"/>
        <v>0</v>
      </c>
      <c r="L356">
        <f t="shared" si="313"/>
        <v>0</v>
      </c>
      <c r="M356">
        <f t="shared" si="313"/>
        <v>0</v>
      </c>
      <c r="N356">
        <f t="shared" si="313"/>
        <v>0</v>
      </c>
      <c r="O356">
        <f t="shared" si="313"/>
        <v>0</v>
      </c>
      <c r="P356">
        <f t="shared" si="313"/>
        <v>0</v>
      </c>
      <c r="Q356">
        <f t="shared" si="313"/>
        <v>0</v>
      </c>
    </row>
    <row r="357" spans="1:33" outlineLevel="2">
      <c r="A357" s="21" t="s">
        <v>27</v>
      </c>
      <c r="B357" s="21">
        <v>241</v>
      </c>
      <c r="C357" s="21">
        <v>7.8263999999999996</v>
      </c>
      <c r="D357" s="22">
        <v>0.86960000000000004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19"/>
      <c r="S357" s="19">
        <f>IF(C$364&gt;0, C357/C$364, 0)</f>
        <v>4.6529463487890527E-2</v>
      </c>
      <c r="T357" s="19">
        <f t="shared" ref="T357:AG363" si="314">IF(D$364&gt;0, D357/D$364, 0)</f>
        <v>9.8374490508151315E-3</v>
      </c>
      <c r="U357" s="19">
        <f t="shared" si="314"/>
        <v>0</v>
      </c>
      <c r="V357" s="19">
        <f t="shared" si="314"/>
        <v>0</v>
      </c>
      <c r="W357" s="19">
        <f t="shared" si="314"/>
        <v>0</v>
      </c>
      <c r="X357" s="19">
        <f t="shared" si="314"/>
        <v>0</v>
      </c>
      <c r="Y357" s="19">
        <f t="shared" si="314"/>
        <v>0</v>
      </c>
      <c r="Z357" s="19">
        <f t="shared" si="314"/>
        <v>0</v>
      </c>
      <c r="AA357" s="19">
        <f t="shared" si="314"/>
        <v>0</v>
      </c>
      <c r="AB357" s="19">
        <f t="shared" si="314"/>
        <v>0</v>
      </c>
      <c r="AC357" s="19">
        <f t="shared" si="314"/>
        <v>0</v>
      </c>
      <c r="AD357" s="19">
        <f t="shared" si="314"/>
        <v>0</v>
      </c>
      <c r="AE357" s="19">
        <f t="shared" si="314"/>
        <v>0</v>
      </c>
      <c r="AF357" s="19">
        <f t="shared" si="314"/>
        <v>0</v>
      </c>
      <c r="AG357" s="19">
        <f t="shared" si="314"/>
        <v>0</v>
      </c>
    </row>
    <row r="358" spans="1:33" outlineLevel="2">
      <c r="A358" s="21" t="s">
        <v>27</v>
      </c>
      <c r="B358" s="21">
        <v>281</v>
      </c>
      <c r="C358" s="21">
        <v>74.136600000000001</v>
      </c>
      <c r="D358" s="22">
        <v>8.2373999999999992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S358" s="19">
        <f t="shared" ref="S358:S363" si="315">IF(C$364&gt;0, C358/C$364, 0)</f>
        <v>0.44075644265771557</v>
      </c>
      <c r="T358" s="19">
        <f t="shared" si="314"/>
        <v>9.3186525771831369E-2</v>
      </c>
      <c r="U358" s="19">
        <f t="shared" si="314"/>
        <v>0</v>
      </c>
      <c r="V358" s="19">
        <f t="shared" si="314"/>
        <v>0</v>
      </c>
      <c r="W358" s="19">
        <f t="shared" si="314"/>
        <v>0</v>
      </c>
      <c r="X358" s="19">
        <f t="shared" si="314"/>
        <v>0</v>
      </c>
      <c r="Y358" s="19">
        <f t="shared" si="314"/>
        <v>0</v>
      </c>
      <c r="Z358" s="19">
        <f t="shared" si="314"/>
        <v>0</v>
      </c>
      <c r="AA358" s="19">
        <f t="shared" si="314"/>
        <v>0</v>
      </c>
      <c r="AB358" s="19">
        <f t="shared" si="314"/>
        <v>0</v>
      </c>
      <c r="AC358" s="19">
        <f t="shared" si="314"/>
        <v>0</v>
      </c>
      <c r="AD358" s="19">
        <f t="shared" si="314"/>
        <v>0</v>
      </c>
      <c r="AE358" s="19">
        <f t="shared" si="314"/>
        <v>0</v>
      </c>
      <c r="AF358" s="19">
        <f t="shared" si="314"/>
        <v>0</v>
      </c>
      <c r="AG358" s="19">
        <f t="shared" si="314"/>
        <v>0</v>
      </c>
    </row>
    <row r="359" spans="1:33" outlineLevel="2">
      <c r="A359" t="s">
        <v>27</v>
      </c>
      <c r="B359">
        <v>282</v>
      </c>
      <c r="C359">
        <v>3.1320000000000001</v>
      </c>
      <c r="D359">
        <v>5.2827000000000002</v>
      </c>
      <c r="E359">
        <v>0.54830000000000001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S359" s="19">
        <f t="shared" si="315"/>
        <v>1.8620346473994832E-2</v>
      </c>
      <c r="T359" s="19">
        <f t="shared" si="314"/>
        <v>5.9761145470033458E-2</v>
      </c>
      <c r="U359" s="19">
        <f t="shared" si="314"/>
        <v>2.0190229298847062E-2</v>
      </c>
      <c r="V359" s="19">
        <f t="shared" si="314"/>
        <v>0</v>
      </c>
      <c r="W359" s="19">
        <f t="shared" si="314"/>
        <v>0</v>
      </c>
      <c r="X359" s="19">
        <f t="shared" si="314"/>
        <v>0</v>
      </c>
      <c r="Y359" s="19">
        <f t="shared" si="314"/>
        <v>0</v>
      </c>
      <c r="Z359" s="19">
        <f t="shared" si="314"/>
        <v>0</v>
      </c>
      <c r="AA359" s="19">
        <f t="shared" si="314"/>
        <v>0</v>
      </c>
      <c r="AB359" s="19">
        <f t="shared" si="314"/>
        <v>0</v>
      </c>
      <c r="AC359" s="19">
        <f t="shared" si="314"/>
        <v>0</v>
      </c>
      <c r="AD359" s="19">
        <f t="shared" si="314"/>
        <v>0</v>
      </c>
      <c r="AE359" s="19">
        <f t="shared" si="314"/>
        <v>0</v>
      </c>
      <c r="AF359" s="19">
        <f t="shared" si="314"/>
        <v>0</v>
      </c>
      <c r="AG359" s="19">
        <f t="shared" si="314"/>
        <v>0</v>
      </c>
    </row>
    <row r="360" spans="1:33" outlineLevel="2">
      <c r="A360" s="21" t="s">
        <v>27</v>
      </c>
      <c r="B360" s="21">
        <v>283</v>
      </c>
      <c r="C360" s="21">
        <v>0</v>
      </c>
      <c r="D360" s="22">
        <v>25.7346</v>
      </c>
      <c r="E360">
        <v>2.8593999999999999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S360" s="19">
        <f t="shared" si="315"/>
        <v>0</v>
      </c>
      <c r="T360" s="19">
        <f t="shared" si="314"/>
        <v>0.29112559377082231</v>
      </c>
      <c r="U360" s="19">
        <f t="shared" si="314"/>
        <v>0.10529261655503061</v>
      </c>
      <c r="V360" s="19">
        <f t="shared" si="314"/>
        <v>0</v>
      </c>
      <c r="W360" s="19">
        <f t="shared" si="314"/>
        <v>0</v>
      </c>
      <c r="X360" s="19">
        <f t="shared" si="314"/>
        <v>0</v>
      </c>
      <c r="Y360" s="19">
        <f t="shared" si="314"/>
        <v>0</v>
      </c>
      <c r="Z360" s="19">
        <f t="shared" si="314"/>
        <v>0</v>
      </c>
      <c r="AA360" s="19">
        <f t="shared" si="314"/>
        <v>0</v>
      </c>
      <c r="AB360" s="19">
        <f t="shared" si="314"/>
        <v>0</v>
      </c>
      <c r="AC360" s="19">
        <f t="shared" si="314"/>
        <v>0</v>
      </c>
      <c r="AD360" s="19">
        <f t="shared" si="314"/>
        <v>0</v>
      </c>
      <c r="AE360" s="19">
        <f t="shared" si="314"/>
        <v>0</v>
      </c>
      <c r="AF360" s="19">
        <f t="shared" si="314"/>
        <v>0</v>
      </c>
      <c r="AG360" s="19">
        <f t="shared" si="314"/>
        <v>0</v>
      </c>
    </row>
    <row r="361" spans="1:33" outlineLevel="2">
      <c r="A361" s="21" t="s">
        <v>27</v>
      </c>
      <c r="B361" s="21">
        <v>284</v>
      </c>
      <c r="C361" s="21">
        <v>21.9099</v>
      </c>
      <c r="D361" s="22">
        <v>19.1371</v>
      </c>
      <c r="E361">
        <v>2.044</v>
      </c>
      <c r="F361">
        <v>0.87870000000000004</v>
      </c>
      <c r="G361">
        <v>8.43E-2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S361" s="19">
        <f t="shared" si="315"/>
        <v>0.13025859808766901</v>
      </c>
      <c r="T361" s="19">
        <f t="shared" si="314"/>
        <v>0.21649062353996579</v>
      </c>
      <c r="U361" s="19">
        <f t="shared" si="314"/>
        <v>7.5266877050598938E-2</v>
      </c>
      <c r="V361" s="19">
        <f t="shared" si="314"/>
        <v>0.11435450286309214</v>
      </c>
      <c r="W361" s="19">
        <f t="shared" si="314"/>
        <v>2.5057218440686025E-2</v>
      </c>
      <c r="X361" s="19">
        <f t="shared" si="314"/>
        <v>0</v>
      </c>
      <c r="Y361" s="19">
        <f t="shared" si="314"/>
        <v>0</v>
      </c>
      <c r="Z361" s="19">
        <f t="shared" si="314"/>
        <v>0</v>
      </c>
      <c r="AA361" s="19">
        <f t="shared" si="314"/>
        <v>0</v>
      </c>
      <c r="AB361" s="19">
        <f t="shared" si="314"/>
        <v>0</v>
      </c>
      <c r="AC361" s="19">
        <f t="shared" si="314"/>
        <v>0</v>
      </c>
      <c r="AD361" s="19">
        <f t="shared" si="314"/>
        <v>0</v>
      </c>
      <c r="AE361" s="19">
        <f t="shared" si="314"/>
        <v>0</v>
      </c>
      <c r="AF361" s="19">
        <f t="shared" si="314"/>
        <v>0</v>
      </c>
      <c r="AG361" s="19">
        <f t="shared" si="314"/>
        <v>0</v>
      </c>
    </row>
    <row r="362" spans="1:33" outlineLevel="2">
      <c r="A362" s="21" t="s">
        <v>27</v>
      </c>
      <c r="B362" s="21">
        <v>285</v>
      </c>
      <c r="C362" s="21">
        <v>17.558199999999999</v>
      </c>
      <c r="D362" s="22">
        <v>14.775499999999999</v>
      </c>
      <c r="E362">
        <v>15.185</v>
      </c>
      <c r="F362">
        <v>1.7253000000000001</v>
      </c>
      <c r="G362">
        <v>0.22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S362" s="19">
        <f t="shared" si="315"/>
        <v>0.10438689893349171</v>
      </c>
      <c r="T362" s="19">
        <f t="shared" si="314"/>
        <v>0.16714952673679734</v>
      </c>
      <c r="U362" s="19">
        <f t="shared" si="314"/>
        <v>0.55916219570124504</v>
      </c>
      <c r="V362" s="19">
        <f t="shared" si="314"/>
        <v>0.22453149401353462</v>
      </c>
      <c r="W362" s="19">
        <f t="shared" si="314"/>
        <v>6.5392503641173494E-2</v>
      </c>
      <c r="X362" s="19">
        <f t="shared" si="314"/>
        <v>0</v>
      </c>
      <c r="Y362" s="19">
        <f t="shared" si="314"/>
        <v>0</v>
      </c>
      <c r="Z362" s="19">
        <f t="shared" si="314"/>
        <v>0</v>
      </c>
      <c r="AA362" s="19">
        <f t="shared" si="314"/>
        <v>0</v>
      </c>
      <c r="AB362" s="19">
        <f t="shared" si="314"/>
        <v>0</v>
      </c>
      <c r="AC362" s="19">
        <f t="shared" si="314"/>
        <v>0</v>
      </c>
      <c r="AD362" s="19">
        <f t="shared" si="314"/>
        <v>0</v>
      </c>
      <c r="AE362" s="19">
        <f t="shared" si="314"/>
        <v>0</v>
      </c>
      <c r="AF362" s="19">
        <f t="shared" si="314"/>
        <v>0</v>
      </c>
      <c r="AG362" s="19">
        <f t="shared" si="314"/>
        <v>0</v>
      </c>
    </row>
    <row r="363" spans="1:33" outlineLevel="2">
      <c r="A363" t="s">
        <v>27</v>
      </c>
      <c r="B363">
        <v>288</v>
      </c>
      <c r="C363">
        <v>43.64</v>
      </c>
      <c r="D363">
        <v>14.36</v>
      </c>
      <c r="E363">
        <v>6.52</v>
      </c>
      <c r="F363">
        <v>5.08</v>
      </c>
      <c r="G363">
        <v>3.06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S363" s="19">
        <f t="shared" si="315"/>
        <v>0.2594482503592383</v>
      </c>
      <c r="T363" s="19">
        <f t="shared" si="314"/>
        <v>0.16244913565973468</v>
      </c>
      <c r="U363" s="19">
        <f t="shared" si="314"/>
        <v>0.24008808139427837</v>
      </c>
      <c r="V363" s="19">
        <f t="shared" si="314"/>
        <v>0.66111400312337321</v>
      </c>
      <c r="W363" s="19">
        <f t="shared" si="314"/>
        <v>0.90955027791814047</v>
      </c>
      <c r="X363" s="19">
        <f t="shared" si="314"/>
        <v>0</v>
      </c>
      <c r="Y363" s="19">
        <f t="shared" si="314"/>
        <v>0</v>
      </c>
      <c r="Z363" s="19">
        <f t="shared" si="314"/>
        <v>0</v>
      </c>
      <c r="AA363" s="19">
        <f t="shared" si="314"/>
        <v>0</v>
      </c>
      <c r="AB363" s="19">
        <f t="shared" si="314"/>
        <v>0</v>
      </c>
      <c r="AC363" s="19">
        <f t="shared" si="314"/>
        <v>0</v>
      </c>
      <c r="AD363" s="19">
        <f t="shared" si="314"/>
        <v>0</v>
      </c>
      <c r="AE363" s="19">
        <f t="shared" si="314"/>
        <v>0</v>
      </c>
      <c r="AF363" s="19">
        <f t="shared" si="314"/>
        <v>0</v>
      </c>
      <c r="AG363" s="19">
        <f t="shared" si="314"/>
        <v>0</v>
      </c>
    </row>
    <row r="364" spans="1:33" outlineLevel="1">
      <c r="A364" s="24" t="s">
        <v>81</v>
      </c>
      <c r="B364"/>
      <c r="C364">
        <f t="shared" ref="C364:Q364" si="316">SUBTOTAL(9,C357:C363)</f>
        <v>168.20310000000001</v>
      </c>
      <c r="D364">
        <f t="shared" si="316"/>
        <v>88.396899999999988</v>
      </c>
      <c r="E364">
        <f t="shared" si="316"/>
        <v>27.156700000000001</v>
      </c>
      <c r="F364">
        <f t="shared" si="316"/>
        <v>7.6840000000000002</v>
      </c>
      <c r="G364">
        <f t="shared" si="316"/>
        <v>3.3643000000000001</v>
      </c>
      <c r="H364">
        <f t="shared" si="316"/>
        <v>0</v>
      </c>
      <c r="I364">
        <f t="shared" si="316"/>
        <v>0</v>
      </c>
      <c r="J364">
        <f t="shared" si="316"/>
        <v>0</v>
      </c>
      <c r="K364">
        <f t="shared" si="316"/>
        <v>0</v>
      </c>
      <c r="L364">
        <f t="shared" si="316"/>
        <v>0</v>
      </c>
      <c r="M364">
        <f t="shared" si="316"/>
        <v>0</v>
      </c>
      <c r="N364">
        <f t="shared" si="316"/>
        <v>0</v>
      </c>
      <c r="O364">
        <f t="shared" si="316"/>
        <v>0</v>
      </c>
      <c r="P364">
        <f t="shared" si="316"/>
        <v>0</v>
      </c>
      <c r="Q364">
        <f t="shared" si="316"/>
        <v>0</v>
      </c>
    </row>
    <row r="365" spans="1:33" outlineLevel="2">
      <c r="A365" s="21" t="s">
        <v>28</v>
      </c>
      <c r="B365" s="21">
        <v>241</v>
      </c>
      <c r="C365" s="21">
        <v>26.947700000000001</v>
      </c>
      <c r="D365" s="22">
        <v>3.6044999999999998</v>
      </c>
      <c r="E365">
        <v>0.68</v>
      </c>
      <c r="F365">
        <v>0.2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19"/>
      <c r="S365" s="19">
        <f>IF(C$367&gt;0, C365/C$367, 0)</f>
        <v>0.60608521003375926</v>
      </c>
      <c r="T365" s="19">
        <f t="shared" ref="T365:AG366" si="317">IF(D$367&gt;0, D365/D$367, 0)</f>
        <v>0.61423240120648226</v>
      </c>
      <c r="U365" s="19">
        <f t="shared" si="317"/>
        <v>0.87179487179487181</v>
      </c>
      <c r="V365" s="19">
        <f t="shared" si="317"/>
        <v>1</v>
      </c>
      <c r="W365" s="19">
        <f t="shared" si="317"/>
        <v>0</v>
      </c>
      <c r="X365" s="19">
        <f t="shared" si="317"/>
        <v>0</v>
      </c>
      <c r="Y365" s="19">
        <f t="shared" si="317"/>
        <v>0</v>
      </c>
      <c r="Z365" s="19">
        <f t="shared" si="317"/>
        <v>0</v>
      </c>
      <c r="AA365" s="19">
        <f t="shared" si="317"/>
        <v>0</v>
      </c>
      <c r="AB365" s="19">
        <f t="shared" si="317"/>
        <v>0</v>
      </c>
      <c r="AC365" s="19">
        <f t="shared" si="317"/>
        <v>0</v>
      </c>
      <c r="AD365" s="19">
        <f t="shared" si="317"/>
        <v>0</v>
      </c>
      <c r="AE365" s="19">
        <f t="shared" si="317"/>
        <v>0</v>
      </c>
      <c r="AF365" s="19">
        <f t="shared" si="317"/>
        <v>0</v>
      </c>
      <c r="AG365" s="19">
        <f t="shared" si="317"/>
        <v>0</v>
      </c>
    </row>
    <row r="366" spans="1:33" outlineLevel="2">
      <c r="A366" s="21" t="s">
        <v>28</v>
      </c>
      <c r="B366" s="21">
        <v>242</v>
      </c>
      <c r="C366" s="21">
        <v>17.514199999999999</v>
      </c>
      <c r="D366" s="22">
        <v>2.2637999999999998</v>
      </c>
      <c r="E366">
        <v>0.1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S366" s="19">
        <f t="shared" ref="S366" si="318">IF(C$367&gt;0, C366/C$367, 0)</f>
        <v>0.39391478996624074</v>
      </c>
      <c r="T366" s="19">
        <f t="shared" si="317"/>
        <v>0.38576759879351769</v>
      </c>
      <c r="U366" s="19">
        <f t="shared" si="317"/>
        <v>0.12820512820512822</v>
      </c>
      <c r="V366" s="19">
        <f t="shared" si="317"/>
        <v>0</v>
      </c>
      <c r="W366" s="19">
        <f t="shared" si="317"/>
        <v>0</v>
      </c>
      <c r="X366" s="19">
        <f t="shared" si="317"/>
        <v>0</v>
      </c>
      <c r="Y366" s="19">
        <f t="shared" si="317"/>
        <v>0</v>
      </c>
      <c r="Z366" s="19">
        <f t="shared" si="317"/>
        <v>0</v>
      </c>
      <c r="AA366" s="19">
        <f t="shared" si="317"/>
        <v>0</v>
      </c>
      <c r="AB366" s="19">
        <f t="shared" si="317"/>
        <v>0</v>
      </c>
      <c r="AC366" s="19">
        <f t="shared" si="317"/>
        <v>0</v>
      </c>
      <c r="AD366" s="19">
        <f t="shared" si="317"/>
        <v>0</v>
      </c>
      <c r="AE366" s="19">
        <f t="shared" si="317"/>
        <v>0</v>
      </c>
      <c r="AF366" s="19">
        <f t="shared" si="317"/>
        <v>0</v>
      </c>
      <c r="AG366" s="19">
        <f t="shared" si="317"/>
        <v>0</v>
      </c>
    </row>
    <row r="367" spans="1:33" outlineLevel="1">
      <c r="A367" s="23" t="s">
        <v>82</v>
      </c>
      <c r="C367" s="21">
        <f t="shared" ref="C367:Q367" si="319">SUBTOTAL(9,C365:C366)</f>
        <v>44.4619</v>
      </c>
      <c r="D367" s="22">
        <f t="shared" si="319"/>
        <v>5.8682999999999996</v>
      </c>
      <c r="E367">
        <f t="shared" si="319"/>
        <v>0.78</v>
      </c>
      <c r="F367">
        <f t="shared" si="319"/>
        <v>0.2</v>
      </c>
      <c r="G367">
        <f t="shared" si="319"/>
        <v>0</v>
      </c>
      <c r="H367">
        <f t="shared" si="319"/>
        <v>0</v>
      </c>
      <c r="I367">
        <f t="shared" si="319"/>
        <v>0</v>
      </c>
      <c r="J367">
        <f t="shared" si="319"/>
        <v>0</v>
      </c>
      <c r="K367">
        <f t="shared" si="319"/>
        <v>0</v>
      </c>
      <c r="L367">
        <f t="shared" si="319"/>
        <v>0</v>
      </c>
      <c r="M367">
        <f t="shared" si="319"/>
        <v>0</v>
      </c>
      <c r="N367">
        <f t="shared" si="319"/>
        <v>0</v>
      </c>
      <c r="O367">
        <f t="shared" si="319"/>
        <v>0</v>
      </c>
      <c r="P367">
        <f t="shared" si="319"/>
        <v>0</v>
      </c>
      <c r="Q367">
        <f t="shared" si="319"/>
        <v>0</v>
      </c>
    </row>
    <row r="368" spans="1:33" outlineLevel="2">
      <c r="A368" s="21" t="s">
        <v>29</v>
      </c>
      <c r="B368" s="21">
        <v>333</v>
      </c>
      <c r="C368" s="21">
        <v>888.72</v>
      </c>
      <c r="D368" s="22">
        <v>61.64</v>
      </c>
      <c r="E368">
        <v>0.06</v>
      </c>
      <c r="F368">
        <v>0</v>
      </c>
      <c r="G368">
        <v>0</v>
      </c>
      <c r="H368">
        <v>371.28</v>
      </c>
      <c r="I368">
        <v>450.88</v>
      </c>
      <c r="J368">
        <v>417.76</v>
      </c>
      <c r="K368">
        <v>0</v>
      </c>
      <c r="L368">
        <v>0</v>
      </c>
      <c r="M368">
        <v>20</v>
      </c>
      <c r="N368">
        <v>544.08000000000004</v>
      </c>
      <c r="O368">
        <v>2130.36</v>
      </c>
      <c r="P368">
        <v>285.83999999999997</v>
      </c>
      <c r="Q368">
        <v>0</v>
      </c>
      <c r="R368" s="19"/>
      <c r="S368" s="19">
        <f>IF(C$375&gt;0, C368/C$375, 0)</f>
        <v>0.45165880630996913</v>
      </c>
      <c r="T368" s="19">
        <f t="shared" ref="T368:AG374" si="320">IF(D$375&gt;0, D368/D$375, 0)</f>
        <v>0.32211538461538458</v>
      </c>
      <c r="U368" s="19">
        <f t="shared" si="320"/>
        <v>1.4388489208633092E-3</v>
      </c>
      <c r="V368" s="19">
        <f t="shared" si="320"/>
        <v>0</v>
      </c>
      <c r="W368" s="19">
        <f t="shared" si="320"/>
        <v>0</v>
      </c>
      <c r="X368" s="19">
        <f t="shared" si="320"/>
        <v>0.41994299416368819</v>
      </c>
      <c r="Y368" s="19">
        <f t="shared" si="320"/>
        <v>0.52481609088369496</v>
      </c>
      <c r="Z368" s="19">
        <f t="shared" si="320"/>
        <v>0.63404565322972317</v>
      </c>
      <c r="AA368" s="19">
        <f t="shared" si="320"/>
        <v>0</v>
      </c>
      <c r="AB368" s="19">
        <f t="shared" si="320"/>
        <v>0</v>
      </c>
      <c r="AC368" s="19">
        <f t="shared" si="320"/>
        <v>0.40160642570281124</v>
      </c>
      <c r="AD368" s="19">
        <f t="shared" si="320"/>
        <v>0.36134208219323649</v>
      </c>
      <c r="AE368" s="19">
        <f t="shared" si="320"/>
        <v>0.35546285790562643</v>
      </c>
      <c r="AF368" s="19">
        <f t="shared" si="320"/>
        <v>0.61492126323035878</v>
      </c>
      <c r="AG368" s="19">
        <f t="shared" si="320"/>
        <v>0</v>
      </c>
    </row>
    <row r="369" spans="1:33" outlineLevel="2">
      <c r="A369" t="s">
        <v>29</v>
      </c>
      <c r="B369">
        <v>334</v>
      </c>
      <c r="C369">
        <v>93.38</v>
      </c>
      <c r="D369">
        <v>1.52</v>
      </c>
      <c r="E369">
        <v>0</v>
      </c>
      <c r="F369">
        <v>0</v>
      </c>
      <c r="G369">
        <v>0</v>
      </c>
      <c r="H369">
        <v>278.64</v>
      </c>
      <c r="I369">
        <v>128.68</v>
      </c>
      <c r="J369">
        <v>0</v>
      </c>
      <c r="K369">
        <v>0</v>
      </c>
      <c r="L369">
        <v>0</v>
      </c>
      <c r="M369">
        <v>1.56</v>
      </c>
      <c r="N369">
        <v>633.79999999999995</v>
      </c>
      <c r="O369">
        <v>2727.6</v>
      </c>
      <c r="P369">
        <v>179</v>
      </c>
      <c r="Q369">
        <v>0</v>
      </c>
      <c r="S369" s="19">
        <f t="shared" ref="S369:S374" si="321">IF(C$375&gt;0, C369/C$375, 0)</f>
        <v>4.7456903561554728E-2</v>
      </c>
      <c r="T369" s="19">
        <f t="shared" si="320"/>
        <v>7.94314381270903E-3</v>
      </c>
      <c r="U369" s="19">
        <f t="shared" si="320"/>
        <v>0</v>
      </c>
      <c r="V369" s="19">
        <f t="shared" si="320"/>
        <v>0</v>
      </c>
      <c r="W369" s="19">
        <f t="shared" si="320"/>
        <v>0</v>
      </c>
      <c r="X369" s="19">
        <f t="shared" si="320"/>
        <v>0.31516083789530835</v>
      </c>
      <c r="Y369" s="19">
        <f t="shared" si="320"/>
        <v>0.14978117143123199</v>
      </c>
      <c r="Z369" s="19">
        <f t="shared" si="320"/>
        <v>0</v>
      </c>
      <c r="AA369" s="19">
        <f t="shared" si="320"/>
        <v>0</v>
      </c>
      <c r="AB369" s="19">
        <f t="shared" si="320"/>
        <v>0</v>
      </c>
      <c r="AC369" s="19">
        <f t="shared" si="320"/>
        <v>3.1325301204819279E-2</v>
      </c>
      <c r="AD369" s="19">
        <f t="shared" si="320"/>
        <v>0.4209281938208963</v>
      </c>
      <c r="AE369" s="19">
        <f t="shared" si="320"/>
        <v>0.45511579790429152</v>
      </c>
      <c r="AF369" s="19">
        <f t="shared" si="320"/>
        <v>0.38507873676964116</v>
      </c>
      <c r="AG369" s="19">
        <f t="shared" si="320"/>
        <v>0</v>
      </c>
    </row>
    <row r="370" spans="1:33" outlineLevel="2">
      <c r="A370" s="21" t="s">
        <v>29</v>
      </c>
      <c r="B370" s="21">
        <v>335</v>
      </c>
      <c r="C370" s="21">
        <v>137.72</v>
      </c>
      <c r="D370" s="22">
        <v>11.4</v>
      </c>
      <c r="E370">
        <v>1.58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S370" s="19">
        <f t="shared" si="321"/>
        <v>6.9991055456171736E-2</v>
      </c>
      <c r="T370" s="19">
        <f t="shared" si="320"/>
        <v>5.9573578595317721E-2</v>
      </c>
      <c r="U370" s="19">
        <f t="shared" si="320"/>
        <v>3.7889688249400477E-2</v>
      </c>
      <c r="V370" s="19">
        <f t="shared" si="320"/>
        <v>0</v>
      </c>
      <c r="W370" s="19">
        <f t="shared" si="320"/>
        <v>0</v>
      </c>
      <c r="X370" s="19">
        <f t="shared" si="320"/>
        <v>0</v>
      </c>
      <c r="Y370" s="19">
        <f t="shared" si="320"/>
        <v>0</v>
      </c>
      <c r="Z370" s="19">
        <f t="shared" si="320"/>
        <v>0</v>
      </c>
      <c r="AA370" s="19">
        <f t="shared" si="320"/>
        <v>0</v>
      </c>
      <c r="AB370" s="19">
        <f t="shared" si="320"/>
        <v>0</v>
      </c>
      <c r="AC370" s="19">
        <f t="shared" si="320"/>
        <v>0</v>
      </c>
      <c r="AD370" s="19">
        <f t="shared" si="320"/>
        <v>0</v>
      </c>
      <c r="AE370" s="19">
        <f t="shared" si="320"/>
        <v>0</v>
      </c>
      <c r="AF370" s="19">
        <f t="shared" si="320"/>
        <v>0</v>
      </c>
      <c r="AG370" s="19">
        <f t="shared" si="320"/>
        <v>0</v>
      </c>
    </row>
    <row r="371" spans="1:33" outlineLevel="2">
      <c r="A371" s="21" t="s">
        <v>29</v>
      </c>
      <c r="B371" s="21">
        <v>336</v>
      </c>
      <c r="C371" s="21">
        <v>263.74</v>
      </c>
      <c r="D371" s="22">
        <v>28.22</v>
      </c>
      <c r="E371">
        <v>4.66</v>
      </c>
      <c r="F371">
        <v>0</v>
      </c>
      <c r="G371">
        <v>0</v>
      </c>
      <c r="H371">
        <v>234.2</v>
      </c>
      <c r="I371">
        <v>279.56</v>
      </c>
      <c r="J371">
        <v>241.12</v>
      </c>
      <c r="K371">
        <v>0</v>
      </c>
      <c r="L371">
        <v>0</v>
      </c>
      <c r="M371">
        <v>28.24</v>
      </c>
      <c r="N371">
        <v>327.84</v>
      </c>
      <c r="O371">
        <v>1135.24</v>
      </c>
      <c r="P371">
        <v>0</v>
      </c>
      <c r="Q371">
        <v>0</v>
      </c>
      <c r="S371" s="19">
        <f t="shared" si="321"/>
        <v>0.13403602211741747</v>
      </c>
      <c r="T371" s="19">
        <f t="shared" si="320"/>
        <v>0.14747073578595316</v>
      </c>
      <c r="U371" s="19">
        <f t="shared" si="320"/>
        <v>0.11175059952038369</v>
      </c>
      <c r="V371" s="19">
        <f t="shared" si="320"/>
        <v>0</v>
      </c>
      <c r="W371" s="19">
        <f t="shared" si="320"/>
        <v>0</v>
      </c>
      <c r="X371" s="19">
        <f t="shared" si="320"/>
        <v>0.26489616794100351</v>
      </c>
      <c r="Y371" s="19">
        <f t="shared" si="320"/>
        <v>0.32540273768507316</v>
      </c>
      <c r="Z371" s="19">
        <f t="shared" si="320"/>
        <v>0.36595434677027683</v>
      </c>
      <c r="AA371" s="19">
        <f t="shared" si="320"/>
        <v>0</v>
      </c>
      <c r="AB371" s="19">
        <f t="shared" si="320"/>
        <v>0</v>
      </c>
      <c r="AC371" s="19">
        <f t="shared" si="320"/>
        <v>0.56706827309236951</v>
      </c>
      <c r="AD371" s="19">
        <f t="shared" si="320"/>
        <v>0.21772972398586721</v>
      </c>
      <c r="AE371" s="19">
        <f t="shared" si="320"/>
        <v>0.18942134419008211</v>
      </c>
      <c r="AF371" s="19">
        <f t="shared" si="320"/>
        <v>0</v>
      </c>
      <c r="AG371" s="19">
        <f t="shared" si="320"/>
        <v>0</v>
      </c>
    </row>
    <row r="372" spans="1:33" outlineLevel="2">
      <c r="A372" s="21" t="s">
        <v>29</v>
      </c>
      <c r="B372" s="21">
        <v>337</v>
      </c>
      <c r="C372" s="21">
        <v>120</v>
      </c>
      <c r="D372" s="22">
        <v>6.38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S372" s="19">
        <f t="shared" si="321"/>
        <v>6.0985526101805174E-2</v>
      </c>
      <c r="T372" s="19">
        <f t="shared" si="320"/>
        <v>3.334030100334448E-2</v>
      </c>
      <c r="U372" s="19">
        <f t="shared" si="320"/>
        <v>0</v>
      </c>
      <c r="V372" s="19">
        <f t="shared" si="320"/>
        <v>0</v>
      </c>
      <c r="W372" s="19">
        <f t="shared" si="320"/>
        <v>0</v>
      </c>
      <c r="X372" s="19">
        <f t="shared" si="320"/>
        <v>0</v>
      </c>
      <c r="Y372" s="19">
        <f t="shared" si="320"/>
        <v>0</v>
      </c>
      <c r="Z372" s="19">
        <f t="shared" si="320"/>
        <v>0</v>
      </c>
      <c r="AA372" s="19">
        <f t="shared" si="320"/>
        <v>0</v>
      </c>
      <c r="AB372" s="19">
        <f t="shared" si="320"/>
        <v>0</v>
      </c>
      <c r="AC372" s="19">
        <f t="shared" si="320"/>
        <v>0</v>
      </c>
      <c r="AD372" s="19">
        <f t="shared" si="320"/>
        <v>0</v>
      </c>
      <c r="AE372" s="19">
        <f t="shared" si="320"/>
        <v>0</v>
      </c>
      <c r="AF372" s="19">
        <f t="shared" si="320"/>
        <v>0</v>
      </c>
      <c r="AG372" s="19">
        <f t="shared" si="320"/>
        <v>0</v>
      </c>
    </row>
    <row r="373" spans="1:33" outlineLevel="2">
      <c r="A373" t="s">
        <v>29</v>
      </c>
      <c r="B373">
        <v>338</v>
      </c>
      <c r="C373">
        <v>346.1</v>
      </c>
      <c r="D373">
        <v>49.52</v>
      </c>
      <c r="E373">
        <v>18.899999999999999</v>
      </c>
      <c r="F373">
        <v>5.36</v>
      </c>
      <c r="G373">
        <v>1.8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S373" s="19">
        <f t="shared" si="321"/>
        <v>0.17589242153195644</v>
      </c>
      <c r="T373" s="19">
        <f t="shared" si="320"/>
        <v>0.25877926421404684</v>
      </c>
      <c r="U373" s="19">
        <f t="shared" si="320"/>
        <v>0.4532374100719424</v>
      </c>
      <c r="V373" s="19">
        <f t="shared" si="320"/>
        <v>0.45117845117845123</v>
      </c>
      <c r="W373" s="19">
        <f t="shared" si="320"/>
        <v>0.53254437869822491</v>
      </c>
      <c r="X373" s="19">
        <f t="shared" si="320"/>
        <v>0</v>
      </c>
      <c r="Y373" s="19">
        <f t="shared" si="320"/>
        <v>0</v>
      </c>
      <c r="Z373" s="19">
        <f t="shared" si="320"/>
        <v>0</v>
      </c>
      <c r="AA373" s="19">
        <f t="shared" si="320"/>
        <v>0</v>
      </c>
      <c r="AB373" s="19">
        <f t="shared" si="320"/>
        <v>0</v>
      </c>
      <c r="AC373" s="19">
        <f t="shared" si="320"/>
        <v>0</v>
      </c>
      <c r="AD373" s="19">
        <f t="shared" si="320"/>
        <v>0</v>
      </c>
      <c r="AE373" s="19">
        <f t="shared" si="320"/>
        <v>0</v>
      </c>
      <c r="AF373" s="19">
        <f t="shared" si="320"/>
        <v>0</v>
      </c>
      <c r="AG373" s="19">
        <f t="shared" si="320"/>
        <v>0</v>
      </c>
    </row>
    <row r="374" spans="1:33" outlineLevel="2">
      <c r="A374" s="21" t="s">
        <v>29</v>
      </c>
      <c r="B374" s="21">
        <v>339</v>
      </c>
      <c r="C374" s="21">
        <v>118.02</v>
      </c>
      <c r="D374" s="22">
        <v>32.68</v>
      </c>
      <c r="E374">
        <v>16.5</v>
      </c>
      <c r="F374">
        <v>6.52</v>
      </c>
      <c r="G374">
        <v>1.58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S374" s="19">
        <f t="shared" si="321"/>
        <v>5.9979264921125389E-2</v>
      </c>
      <c r="T374" s="19">
        <f t="shared" si="320"/>
        <v>0.17077759197324413</v>
      </c>
      <c r="U374" s="19">
        <f t="shared" si="320"/>
        <v>0.39568345323741005</v>
      </c>
      <c r="V374" s="19">
        <f t="shared" si="320"/>
        <v>0.54882154882154888</v>
      </c>
      <c r="W374" s="19">
        <f t="shared" si="320"/>
        <v>0.4674556213017752</v>
      </c>
      <c r="X374" s="19">
        <f t="shared" si="320"/>
        <v>0</v>
      </c>
      <c r="Y374" s="19">
        <f t="shared" si="320"/>
        <v>0</v>
      </c>
      <c r="Z374" s="19">
        <f t="shared" si="320"/>
        <v>0</v>
      </c>
      <c r="AA374" s="19">
        <f t="shared" si="320"/>
        <v>0</v>
      </c>
      <c r="AB374" s="19">
        <f t="shared" si="320"/>
        <v>0</v>
      </c>
      <c r="AC374" s="19">
        <f t="shared" si="320"/>
        <v>0</v>
      </c>
      <c r="AD374" s="19">
        <f t="shared" si="320"/>
        <v>0</v>
      </c>
      <c r="AE374" s="19">
        <f t="shared" si="320"/>
        <v>0</v>
      </c>
      <c r="AF374" s="19">
        <f t="shared" si="320"/>
        <v>0</v>
      </c>
      <c r="AG374" s="19">
        <f t="shared" si="320"/>
        <v>0</v>
      </c>
    </row>
    <row r="375" spans="1:33" outlineLevel="1">
      <c r="A375" s="23" t="s">
        <v>83</v>
      </c>
      <c r="C375" s="21">
        <f t="shared" ref="C375:Q375" si="322">SUBTOTAL(9,C368:C374)</f>
        <v>1967.6799999999998</v>
      </c>
      <c r="D375" s="22">
        <f t="shared" si="322"/>
        <v>191.36</v>
      </c>
      <c r="E375">
        <f t="shared" si="322"/>
        <v>41.7</v>
      </c>
      <c r="F375">
        <f t="shared" si="322"/>
        <v>11.879999999999999</v>
      </c>
      <c r="G375">
        <f t="shared" si="322"/>
        <v>3.38</v>
      </c>
      <c r="H375">
        <f t="shared" si="322"/>
        <v>884.11999999999989</v>
      </c>
      <c r="I375">
        <f t="shared" si="322"/>
        <v>859.11999999999989</v>
      </c>
      <c r="J375">
        <f t="shared" si="322"/>
        <v>658.88</v>
      </c>
      <c r="K375">
        <f t="shared" si="322"/>
        <v>0</v>
      </c>
      <c r="L375">
        <f t="shared" si="322"/>
        <v>0</v>
      </c>
      <c r="M375">
        <f t="shared" si="322"/>
        <v>49.8</v>
      </c>
      <c r="N375">
        <f t="shared" si="322"/>
        <v>1505.72</v>
      </c>
      <c r="O375">
        <f t="shared" si="322"/>
        <v>5993.2</v>
      </c>
      <c r="P375">
        <f t="shared" si="322"/>
        <v>464.84</v>
      </c>
      <c r="Q375">
        <f t="shared" si="322"/>
        <v>0</v>
      </c>
    </row>
    <row r="376" spans="1:33" outlineLevel="2">
      <c r="A376" s="21" t="s">
        <v>30</v>
      </c>
      <c r="B376" s="21">
        <v>275</v>
      </c>
      <c r="C376" s="21">
        <v>0</v>
      </c>
      <c r="D376" s="22">
        <v>0</v>
      </c>
      <c r="E376">
        <v>0</v>
      </c>
      <c r="F376">
        <v>0</v>
      </c>
      <c r="G376">
        <v>0</v>
      </c>
      <c r="H376">
        <v>178.32</v>
      </c>
      <c r="I376">
        <v>627.88</v>
      </c>
      <c r="J376">
        <v>178.36</v>
      </c>
      <c r="K376">
        <v>0</v>
      </c>
      <c r="L376">
        <v>0</v>
      </c>
      <c r="M376">
        <v>0</v>
      </c>
      <c r="N376">
        <v>0.24</v>
      </c>
      <c r="O376">
        <v>731.2</v>
      </c>
      <c r="P376">
        <v>136.80000000000001</v>
      </c>
      <c r="Q376">
        <v>0</v>
      </c>
      <c r="R376" s="19"/>
      <c r="S376" s="19">
        <f>IF(C$386&gt;0, C376/C$386, 0)</f>
        <v>0</v>
      </c>
      <c r="T376" s="19">
        <f t="shared" ref="T376:AG385" si="323">IF(D$386&gt;0, D376/D$386, 0)</f>
        <v>0</v>
      </c>
      <c r="U376" s="19">
        <f t="shared" si="323"/>
        <v>0</v>
      </c>
      <c r="V376" s="19">
        <f t="shared" si="323"/>
        <v>0</v>
      </c>
      <c r="W376" s="19">
        <f t="shared" si="323"/>
        <v>0</v>
      </c>
      <c r="X376" s="19">
        <f t="shared" si="323"/>
        <v>2.8626468888460797E-2</v>
      </c>
      <c r="Y376" s="19">
        <f t="shared" si="323"/>
        <v>5.2044030370345822E-2</v>
      </c>
      <c r="Z376" s="19">
        <f t="shared" si="323"/>
        <v>1.3010620915032682E-2</v>
      </c>
      <c r="AA376" s="19">
        <f t="shared" si="323"/>
        <v>0</v>
      </c>
      <c r="AB376" s="19">
        <f t="shared" si="323"/>
        <v>0</v>
      </c>
      <c r="AC376" s="19">
        <f t="shared" si="323"/>
        <v>0</v>
      </c>
      <c r="AD376" s="19">
        <f t="shared" si="323"/>
        <v>0.15</v>
      </c>
      <c r="AE376" s="19">
        <f t="shared" si="323"/>
        <v>0.11186654345843866</v>
      </c>
      <c r="AF376" s="19">
        <f t="shared" si="323"/>
        <v>5.7754173245632562E-3</v>
      </c>
      <c r="AG376" s="19">
        <f t="shared" si="323"/>
        <v>0</v>
      </c>
    </row>
    <row r="377" spans="1:33" outlineLevel="2">
      <c r="A377" s="21" t="s">
        <v>30</v>
      </c>
      <c r="B377" s="21">
        <v>288</v>
      </c>
      <c r="C377" s="21">
        <v>83.92</v>
      </c>
      <c r="D377" s="22">
        <v>38.945500000000003</v>
      </c>
      <c r="E377">
        <v>15.9495</v>
      </c>
      <c r="F377">
        <v>11.52</v>
      </c>
      <c r="G377">
        <v>4.4000000000000004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S377" s="19">
        <f t="shared" ref="S377:S385" si="324">IF(C$386&gt;0, C377/C$386, 0)</f>
        <v>0.33784219001610311</v>
      </c>
      <c r="T377" s="19">
        <f t="shared" si="323"/>
        <v>0.94976283669263872</v>
      </c>
      <c r="U377" s="19">
        <f t="shared" si="323"/>
        <v>0.93002711449313391</v>
      </c>
      <c r="V377" s="19">
        <f t="shared" si="323"/>
        <v>0.98293515358361783</v>
      </c>
      <c r="W377" s="19">
        <f t="shared" si="323"/>
        <v>1</v>
      </c>
      <c r="X377" s="19">
        <f t="shared" si="323"/>
        <v>0</v>
      </c>
      <c r="Y377" s="19">
        <f t="shared" si="323"/>
        <v>0</v>
      </c>
      <c r="Z377" s="19">
        <f t="shared" si="323"/>
        <v>0</v>
      </c>
      <c r="AA377" s="19">
        <f t="shared" si="323"/>
        <v>0</v>
      </c>
      <c r="AB377" s="19">
        <f t="shared" si="323"/>
        <v>0</v>
      </c>
      <c r="AC377" s="19">
        <f t="shared" si="323"/>
        <v>0</v>
      </c>
      <c r="AD377" s="19">
        <f t="shared" si="323"/>
        <v>0</v>
      </c>
      <c r="AE377" s="19">
        <f t="shared" si="323"/>
        <v>0</v>
      </c>
      <c r="AF377" s="19">
        <f t="shared" si="323"/>
        <v>0</v>
      </c>
      <c r="AG377" s="19">
        <f t="shared" si="323"/>
        <v>0</v>
      </c>
    </row>
    <row r="378" spans="1:33" outlineLevel="2">
      <c r="A378" s="21" t="s">
        <v>30</v>
      </c>
      <c r="B378" s="21">
        <v>289</v>
      </c>
      <c r="C378" s="21">
        <v>0.94</v>
      </c>
      <c r="D378" s="22">
        <v>0.28000000000000003</v>
      </c>
      <c r="E378">
        <v>0.2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S378" s="19">
        <f t="shared" si="324"/>
        <v>3.7842190016103062E-3</v>
      </c>
      <c r="T378" s="19">
        <f t="shared" si="323"/>
        <v>6.8283522942044362E-3</v>
      </c>
      <c r="U378" s="19">
        <f t="shared" si="323"/>
        <v>1.1662147584477683E-2</v>
      </c>
      <c r="V378" s="19">
        <f t="shared" si="323"/>
        <v>0</v>
      </c>
      <c r="W378" s="19">
        <f t="shared" si="323"/>
        <v>0</v>
      </c>
      <c r="X378" s="19">
        <f t="shared" si="323"/>
        <v>0</v>
      </c>
      <c r="Y378" s="19">
        <f t="shared" si="323"/>
        <v>0</v>
      </c>
      <c r="Z378" s="19">
        <f t="shared" si="323"/>
        <v>0</v>
      </c>
      <c r="AA378" s="19">
        <f t="shared" si="323"/>
        <v>0</v>
      </c>
      <c r="AB378" s="19">
        <f t="shared" si="323"/>
        <v>0</v>
      </c>
      <c r="AC378" s="19">
        <f t="shared" si="323"/>
        <v>0</v>
      </c>
      <c r="AD378" s="19">
        <f t="shared" si="323"/>
        <v>0</v>
      </c>
      <c r="AE378" s="19">
        <f t="shared" si="323"/>
        <v>0</v>
      </c>
      <c r="AF378" s="19">
        <f t="shared" si="323"/>
        <v>0</v>
      </c>
      <c r="AG378" s="19">
        <f t="shared" si="323"/>
        <v>0</v>
      </c>
    </row>
    <row r="379" spans="1:33" outlineLevel="2">
      <c r="A379" t="s">
        <v>30</v>
      </c>
      <c r="B379">
        <v>292</v>
      </c>
      <c r="C379">
        <v>2.88</v>
      </c>
      <c r="D379">
        <v>0</v>
      </c>
      <c r="E379">
        <v>0</v>
      </c>
      <c r="F379">
        <v>0</v>
      </c>
      <c r="G379">
        <v>0</v>
      </c>
      <c r="H379">
        <v>226.24</v>
      </c>
      <c r="I379">
        <v>1256.1199999999999</v>
      </c>
      <c r="J379">
        <v>2171.4</v>
      </c>
      <c r="K379">
        <v>485.76</v>
      </c>
      <c r="L379">
        <v>0</v>
      </c>
      <c r="M379">
        <v>0</v>
      </c>
      <c r="N379">
        <v>0</v>
      </c>
      <c r="O379">
        <v>145.63999999999999</v>
      </c>
      <c r="P379">
        <v>2810.72</v>
      </c>
      <c r="Q379">
        <v>0</v>
      </c>
      <c r="S379" s="19">
        <f t="shared" si="324"/>
        <v>1.1594202898550725E-2</v>
      </c>
      <c r="T379" s="19">
        <f t="shared" si="323"/>
        <v>0</v>
      </c>
      <c r="U379" s="19">
        <f t="shared" si="323"/>
        <v>0</v>
      </c>
      <c r="V379" s="19">
        <f t="shared" si="323"/>
        <v>0</v>
      </c>
      <c r="W379" s="19">
        <f t="shared" si="323"/>
        <v>0</v>
      </c>
      <c r="X379" s="19">
        <f t="shared" si="323"/>
        <v>3.6319270532331603E-2</v>
      </c>
      <c r="Y379" s="19">
        <f t="shared" si="323"/>
        <v>0.10411790060011274</v>
      </c>
      <c r="Z379" s="19">
        <f t="shared" si="323"/>
        <v>0.15839460784313728</v>
      </c>
      <c r="AA379" s="19">
        <f t="shared" si="323"/>
        <v>0.1513610529464553</v>
      </c>
      <c r="AB379" s="19">
        <f t="shared" si="323"/>
        <v>0</v>
      </c>
      <c r="AC379" s="19">
        <f t="shared" si="323"/>
        <v>0</v>
      </c>
      <c r="AD379" s="19">
        <f t="shared" si="323"/>
        <v>0</v>
      </c>
      <c r="AE379" s="19">
        <f t="shared" si="323"/>
        <v>2.2281514482066469E-2</v>
      </c>
      <c r="AF379" s="19">
        <f t="shared" si="323"/>
        <v>0.11866287267906749</v>
      </c>
      <c r="AG379" s="19">
        <f t="shared" si="323"/>
        <v>0</v>
      </c>
    </row>
    <row r="380" spans="1:33" outlineLevel="2">
      <c r="A380" s="21" t="s">
        <v>30</v>
      </c>
      <c r="B380" s="21">
        <v>293</v>
      </c>
      <c r="C380" s="21">
        <v>2.6</v>
      </c>
      <c r="D380" s="22">
        <v>0</v>
      </c>
      <c r="E380">
        <v>0</v>
      </c>
      <c r="F380">
        <v>0</v>
      </c>
      <c r="G380">
        <v>0</v>
      </c>
      <c r="H380">
        <v>609.4</v>
      </c>
      <c r="I380">
        <v>1234.32</v>
      </c>
      <c r="J380">
        <v>4080.92</v>
      </c>
      <c r="K380">
        <v>132.72</v>
      </c>
      <c r="L380">
        <v>0</v>
      </c>
      <c r="M380">
        <v>0</v>
      </c>
      <c r="N380">
        <v>0.12</v>
      </c>
      <c r="O380">
        <v>1802.28</v>
      </c>
      <c r="P380">
        <v>1955.48</v>
      </c>
      <c r="Q380">
        <v>0</v>
      </c>
      <c r="S380" s="19">
        <f t="shared" si="324"/>
        <v>1.0466988727858294E-2</v>
      </c>
      <c r="T380" s="19">
        <f t="shared" si="323"/>
        <v>0</v>
      </c>
      <c r="U380" s="19">
        <f t="shared" si="323"/>
        <v>0</v>
      </c>
      <c r="V380" s="19">
        <f t="shared" si="323"/>
        <v>0</v>
      </c>
      <c r="W380" s="19">
        <f t="shared" si="323"/>
        <v>0</v>
      </c>
      <c r="X380" s="19">
        <f t="shared" si="323"/>
        <v>9.782957683169588E-2</v>
      </c>
      <c r="Y380" s="19">
        <f t="shared" si="323"/>
        <v>0.10231093133516794</v>
      </c>
      <c r="Z380" s="19">
        <f t="shared" si="323"/>
        <v>0.29768615779645191</v>
      </c>
      <c r="AA380" s="19">
        <f t="shared" si="323"/>
        <v>4.1355070296141196E-2</v>
      </c>
      <c r="AB380" s="19">
        <f t="shared" si="323"/>
        <v>0</v>
      </c>
      <c r="AC380" s="19">
        <f t="shared" si="323"/>
        <v>0</v>
      </c>
      <c r="AD380" s="19">
        <f t="shared" si="323"/>
        <v>7.4999999999999997E-2</v>
      </c>
      <c r="AE380" s="19">
        <f t="shared" si="323"/>
        <v>0.27573144686033207</v>
      </c>
      <c r="AF380" s="19">
        <f t="shared" si="323"/>
        <v>8.255638208945143E-2</v>
      </c>
      <c r="AG380" s="19">
        <f t="shared" si="323"/>
        <v>0</v>
      </c>
    </row>
    <row r="381" spans="1:33" outlineLevel="2">
      <c r="A381" s="21" t="s">
        <v>30</v>
      </c>
      <c r="B381" s="21">
        <v>294</v>
      </c>
      <c r="C381" s="21">
        <v>95.2</v>
      </c>
      <c r="D381" s="22">
        <v>0.46</v>
      </c>
      <c r="E381">
        <v>0</v>
      </c>
      <c r="F381">
        <v>0</v>
      </c>
      <c r="G381">
        <v>0</v>
      </c>
      <c r="H381">
        <v>1291.28</v>
      </c>
      <c r="I381">
        <v>2591.12</v>
      </c>
      <c r="J381">
        <v>2094.56</v>
      </c>
      <c r="K381">
        <v>2585.08</v>
      </c>
      <c r="L381">
        <v>0</v>
      </c>
      <c r="M381">
        <v>0</v>
      </c>
      <c r="N381">
        <v>0.12</v>
      </c>
      <c r="O381">
        <v>12.96</v>
      </c>
      <c r="P381">
        <v>12399.48</v>
      </c>
      <c r="Q381">
        <v>0</v>
      </c>
      <c r="S381" s="19">
        <f t="shared" si="324"/>
        <v>0.38325281803542677</v>
      </c>
      <c r="T381" s="19">
        <f t="shared" si="323"/>
        <v>1.1218007340478715E-2</v>
      </c>
      <c r="U381" s="19">
        <f t="shared" si="323"/>
        <v>0</v>
      </c>
      <c r="V381" s="19">
        <f t="shared" si="323"/>
        <v>0</v>
      </c>
      <c r="W381" s="19">
        <f t="shared" si="323"/>
        <v>0</v>
      </c>
      <c r="X381" s="19">
        <f t="shared" si="323"/>
        <v>0.20729467668400436</v>
      </c>
      <c r="Y381" s="19">
        <f t="shared" si="323"/>
        <v>0.21477404595338354</v>
      </c>
      <c r="Z381" s="19">
        <f t="shared" si="323"/>
        <v>0.15278944911297854</v>
      </c>
      <c r="AA381" s="19">
        <f t="shared" si="323"/>
        <v>0.8055015455179978</v>
      </c>
      <c r="AB381" s="19">
        <f t="shared" si="323"/>
        <v>0</v>
      </c>
      <c r="AC381" s="19">
        <f t="shared" si="323"/>
        <v>0</v>
      </c>
      <c r="AD381" s="19">
        <f t="shared" si="323"/>
        <v>7.4999999999999997E-2</v>
      </c>
      <c r="AE381" s="19">
        <f t="shared" si="323"/>
        <v>1.9827549278191533E-3</v>
      </c>
      <c r="AF381" s="19">
        <f t="shared" si="323"/>
        <v>0.52348078660508479</v>
      </c>
      <c r="AG381" s="19">
        <f t="shared" si="323"/>
        <v>0</v>
      </c>
    </row>
    <row r="382" spans="1:33" outlineLevel="2">
      <c r="A382" s="21" t="s">
        <v>30</v>
      </c>
      <c r="B382" s="21">
        <v>295</v>
      </c>
      <c r="C382" s="21">
        <v>4.0999999999999996</v>
      </c>
      <c r="D382" s="22">
        <v>1.32</v>
      </c>
      <c r="E382">
        <v>1</v>
      </c>
      <c r="F382">
        <v>0.2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S382" s="19">
        <f t="shared" si="324"/>
        <v>1.6505636070853463E-2</v>
      </c>
      <c r="T382" s="19">
        <f t="shared" si="323"/>
        <v>3.2190803672678056E-2</v>
      </c>
      <c r="U382" s="19">
        <f t="shared" si="323"/>
        <v>5.831073792238841E-2</v>
      </c>
      <c r="V382" s="19">
        <f t="shared" si="323"/>
        <v>1.7064846416382257E-2</v>
      </c>
      <c r="W382" s="19">
        <f t="shared" si="323"/>
        <v>0</v>
      </c>
      <c r="X382" s="19">
        <f t="shared" si="323"/>
        <v>0</v>
      </c>
      <c r="Y382" s="19">
        <f t="shared" si="323"/>
        <v>0</v>
      </c>
      <c r="Z382" s="19">
        <f t="shared" si="323"/>
        <v>0</v>
      </c>
      <c r="AA382" s="19">
        <f t="shared" si="323"/>
        <v>0</v>
      </c>
      <c r="AB382" s="19">
        <f t="shared" si="323"/>
        <v>0</v>
      </c>
      <c r="AC382" s="19">
        <f t="shared" si="323"/>
        <v>0</v>
      </c>
      <c r="AD382" s="19">
        <f t="shared" si="323"/>
        <v>0</v>
      </c>
      <c r="AE382" s="19">
        <f t="shared" si="323"/>
        <v>0</v>
      </c>
      <c r="AF382" s="19">
        <f t="shared" si="323"/>
        <v>0</v>
      </c>
      <c r="AG382" s="19">
        <f t="shared" si="323"/>
        <v>0</v>
      </c>
    </row>
    <row r="383" spans="1:33" outlineLevel="2">
      <c r="A383" s="21" t="s">
        <v>30</v>
      </c>
      <c r="B383" s="21">
        <v>297</v>
      </c>
      <c r="C383" s="21">
        <v>0</v>
      </c>
      <c r="D383" s="22">
        <v>0</v>
      </c>
      <c r="E383">
        <v>0</v>
      </c>
      <c r="F383">
        <v>0</v>
      </c>
      <c r="G383">
        <v>0</v>
      </c>
      <c r="H383">
        <v>1233.52</v>
      </c>
      <c r="I383">
        <v>1918.12</v>
      </c>
      <c r="J383">
        <v>987</v>
      </c>
      <c r="K383">
        <v>0</v>
      </c>
      <c r="L383">
        <v>0</v>
      </c>
      <c r="M383">
        <v>0</v>
      </c>
      <c r="N383">
        <v>1.1200000000000001</v>
      </c>
      <c r="O383">
        <v>1283.4000000000001</v>
      </c>
      <c r="P383">
        <v>1118.72</v>
      </c>
      <c r="Q383">
        <v>0</v>
      </c>
      <c r="S383" s="19">
        <f t="shared" si="324"/>
        <v>0</v>
      </c>
      <c r="T383" s="19">
        <f t="shared" si="323"/>
        <v>0</v>
      </c>
      <c r="U383" s="19">
        <f t="shared" si="323"/>
        <v>0</v>
      </c>
      <c r="V383" s="19">
        <f t="shared" si="323"/>
        <v>0</v>
      </c>
      <c r="W383" s="19">
        <f t="shared" si="323"/>
        <v>0</v>
      </c>
      <c r="X383" s="19">
        <f t="shared" si="323"/>
        <v>0.19802221794130867</v>
      </c>
      <c r="Y383" s="19">
        <f t="shared" si="323"/>
        <v>0.15899008653559235</v>
      </c>
      <c r="Z383" s="19">
        <f t="shared" si="323"/>
        <v>7.1997549019607851E-2</v>
      </c>
      <c r="AA383" s="19">
        <f t="shared" si="323"/>
        <v>0</v>
      </c>
      <c r="AB383" s="19">
        <f t="shared" si="323"/>
        <v>0</v>
      </c>
      <c r="AC383" s="19">
        <f t="shared" si="323"/>
        <v>0</v>
      </c>
      <c r="AD383" s="19">
        <f t="shared" si="323"/>
        <v>0.70000000000000007</v>
      </c>
      <c r="AE383" s="19">
        <f t="shared" si="323"/>
        <v>0.19634781437986895</v>
      </c>
      <c r="AF383" s="19">
        <f t="shared" si="323"/>
        <v>4.7230079454206181E-2</v>
      </c>
      <c r="AG383" s="19">
        <f t="shared" si="323"/>
        <v>0</v>
      </c>
    </row>
    <row r="384" spans="1:33" outlineLevel="2">
      <c r="A384" t="s">
        <v>30</v>
      </c>
      <c r="B384">
        <v>298</v>
      </c>
      <c r="C384">
        <v>45.64</v>
      </c>
      <c r="D384">
        <v>0</v>
      </c>
      <c r="E384">
        <v>0</v>
      </c>
      <c r="F384">
        <v>0</v>
      </c>
      <c r="G384">
        <v>0</v>
      </c>
      <c r="H384">
        <v>1458.64</v>
      </c>
      <c r="I384">
        <v>3039.72</v>
      </c>
      <c r="J384">
        <v>2967.56</v>
      </c>
      <c r="K384">
        <v>5.72</v>
      </c>
      <c r="L384">
        <v>0</v>
      </c>
      <c r="M384">
        <v>0</v>
      </c>
      <c r="N384">
        <v>0</v>
      </c>
      <c r="O384">
        <v>1841.48</v>
      </c>
      <c r="P384">
        <v>4661.4799999999996</v>
      </c>
      <c r="Q384">
        <v>0</v>
      </c>
      <c r="S384" s="19">
        <f t="shared" si="324"/>
        <v>0.18373590982286636</v>
      </c>
      <c r="T384" s="19">
        <f t="shared" si="323"/>
        <v>0</v>
      </c>
      <c r="U384" s="19">
        <f t="shared" si="323"/>
        <v>0</v>
      </c>
      <c r="V384" s="19">
        <f t="shared" si="323"/>
        <v>0</v>
      </c>
      <c r="W384" s="19">
        <f t="shared" si="323"/>
        <v>0</v>
      </c>
      <c r="X384" s="19">
        <f t="shared" si="323"/>
        <v>0.23416169010466836</v>
      </c>
      <c r="Y384" s="19">
        <f t="shared" si="323"/>
        <v>0.25195782633201819</v>
      </c>
      <c r="Z384" s="19">
        <f t="shared" si="323"/>
        <v>0.21647117180205416</v>
      </c>
      <c r="AA384" s="19">
        <f t="shared" si="323"/>
        <v>1.7823312394057234E-3</v>
      </c>
      <c r="AB384" s="19">
        <f t="shared" si="323"/>
        <v>0</v>
      </c>
      <c r="AC384" s="19">
        <f t="shared" si="323"/>
        <v>0</v>
      </c>
      <c r="AD384" s="19">
        <f t="shared" si="323"/>
        <v>0</v>
      </c>
      <c r="AE384" s="19">
        <f t="shared" si="323"/>
        <v>0.28172866855558754</v>
      </c>
      <c r="AF384" s="19">
        <f t="shared" si="323"/>
        <v>0.1967981896937509</v>
      </c>
      <c r="AG384" s="19">
        <f t="shared" si="323"/>
        <v>0</v>
      </c>
    </row>
    <row r="385" spans="1:33" outlineLevel="2">
      <c r="A385" s="21" t="s">
        <v>30</v>
      </c>
      <c r="B385" s="21">
        <v>299</v>
      </c>
      <c r="C385" s="21">
        <v>13.12</v>
      </c>
      <c r="D385" s="22">
        <v>0</v>
      </c>
      <c r="E385">
        <v>0</v>
      </c>
      <c r="F385">
        <v>0</v>
      </c>
      <c r="G385">
        <v>0</v>
      </c>
      <c r="H385">
        <v>1231.8</v>
      </c>
      <c r="I385">
        <v>1397.12</v>
      </c>
      <c r="J385">
        <v>1229</v>
      </c>
      <c r="K385">
        <v>0</v>
      </c>
      <c r="L385">
        <v>0</v>
      </c>
      <c r="M385">
        <v>0</v>
      </c>
      <c r="N385">
        <v>0</v>
      </c>
      <c r="O385">
        <v>719.4</v>
      </c>
      <c r="P385">
        <v>603.91999999999996</v>
      </c>
      <c r="Q385">
        <v>0</v>
      </c>
      <c r="S385" s="19">
        <f t="shared" si="324"/>
        <v>5.281803542673108E-2</v>
      </c>
      <c r="T385" s="19">
        <f t="shared" si="323"/>
        <v>0</v>
      </c>
      <c r="U385" s="19">
        <f t="shared" si="323"/>
        <v>0</v>
      </c>
      <c r="V385" s="19">
        <f t="shared" si="323"/>
        <v>0</v>
      </c>
      <c r="W385" s="19">
        <f t="shared" si="323"/>
        <v>0</v>
      </c>
      <c r="X385" s="19">
        <f t="shared" si="323"/>
        <v>0.19774609901753035</v>
      </c>
      <c r="Y385" s="19">
        <f t="shared" si="323"/>
        <v>0.11580517887337954</v>
      </c>
      <c r="Z385" s="19">
        <f t="shared" si="323"/>
        <v>8.9650443510737629E-2</v>
      </c>
      <c r="AA385" s="19">
        <f t="shared" si="323"/>
        <v>0</v>
      </c>
      <c r="AB385" s="19">
        <f t="shared" si="323"/>
        <v>0</v>
      </c>
      <c r="AC385" s="19">
        <f t="shared" si="323"/>
        <v>0</v>
      </c>
      <c r="AD385" s="19">
        <f t="shared" si="323"/>
        <v>0</v>
      </c>
      <c r="AE385" s="19">
        <f t="shared" si="323"/>
        <v>0.11006125733588726</v>
      </c>
      <c r="AF385" s="19">
        <f t="shared" si="323"/>
        <v>2.549627215387603E-2</v>
      </c>
      <c r="AG385" s="19">
        <f t="shared" si="323"/>
        <v>0</v>
      </c>
    </row>
    <row r="386" spans="1:33" outlineLevel="1">
      <c r="A386" s="23" t="s">
        <v>84</v>
      </c>
      <c r="C386" s="21">
        <f t="shared" ref="C386:Q386" si="325">SUBTOTAL(9,C376:C385)</f>
        <v>248.39999999999998</v>
      </c>
      <c r="D386" s="22">
        <f t="shared" si="325"/>
        <v>41.005500000000005</v>
      </c>
      <c r="E386">
        <f t="shared" si="325"/>
        <v>17.1495</v>
      </c>
      <c r="F386">
        <f t="shared" si="325"/>
        <v>11.719999999999999</v>
      </c>
      <c r="G386">
        <f t="shared" si="325"/>
        <v>4.4000000000000004</v>
      </c>
      <c r="H386">
        <f t="shared" si="325"/>
        <v>6229.2</v>
      </c>
      <c r="I386">
        <f t="shared" si="325"/>
        <v>12064.399999999998</v>
      </c>
      <c r="J386">
        <f t="shared" si="325"/>
        <v>13708.8</v>
      </c>
      <c r="K386">
        <f t="shared" si="325"/>
        <v>3209.2799999999997</v>
      </c>
      <c r="L386">
        <f t="shared" si="325"/>
        <v>0</v>
      </c>
      <c r="M386">
        <f t="shared" si="325"/>
        <v>0</v>
      </c>
      <c r="N386">
        <f t="shared" si="325"/>
        <v>1.6</v>
      </c>
      <c r="O386">
        <f t="shared" si="325"/>
        <v>6536.36</v>
      </c>
      <c r="P386">
        <f t="shared" si="325"/>
        <v>23686.6</v>
      </c>
      <c r="Q386">
        <f t="shared" si="325"/>
        <v>0</v>
      </c>
    </row>
    <row r="387" spans="1:33" outlineLevel="2">
      <c r="A387" t="s">
        <v>31</v>
      </c>
      <c r="B387">
        <v>244</v>
      </c>
      <c r="C387">
        <v>2.66</v>
      </c>
      <c r="D387">
        <v>1.22</v>
      </c>
      <c r="E387">
        <v>0.76</v>
      </c>
      <c r="F387">
        <v>0.9</v>
      </c>
      <c r="G387">
        <v>0.76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19"/>
      <c r="S387" s="19">
        <f>IF(C$396&gt;0, C387/C$396, 0)</f>
        <v>2.2296730930427493E-2</v>
      </c>
      <c r="T387" s="19">
        <f t="shared" ref="T387:AG395" si="326">IF(D$396&gt;0, D387/D$396, 0)</f>
        <v>4.1895604395604386E-2</v>
      </c>
      <c r="U387" s="19">
        <f t="shared" si="326"/>
        <v>5.588235294117648E-2</v>
      </c>
      <c r="V387" s="19">
        <f t="shared" si="326"/>
        <v>8.0500894454382826E-2</v>
      </c>
      <c r="W387" s="19">
        <f t="shared" si="326"/>
        <v>0.18095238095238095</v>
      </c>
      <c r="X387" s="19">
        <f t="shared" si="326"/>
        <v>0</v>
      </c>
      <c r="Y387" s="19">
        <f t="shared" si="326"/>
        <v>0</v>
      </c>
      <c r="Z387" s="19">
        <f t="shared" si="326"/>
        <v>0</v>
      </c>
      <c r="AA387" s="19">
        <f t="shared" si="326"/>
        <v>0</v>
      </c>
      <c r="AB387" s="19">
        <f t="shared" si="326"/>
        <v>0</v>
      </c>
      <c r="AC387" s="19">
        <f t="shared" si="326"/>
        <v>0</v>
      </c>
      <c r="AD387" s="19">
        <f t="shared" si="326"/>
        <v>0</v>
      </c>
      <c r="AE387" s="19">
        <f t="shared" si="326"/>
        <v>0</v>
      </c>
      <c r="AF387" s="19">
        <f t="shared" si="326"/>
        <v>0</v>
      </c>
      <c r="AG387" s="19">
        <f t="shared" si="326"/>
        <v>0</v>
      </c>
    </row>
    <row r="388" spans="1:33" outlineLevel="2">
      <c r="A388" s="21" t="s">
        <v>31</v>
      </c>
      <c r="B388" s="21">
        <v>245</v>
      </c>
      <c r="C388" s="21">
        <v>9.24</v>
      </c>
      <c r="D388" s="22">
        <v>6.76</v>
      </c>
      <c r="E388">
        <v>4.5199999999999996</v>
      </c>
      <c r="F388">
        <v>2.94</v>
      </c>
      <c r="G388">
        <v>0.08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S388" s="19">
        <f t="shared" ref="S388:S395" si="327">IF(C$396&gt;0, C388/C$396, 0)</f>
        <v>7.7451802179379706E-2</v>
      </c>
      <c r="T388" s="19">
        <f t="shared" si="326"/>
        <v>0.2321428571428571</v>
      </c>
      <c r="U388" s="19">
        <f t="shared" si="326"/>
        <v>0.33235294117647063</v>
      </c>
      <c r="V388" s="19">
        <f t="shared" si="326"/>
        <v>0.2629695885509839</v>
      </c>
      <c r="W388" s="19">
        <f t="shared" si="326"/>
        <v>1.9047619047619046E-2</v>
      </c>
      <c r="X388" s="19">
        <f t="shared" si="326"/>
        <v>0</v>
      </c>
      <c r="Y388" s="19">
        <f t="shared" si="326"/>
        <v>0</v>
      </c>
      <c r="Z388" s="19">
        <f t="shared" si="326"/>
        <v>0</v>
      </c>
      <c r="AA388" s="19">
        <f t="shared" si="326"/>
        <v>0</v>
      </c>
      <c r="AB388" s="19">
        <f t="shared" si="326"/>
        <v>0</v>
      </c>
      <c r="AC388" s="19">
        <f t="shared" si="326"/>
        <v>0</v>
      </c>
      <c r="AD388" s="19">
        <f t="shared" si="326"/>
        <v>0</v>
      </c>
      <c r="AE388" s="19">
        <f t="shared" si="326"/>
        <v>0</v>
      </c>
      <c r="AF388" s="19">
        <f t="shared" si="326"/>
        <v>0</v>
      </c>
      <c r="AG388" s="19">
        <f t="shared" si="326"/>
        <v>0</v>
      </c>
    </row>
    <row r="389" spans="1:33" outlineLevel="2">
      <c r="A389" s="21" t="s">
        <v>31</v>
      </c>
      <c r="B389" s="21">
        <v>294</v>
      </c>
      <c r="C389" s="21">
        <v>43.18</v>
      </c>
      <c r="D389" s="22">
        <v>3.2</v>
      </c>
      <c r="E389">
        <v>0</v>
      </c>
      <c r="F389">
        <v>0</v>
      </c>
      <c r="G389">
        <v>0</v>
      </c>
      <c r="H389">
        <v>1119.4000000000001</v>
      </c>
      <c r="I389">
        <v>2135.52</v>
      </c>
      <c r="J389">
        <v>3198.48</v>
      </c>
      <c r="K389">
        <v>2675.04</v>
      </c>
      <c r="L389">
        <v>0</v>
      </c>
      <c r="M389">
        <v>0</v>
      </c>
      <c r="N389">
        <v>0</v>
      </c>
      <c r="O389">
        <v>151.08000000000001</v>
      </c>
      <c r="P389">
        <v>15896.2</v>
      </c>
      <c r="Q389">
        <v>0</v>
      </c>
      <c r="S389" s="19">
        <f t="shared" si="327"/>
        <v>0.36194467728415752</v>
      </c>
      <c r="T389" s="19">
        <f t="shared" si="326"/>
        <v>0.10989010989010987</v>
      </c>
      <c r="U389" s="19">
        <f t="shared" si="326"/>
        <v>0</v>
      </c>
      <c r="V389" s="19">
        <f t="shared" si="326"/>
        <v>0</v>
      </c>
      <c r="W389" s="19">
        <f t="shared" si="326"/>
        <v>0</v>
      </c>
      <c r="X389" s="19">
        <f t="shared" si="326"/>
        <v>0.56238821567090691</v>
      </c>
      <c r="Y389" s="19">
        <f t="shared" si="326"/>
        <v>0.63831466182044261</v>
      </c>
      <c r="Z389" s="19">
        <f t="shared" si="326"/>
        <v>0.82991177996886356</v>
      </c>
      <c r="AA389" s="19">
        <f t="shared" si="326"/>
        <v>0.73080537646158883</v>
      </c>
      <c r="AB389" s="19">
        <f t="shared" si="326"/>
        <v>0</v>
      </c>
      <c r="AC389" s="19">
        <f t="shared" si="326"/>
        <v>0</v>
      </c>
      <c r="AD389" s="19">
        <f t="shared" si="326"/>
        <v>0</v>
      </c>
      <c r="AE389" s="19">
        <f t="shared" si="326"/>
        <v>1</v>
      </c>
      <c r="AF389" s="19">
        <f t="shared" si="326"/>
        <v>0.98429458124662539</v>
      </c>
      <c r="AG389" s="19">
        <f t="shared" si="326"/>
        <v>0</v>
      </c>
    </row>
    <row r="390" spans="1:33" outlineLevel="2">
      <c r="A390" s="21" t="s">
        <v>31</v>
      </c>
      <c r="B390" s="21">
        <v>300</v>
      </c>
      <c r="C390" s="21">
        <v>21.14</v>
      </c>
      <c r="D390" s="22">
        <v>12.24</v>
      </c>
      <c r="E390">
        <v>6.46</v>
      </c>
      <c r="F390">
        <v>6.24</v>
      </c>
      <c r="G390">
        <v>3.36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S390" s="19">
        <f t="shared" si="327"/>
        <v>0.17720033528918691</v>
      </c>
      <c r="T390" s="19">
        <f t="shared" si="326"/>
        <v>0.42032967032967028</v>
      </c>
      <c r="U390" s="19">
        <f t="shared" si="326"/>
        <v>0.47500000000000009</v>
      </c>
      <c r="V390" s="19">
        <f t="shared" si="326"/>
        <v>0.55813953488372092</v>
      </c>
      <c r="W390" s="19">
        <f t="shared" si="326"/>
        <v>0.79999999999999993</v>
      </c>
      <c r="X390" s="19">
        <f t="shared" si="326"/>
        <v>0</v>
      </c>
      <c r="Y390" s="19">
        <f t="shared" si="326"/>
        <v>0</v>
      </c>
      <c r="Z390" s="19">
        <f t="shared" si="326"/>
        <v>0</v>
      </c>
      <c r="AA390" s="19">
        <f t="shared" si="326"/>
        <v>0</v>
      </c>
      <c r="AB390" s="19">
        <f t="shared" si="326"/>
        <v>0</v>
      </c>
      <c r="AC390" s="19">
        <f t="shared" si="326"/>
        <v>0</v>
      </c>
      <c r="AD390" s="19">
        <f t="shared" si="326"/>
        <v>0</v>
      </c>
      <c r="AE390" s="19">
        <f t="shared" si="326"/>
        <v>0</v>
      </c>
      <c r="AF390" s="19">
        <f t="shared" si="326"/>
        <v>0</v>
      </c>
      <c r="AG390" s="19">
        <f t="shared" si="326"/>
        <v>0</v>
      </c>
    </row>
    <row r="391" spans="1:33" outlineLevel="2">
      <c r="A391" s="21" t="s">
        <v>31</v>
      </c>
      <c r="B391" s="21">
        <v>301</v>
      </c>
      <c r="C391" s="21">
        <v>5.58</v>
      </c>
      <c r="D391" s="22">
        <v>1.94</v>
      </c>
      <c r="E391">
        <v>0.28000000000000003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S391" s="19">
        <f t="shared" si="327"/>
        <v>4.6772841575859175E-2</v>
      </c>
      <c r="T391" s="19">
        <f t="shared" si="326"/>
        <v>6.6620879120879106E-2</v>
      </c>
      <c r="U391" s="19">
        <f t="shared" si="326"/>
        <v>2.0588235294117654E-2</v>
      </c>
      <c r="V391" s="19">
        <f t="shared" si="326"/>
        <v>0</v>
      </c>
      <c r="W391" s="19">
        <f t="shared" si="326"/>
        <v>0</v>
      </c>
      <c r="X391" s="19">
        <f t="shared" si="326"/>
        <v>0</v>
      </c>
      <c r="Y391" s="19">
        <f t="shared" si="326"/>
        <v>0</v>
      </c>
      <c r="Z391" s="19">
        <f t="shared" si="326"/>
        <v>0</v>
      </c>
      <c r="AA391" s="19">
        <f t="shared" si="326"/>
        <v>0</v>
      </c>
      <c r="AB391" s="19">
        <f t="shared" si="326"/>
        <v>0</v>
      </c>
      <c r="AC391" s="19">
        <f t="shared" si="326"/>
        <v>0</v>
      </c>
      <c r="AD391" s="19">
        <f t="shared" si="326"/>
        <v>0</v>
      </c>
      <c r="AE391" s="19">
        <f t="shared" si="326"/>
        <v>0</v>
      </c>
      <c r="AF391" s="19">
        <f t="shared" si="326"/>
        <v>0</v>
      </c>
      <c r="AG391" s="19">
        <f t="shared" si="326"/>
        <v>0</v>
      </c>
    </row>
    <row r="392" spans="1:33" outlineLevel="2">
      <c r="A392" t="s">
        <v>31</v>
      </c>
      <c r="B392">
        <v>302</v>
      </c>
      <c r="C392">
        <v>8.9</v>
      </c>
      <c r="D392">
        <v>3.76</v>
      </c>
      <c r="E392">
        <v>1.58</v>
      </c>
      <c r="F392">
        <v>1.1000000000000001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S392" s="19">
        <f t="shared" si="327"/>
        <v>7.4601844090528072E-2</v>
      </c>
      <c r="T392" s="19">
        <f t="shared" si="326"/>
        <v>0.12912087912087911</v>
      </c>
      <c r="U392" s="19">
        <f t="shared" si="326"/>
        <v>0.11617647058823531</v>
      </c>
      <c r="V392" s="19">
        <f t="shared" si="326"/>
        <v>9.838998211091235E-2</v>
      </c>
      <c r="W392" s="19">
        <f t="shared" si="326"/>
        <v>0</v>
      </c>
      <c r="X392" s="19">
        <f t="shared" si="326"/>
        <v>0</v>
      </c>
      <c r="Y392" s="19">
        <f t="shared" si="326"/>
        <v>0</v>
      </c>
      <c r="Z392" s="19">
        <f t="shared" si="326"/>
        <v>0</v>
      </c>
      <c r="AA392" s="19">
        <f t="shared" si="326"/>
        <v>0</v>
      </c>
      <c r="AB392" s="19">
        <f t="shared" si="326"/>
        <v>0</v>
      </c>
      <c r="AC392" s="19">
        <f t="shared" si="326"/>
        <v>0</v>
      </c>
      <c r="AD392" s="19">
        <f t="shared" si="326"/>
        <v>0</v>
      </c>
      <c r="AE392" s="19">
        <f t="shared" si="326"/>
        <v>0</v>
      </c>
      <c r="AF392" s="19">
        <f t="shared" si="326"/>
        <v>0</v>
      </c>
      <c r="AG392" s="19">
        <f t="shared" si="326"/>
        <v>0</v>
      </c>
    </row>
    <row r="393" spans="1:33" outlineLevel="2">
      <c r="A393" s="21" t="s">
        <v>31</v>
      </c>
      <c r="B393" s="21">
        <v>305</v>
      </c>
      <c r="C393" s="21">
        <v>0</v>
      </c>
      <c r="D393" s="22">
        <v>0</v>
      </c>
      <c r="E393">
        <v>0</v>
      </c>
      <c r="F393">
        <v>0</v>
      </c>
      <c r="G393">
        <v>0</v>
      </c>
      <c r="H393">
        <v>456.68</v>
      </c>
      <c r="I393">
        <v>533.48</v>
      </c>
      <c r="J393">
        <v>0</v>
      </c>
      <c r="K393">
        <v>0</v>
      </c>
      <c r="L393">
        <v>0</v>
      </c>
      <c r="M393">
        <v>0</v>
      </c>
      <c r="N393">
        <v>0.04</v>
      </c>
      <c r="O393">
        <v>0</v>
      </c>
      <c r="P393">
        <v>0</v>
      </c>
      <c r="Q393">
        <v>0</v>
      </c>
      <c r="S393" s="19">
        <f t="shared" si="327"/>
        <v>0</v>
      </c>
      <c r="T393" s="19">
        <f t="shared" si="326"/>
        <v>0</v>
      </c>
      <c r="U393" s="19">
        <f t="shared" si="326"/>
        <v>0</v>
      </c>
      <c r="V393" s="19">
        <f t="shared" si="326"/>
        <v>0</v>
      </c>
      <c r="W393" s="19">
        <f t="shared" si="326"/>
        <v>0</v>
      </c>
      <c r="X393" s="19">
        <f t="shared" si="326"/>
        <v>0.22943670746166675</v>
      </c>
      <c r="Y393" s="19">
        <f t="shared" si="326"/>
        <v>0.15945910400650415</v>
      </c>
      <c r="Z393" s="19">
        <f t="shared" si="326"/>
        <v>0</v>
      </c>
      <c r="AA393" s="19">
        <f t="shared" si="326"/>
        <v>0</v>
      </c>
      <c r="AB393" s="19">
        <f t="shared" si="326"/>
        <v>0</v>
      </c>
      <c r="AC393" s="19">
        <f t="shared" si="326"/>
        <v>0</v>
      </c>
      <c r="AD393" s="19">
        <f t="shared" si="326"/>
        <v>0.16666666666666666</v>
      </c>
      <c r="AE393" s="19">
        <f t="shared" si="326"/>
        <v>0</v>
      </c>
      <c r="AF393" s="19">
        <f t="shared" si="326"/>
        <v>0</v>
      </c>
      <c r="AG393" s="19">
        <f t="shared" si="326"/>
        <v>0</v>
      </c>
    </row>
    <row r="394" spans="1:33" outlineLevel="2">
      <c r="A394" s="21" t="s">
        <v>31</v>
      </c>
      <c r="B394" s="21">
        <v>307</v>
      </c>
      <c r="C394" s="21">
        <v>28.6</v>
      </c>
      <c r="D394" s="22">
        <v>0</v>
      </c>
      <c r="E394">
        <v>0</v>
      </c>
      <c r="F394">
        <v>0</v>
      </c>
      <c r="G394">
        <v>0</v>
      </c>
      <c r="H394">
        <v>404.44</v>
      </c>
      <c r="I394">
        <v>676.56</v>
      </c>
      <c r="J394">
        <v>655.52</v>
      </c>
      <c r="K394">
        <v>985.36</v>
      </c>
      <c r="L394">
        <v>0</v>
      </c>
      <c r="M394">
        <v>0</v>
      </c>
      <c r="N394">
        <v>0.2</v>
      </c>
      <c r="O394">
        <v>0</v>
      </c>
      <c r="P394">
        <v>253.64</v>
      </c>
      <c r="Q394">
        <v>0</v>
      </c>
      <c r="S394" s="19">
        <f t="shared" si="327"/>
        <v>0.239731768650461</v>
      </c>
      <c r="T394" s="19">
        <f t="shared" si="326"/>
        <v>0</v>
      </c>
      <c r="U394" s="19">
        <f t="shared" si="326"/>
        <v>0</v>
      </c>
      <c r="V394" s="19">
        <f t="shared" si="326"/>
        <v>0</v>
      </c>
      <c r="W394" s="19">
        <f t="shared" si="326"/>
        <v>0</v>
      </c>
      <c r="X394" s="19">
        <f t="shared" si="326"/>
        <v>0.20319125419505232</v>
      </c>
      <c r="Y394" s="19">
        <f t="shared" si="326"/>
        <v>0.20222623417305322</v>
      </c>
      <c r="Z394" s="19">
        <f t="shared" si="326"/>
        <v>0.17008822003113647</v>
      </c>
      <c r="AA394" s="19">
        <f t="shared" si="326"/>
        <v>0.26919462353841112</v>
      </c>
      <c r="AB394" s="19">
        <f t="shared" si="326"/>
        <v>0</v>
      </c>
      <c r="AC394" s="19">
        <f t="shared" si="326"/>
        <v>0</v>
      </c>
      <c r="AD394" s="19">
        <f t="shared" si="326"/>
        <v>0.83333333333333326</v>
      </c>
      <c r="AE394" s="19">
        <f t="shared" si="326"/>
        <v>0</v>
      </c>
      <c r="AF394" s="19">
        <f t="shared" si="326"/>
        <v>1.5705418753374646E-2</v>
      </c>
      <c r="AG394" s="19">
        <f t="shared" si="326"/>
        <v>0</v>
      </c>
    </row>
    <row r="395" spans="1:33" outlineLevel="2">
      <c r="A395" s="21" t="s">
        <v>31</v>
      </c>
      <c r="B395" s="21">
        <v>317</v>
      </c>
      <c r="C395" s="21">
        <v>0</v>
      </c>
      <c r="D395" s="22">
        <v>0</v>
      </c>
      <c r="E395">
        <v>0</v>
      </c>
      <c r="F395">
        <v>0</v>
      </c>
      <c r="G395">
        <v>0</v>
      </c>
      <c r="H395">
        <v>9.92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S395" s="19">
        <f t="shared" si="327"/>
        <v>0</v>
      </c>
      <c r="T395" s="19">
        <f t="shared" si="326"/>
        <v>0</v>
      </c>
      <c r="U395" s="19">
        <f t="shared" si="326"/>
        <v>0</v>
      </c>
      <c r="V395" s="19">
        <f t="shared" si="326"/>
        <v>0</v>
      </c>
      <c r="W395" s="19">
        <f t="shared" si="326"/>
        <v>0</v>
      </c>
      <c r="X395" s="19">
        <f t="shared" si="326"/>
        <v>4.983822672373947E-3</v>
      </c>
      <c r="Y395" s="19">
        <f t="shared" si="326"/>
        <v>0</v>
      </c>
      <c r="Z395" s="19">
        <f t="shared" si="326"/>
        <v>0</v>
      </c>
      <c r="AA395" s="19">
        <f t="shared" si="326"/>
        <v>0</v>
      </c>
      <c r="AB395" s="19">
        <f t="shared" si="326"/>
        <v>0</v>
      </c>
      <c r="AC395" s="19">
        <f t="shared" si="326"/>
        <v>0</v>
      </c>
      <c r="AD395" s="19">
        <f t="shared" si="326"/>
        <v>0</v>
      </c>
      <c r="AE395" s="19">
        <f t="shared" si="326"/>
        <v>0</v>
      </c>
      <c r="AF395" s="19">
        <f t="shared" si="326"/>
        <v>0</v>
      </c>
      <c r="AG395" s="19">
        <f t="shared" si="326"/>
        <v>0</v>
      </c>
    </row>
    <row r="396" spans="1:33" outlineLevel="1">
      <c r="A396" s="23" t="s">
        <v>85</v>
      </c>
      <c r="C396" s="21">
        <f t="shared" ref="C396:Q396" si="328">SUBTOTAL(9,C387:C395)</f>
        <v>119.30000000000001</v>
      </c>
      <c r="D396" s="22">
        <f t="shared" si="328"/>
        <v>29.120000000000005</v>
      </c>
      <c r="E396">
        <f t="shared" si="328"/>
        <v>13.599999999999998</v>
      </c>
      <c r="F396">
        <f t="shared" si="328"/>
        <v>11.18</v>
      </c>
      <c r="G396">
        <f t="shared" si="328"/>
        <v>4.2</v>
      </c>
      <c r="H396">
        <f t="shared" si="328"/>
        <v>1990.4400000000003</v>
      </c>
      <c r="I396">
        <f t="shared" si="328"/>
        <v>3345.56</v>
      </c>
      <c r="J396">
        <f t="shared" si="328"/>
        <v>3854</v>
      </c>
      <c r="K396">
        <f t="shared" si="328"/>
        <v>3660.4</v>
      </c>
      <c r="L396">
        <f t="shared" si="328"/>
        <v>0</v>
      </c>
      <c r="M396">
        <f t="shared" si="328"/>
        <v>0</v>
      </c>
      <c r="N396">
        <f t="shared" si="328"/>
        <v>0.24000000000000002</v>
      </c>
      <c r="O396">
        <f t="shared" si="328"/>
        <v>151.08000000000001</v>
      </c>
      <c r="P396">
        <f t="shared" si="328"/>
        <v>16149.84</v>
      </c>
      <c r="Q396">
        <f t="shared" si="328"/>
        <v>0</v>
      </c>
    </row>
    <row r="397" spans="1:33" outlineLevel="2">
      <c r="A397" s="21" t="s">
        <v>32</v>
      </c>
      <c r="B397" s="21">
        <v>125</v>
      </c>
      <c r="C397" s="21">
        <v>0</v>
      </c>
      <c r="D397" s="22">
        <v>0</v>
      </c>
      <c r="E397">
        <v>0</v>
      </c>
      <c r="F397">
        <v>0</v>
      </c>
      <c r="G397">
        <v>0</v>
      </c>
      <c r="H397">
        <v>0.4</v>
      </c>
      <c r="I397">
        <v>1.4</v>
      </c>
      <c r="J397">
        <v>0</v>
      </c>
      <c r="K397">
        <v>0</v>
      </c>
      <c r="L397">
        <v>0</v>
      </c>
      <c r="M397">
        <v>19.48</v>
      </c>
      <c r="N397">
        <v>306.68</v>
      </c>
      <c r="O397">
        <v>0</v>
      </c>
      <c r="P397">
        <v>0</v>
      </c>
      <c r="Q397">
        <v>0</v>
      </c>
      <c r="R397" s="19"/>
      <c r="S397" s="19">
        <f>IF(C$413&gt;0, C397/C$413, 0)</f>
        <v>0</v>
      </c>
      <c r="T397" s="19">
        <f t="shared" ref="T397:AG412" si="329">IF(D$413&gt;0, D397/D$413, 0)</f>
        <v>0</v>
      </c>
      <c r="U397" s="19">
        <f t="shared" si="329"/>
        <v>0</v>
      </c>
      <c r="V397" s="19">
        <f t="shared" si="329"/>
        <v>0</v>
      </c>
      <c r="W397" s="19">
        <f t="shared" si="329"/>
        <v>0</v>
      </c>
      <c r="X397" s="19">
        <f t="shared" si="329"/>
        <v>1.7605013907960989E-4</v>
      </c>
      <c r="Y397" s="19">
        <f t="shared" si="329"/>
        <v>4.823860190749214E-4</v>
      </c>
      <c r="Z397" s="19">
        <f t="shared" si="329"/>
        <v>0</v>
      </c>
      <c r="AA397" s="19">
        <f t="shared" si="329"/>
        <v>0</v>
      </c>
      <c r="AB397" s="19">
        <f t="shared" si="329"/>
        <v>0</v>
      </c>
      <c r="AC397" s="19">
        <f t="shared" si="329"/>
        <v>4.9316455696202528E-2</v>
      </c>
      <c r="AD397" s="19">
        <f t="shared" si="329"/>
        <v>8.6806381123829587E-2</v>
      </c>
      <c r="AE397" s="19">
        <f t="shared" si="329"/>
        <v>0</v>
      </c>
      <c r="AF397" s="19">
        <f t="shared" si="329"/>
        <v>0</v>
      </c>
      <c r="AG397" s="19">
        <f t="shared" si="329"/>
        <v>0</v>
      </c>
    </row>
    <row r="398" spans="1:33" outlineLevel="2">
      <c r="A398" t="s">
        <v>32</v>
      </c>
      <c r="B398">
        <v>129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7.16</v>
      </c>
      <c r="I398">
        <v>17.96</v>
      </c>
      <c r="J398">
        <v>0</v>
      </c>
      <c r="K398">
        <v>0</v>
      </c>
      <c r="L398">
        <v>0</v>
      </c>
      <c r="M398">
        <v>0</v>
      </c>
      <c r="N398">
        <v>135.32</v>
      </c>
      <c r="O398">
        <v>321.72000000000003</v>
      </c>
      <c r="P398">
        <v>521.96</v>
      </c>
      <c r="Q398">
        <v>0</v>
      </c>
      <c r="S398" s="19">
        <f t="shared" ref="S398:S412" si="330">IF(C$413&gt;0, C398/C$413, 0)</f>
        <v>0</v>
      </c>
      <c r="T398" s="19">
        <f t="shared" si="329"/>
        <v>0</v>
      </c>
      <c r="U398" s="19">
        <f t="shared" si="329"/>
        <v>0</v>
      </c>
      <c r="V398" s="19">
        <f t="shared" si="329"/>
        <v>0</v>
      </c>
      <c r="W398" s="19">
        <f t="shared" si="329"/>
        <v>0</v>
      </c>
      <c r="X398" s="19">
        <f t="shared" si="329"/>
        <v>3.1512974895250168E-3</v>
      </c>
      <c r="Y398" s="19">
        <f t="shared" si="329"/>
        <v>6.1883235018468487E-3</v>
      </c>
      <c r="Z398" s="19">
        <f t="shared" si="329"/>
        <v>0</v>
      </c>
      <c r="AA398" s="19">
        <f t="shared" si="329"/>
        <v>0</v>
      </c>
      <c r="AB398" s="19">
        <f t="shared" si="329"/>
        <v>0</v>
      </c>
      <c r="AC398" s="19">
        <f t="shared" si="329"/>
        <v>0</v>
      </c>
      <c r="AD398" s="19">
        <f t="shared" si="329"/>
        <v>3.830259388834166E-2</v>
      </c>
      <c r="AE398" s="19">
        <f t="shared" si="329"/>
        <v>3.9853923453511193E-2</v>
      </c>
      <c r="AF398" s="19">
        <f t="shared" si="329"/>
        <v>1.3363263876585669E-2</v>
      </c>
      <c r="AG398" s="19">
        <f t="shared" si="329"/>
        <v>0</v>
      </c>
    </row>
    <row r="399" spans="1:33" outlineLevel="2">
      <c r="A399" s="21" t="s">
        <v>32</v>
      </c>
      <c r="B399" s="21">
        <v>177</v>
      </c>
      <c r="C399" s="21">
        <v>352.96</v>
      </c>
      <c r="D399" s="22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S399" s="19">
        <f t="shared" si="330"/>
        <v>1.3474203710292402E-2</v>
      </c>
      <c r="T399" s="19">
        <f t="shared" si="329"/>
        <v>0</v>
      </c>
      <c r="U399" s="19">
        <f t="shared" si="329"/>
        <v>0</v>
      </c>
      <c r="V399" s="19">
        <f t="shared" si="329"/>
        <v>0</v>
      </c>
      <c r="W399" s="19">
        <f t="shared" si="329"/>
        <v>0</v>
      </c>
      <c r="X399" s="19">
        <f t="shared" si="329"/>
        <v>0</v>
      </c>
      <c r="Y399" s="19">
        <f t="shared" si="329"/>
        <v>0</v>
      </c>
      <c r="Z399" s="19">
        <f t="shared" si="329"/>
        <v>0</v>
      </c>
      <c r="AA399" s="19">
        <f t="shared" si="329"/>
        <v>0</v>
      </c>
      <c r="AB399" s="19">
        <f t="shared" si="329"/>
        <v>0</v>
      </c>
      <c r="AC399" s="19">
        <f t="shared" si="329"/>
        <v>0</v>
      </c>
      <c r="AD399" s="19">
        <f t="shared" si="329"/>
        <v>0</v>
      </c>
      <c r="AE399" s="19">
        <f t="shared" si="329"/>
        <v>0</v>
      </c>
      <c r="AF399" s="19">
        <f t="shared" si="329"/>
        <v>0</v>
      </c>
      <c r="AG399" s="19">
        <f t="shared" si="329"/>
        <v>0</v>
      </c>
    </row>
    <row r="400" spans="1:33" outlineLevel="2">
      <c r="A400" s="21" t="s">
        <v>32</v>
      </c>
      <c r="B400" s="21">
        <v>183</v>
      </c>
      <c r="C400" s="21">
        <v>290.77999999999997</v>
      </c>
      <c r="D400" s="22">
        <v>0.8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S400" s="19">
        <f t="shared" si="330"/>
        <v>1.1100490012689326E-2</v>
      </c>
      <c r="T400" s="19">
        <f t="shared" si="329"/>
        <v>1.5698587127158558E-2</v>
      </c>
      <c r="U400" s="19">
        <f t="shared" si="329"/>
        <v>0</v>
      </c>
      <c r="V400" s="19">
        <f t="shared" si="329"/>
        <v>0</v>
      </c>
      <c r="W400" s="19">
        <f t="shared" si="329"/>
        <v>0</v>
      </c>
      <c r="X400" s="19">
        <f t="shared" si="329"/>
        <v>0</v>
      </c>
      <c r="Y400" s="19">
        <f t="shared" si="329"/>
        <v>0</v>
      </c>
      <c r="Z400" s="19">
        <f t="shared" si="329"/>
        <v>0</v>
      </c>
      <c r="AA400" s="19">
        <f t="shared" si="329"/>
        <v>0</v>
      </c>
      <c r="AB400" s="19">
        <f t="shared" si="329"/>
        <v>0</v>
      </c>
      <c r="AC400" s="19">
        <f t="shared" si="329"/>
        <v>0</v>
      </c>
      <c r="AD400" s="19">
        <f t="shared" si="329"/>
        <v>0</v>
      </c>
      <c r="AE400" s="19">
        <f t="shared" si="329"/>
        <v>0</v>
      </c>
      <c r="AF400" s="19">
        <f t="shared" si="329"/>
        <v>0</v>
      </c>
      <c r="AG400" s="19">
        <f t="shared" si="329"/>
        <v>0</v>
      </c>
    </row>
    <row r="401" spans="1:33" outlineLevel="2">
      <c r="A401" s="21" t="s">
        <v>32</v>
      </c>
      <c r="B401" s="21">
        <v>191</v>
      </c>
      <c r="C401" s="21">
        <v>552.24</v>
      </c>
      <c r="D401" s="22">
        <v>50.16</v>
      </c>
      <c r="E401">
        <v>8.2799999999999994</v>
      </c>
      <c r="F401">
        <v>0.04</v>
      </c>
      <c r="G401">
        <v>0</v>
      </c>
      <c r="H401">
        <v>975.72</v>
      </c>
      <c r="I401">
        <v>1288.1199999999999</v>
      </c>
      <c r="J401">
        <v>1024.72</v>
      </c>
      <c r="K401">
        <v>408.44</v>
      </c>
      <c r="L401">
        <v>0</v>
      </c>
      <c r="M401">
        <v>331</v>
      </c>
      <c r="N401">
        <v>2050.2399999999998</v>
      </c>
      <c r="O401">
        <v>5237.08</v>
      </c>
      <c r="P401">
        <v>26857.8</v>
      </c>
      <c r="Q401">
        <v>0</v>
      </c>
      <c r="S401" s="19">
        <f t="shared" si="330"/>
        <v>2.1081692704476081E-2</v>
      </c>
      <c r="T401" s="19">
        <f t="shared" si="329"/>
        <v>0.98430141287284145</v>
      </c>
      <c r="U401" s="19">
        <f t="shared" si="329"/>
        <v>1</v>
      </c>
      <c r="V401" s="19">
        <f t="shared" si="329"/>
        <v>1</v>
      </c>
      <c r="W401" s="19">
        <f t="shared" si="329"/>
        <v>0</v>
      </c>
      <c r="X401" s="19">
        <f t="shared" si="329"/>
        <v>0.42943910425689241</v>
      </c>
      <c r="Y401" s="19">
        <f t="shared" si="329"/>
        <v>0.44383648492199124</v>
      </c>
      <c r="Z401" s="19">
        <f t="shared" si="329"/>
        <v>0.55940604869527233</v>
      </c>
      <c r="AA401" s="19">
        <f t="shared" si="329"/>
        <v>0.60071773149782326</v>
      </c>
      <c r="AB401" s="19">
        <f t="shared" si="329"/>
        <v>0</v>
      </c>
      <c r="AC401" s="19">
        <f t="shared" si="329"/>
        <v>0.83797468354430371</v>
      </c>
      <c r="AD401" s="19">
        <f t="shared" si="329"/>
        <v>0.58032449078948856</v>
      </c>
      <c r="AE401" s="19">
        <f t="shared" si="329"/>
        <v>0.64875725923136385</v>
      </c>
      <c r="AF401" s="19">
        <f t="shared" si="329"/>
        <v>0.68761565741543895</v>
      </c>
      <c r="AG401" s="19">
        <f t="shared" si="329"/>
        <v>0</v>
      </c>
    </row>
    <row r="402" spans="1:33" outlineLevel="2">
      <c r="A402" s="21" t="s">
        <v>32</v>
      </c>
      <c r="B402" s="21">
        <v>192</v>
      </c>
      <c r="C402" s="21">
        <v>6246.7</v>
      </c>
      <c r="D402" s="22">
        <v>0</v>
      </c>
      <c r="E402">
        <v>0</v>
      </c>
      <c r="F402">
        <v>0</v>
      </c>
      <c r="G402">
        <v>0</v>
      </c>
      <c r="H402">
        <v>318.68</v>
      </c>
      <c r="I402">
        <v>218.04</v>
      </c>
      <c r="J402">
        <v>0.88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S402" s="19">
        <f t="shared" si="330"/>
        <v>0.23846698865900826</v>
      </c>
      <c r="T402" s="19">
        <f t="shared" si="329"/>
        <v>0</v>
      </c>
      <c r="U402" s="19">
        <f t="shared" si="329"/>
        <v>0</v>
      </c>
      <c r="V402" s="19">
        <f t="shared" si="329"/>
        <v>0</v>
      </c>
      <c r="W402" s="19">
        <f t="shared" si="329"/>
        <v>0</v>
      </c>
      <c r="X402" s="19">
        <f t="shared" si="329"/>
        <v>0.1402591458047252</v>
      </c>
      <c r="Y402" s="19">
        <f t="shared" si="329"/>
        <v>7.5128176856497045E-2</v>
      </c>
      <c r="Z402" s="19">
        <f t="shared" si="329"/>
        <v>4.8040179058849217E-4</v>
      </c>
      <c r="AA402" s="19">
        <f t="shared" si="329"/>
        <v>0</v>
      </c>
      <c r="AB402" s="19">
        <f t="shared" si="329"/>
        <v>0</v>
      </c>
      <c r="AC402" s="19">
        <f t="shared" si="329"/>
        <v>0</v>
      </c>
      <c r="AD402" s="19">
        <f t="shared" si="329"/>
        <v>0</v>
      </c>
      <c r="AE402" s="19">
        <f t="shared" si="329"/>
        <v>0</v>
      </c>
      <c r="AF402" s="19">
        <f t="shared" si="329"/>
        <v>0</v>
      </c>
      <c r="AG402" s="19">
        <f t="shared" si="329"/>
        <v>0</v>
      </c>
    </row>
    <row r="403" spans="1:33" outlineLevel="2">
      <c r="A403" t="s">
        <v>32</v>
      </c>
      <c r="B403">
        <v>193</v>
      </c>
      <c r="C403">
        <v>9285.06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S403" s="19">
        <f t="shared" si="330"/>
        <v>0.35445600040312664</v>
      </c>
      <c r="T403" s="19">
        <f t="shared" si="329"/>
        <v>0</v>
      </c>
      <c r="U403" s="19">
        <f t="shared" si="329"/>
        <v>0</v>
      </c>
      <c r="V403" s="19">
        <f t="shared" si="329"/>
        <v>0</v>
      </c>
      <c r="W403" s="19">
        <f t="shared" si="329"/>
        <v>0</v>
      </c>
      <c r="X403" s="19">
        <f t="shared" si="329"/>
        <v>0</v>
      </c>
      <c r="Y403" s="19">
        <f t="shared" si="329"/>
        <v>0</v>
      </c>
      <c r="Z403" s="19">
        <f t="shared" si="329"/>
        <v>0</v>
      </c>
      <c r="AA403" s="19">
        <f t="shared" si="329"/>
        <v>0</v>
      </c>
      <c r="AB403" s="19">
        <f t="shared" si="329"/>
        <v>0</v>
      </c>
      <c r="AC403" s="19">
        <f t="shared" si="329"/>
        <v>0</v>
      </c>
      <c r="AD403" s="19">
        <f t="shared" si="329"/>
        <v>0</v>
      </c>
      <c r="AE403" s="19">
        <f t="shared" si="329"/>
        <v>0</v>
      </c>
      <c r="AF403" s="19">
        <f t="shared" si="329"/>
        <v>0</v>
      </c>
      <c r="AG403" s="19">
        <f t="shared" si="329"/>
        <v>0</v>
      </c>
    </row>
    <row r="404" spans="1:33" outlineLevel="2">
      <c r="A404" s="21" t="s">
        <v>32</v>
      </c>
      <c r="B404" s="21">
        <v>194</v>
      </c>
      <c r="C404" s="21">
        <v>44.9</v>
      </c>
      <c r="D404" s="22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S404" s="19">
        <f t="shared" si="330"/>
        <v>1.7140518659115166E-3</v>
      </c>
      <c r="T404" s="19">
        <f t="shared" si="329"/>
        <v>0</v>
      </c>
      <c r="U404" s="19">
        <f t="shared" si="329"/>
        <v>0</v>
      </c>
      <c r="V404" s="19">
        <f t="shared" si="329"/>
        <v>0</v>
      </c>
      <c r="W404" s="19">
        <f t="shared" si="329"/>
        <v>0</v>
      </c>
      <c r="X404" s="19">
        <f t="shared" si="329"/>
        <v>0</v>
      </c>
      <c r="Y404" s="19">
        <f t="shared" si="329"/>
        <v>0</v>
      </c>
      <c r="Z404" s="19">
        <f t="shared" si="329"/>
        <v>0</v>
      </c>
      <c r="AA404" s="19">
        <f t="shared" si="329"/>
        <v>0</v>
      </c>
      <c r="AB404" s="19">
        <f t="shared" si="329"/>
        <v>0</v>
      </c>
      <c r="AC404" s="19">
        <f t="shared" si="329"/>
        <v>0</v>
      </c>
      <c r="AD404" s="19">
        <f t="shared" si="329"/>
        <v>0</v>
      </c>
      <c r="AE404" s="19">
        <f t="shared" si="329"/>
        <v>0</v>
      </c>
      <c r="AF404" s="19">
        <f t="shared" si="329"/>
        <v>0</v>
      </c>
      <c r="AG404" s="19">
        <f t="shared" si="329"/>
        <v>0</v>
      </c>
    </row>
    <row r="405" spans="1:33" outlineLevel="2">
      <c r="A405" s="21" t="s">
        <v>32</v>
      </c>
      <c r="B405" s="21">
        <v>195</v>
      </c>
      <c r="C405" s="21">
        <v>1.24</v>
      </c>
      <c r="D405" s="22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S405" s="19">
        <f t="shared" si="330"/>
        <v>4.7336844403792442E-5</v>
      </c>
      <c r="T405" s="19">
        <f t="shared" si="329"/>
        <v>0</v>
      </c>
      <c r="U405" s="19">
        <f t="shared" si="329"/>
        <v>0</v>
      </c>
      <c r="V405" s="19">
        <f t="shared" si="329"/>
        <v>0</v>
      </c>
      <c r="W405" s="19">
        <f t="shared" si="329"/>
        <v>0</v>
      </c>
      <c r="X405" s="19">
        <f t="shared" si="329"/>
        <v>0</v>
      </c>
      <c r="Y405" s="19">
        <f t="shared" si="329"/>
        <v>0</v>
      </c>
      <c r="Z405" s="19">
        <f t="shared" si="329"/>
        <v>0</v>
      </c>
      <c r="AA405" s="19">
        <f t="shared" si="329"/>
        <v>0</v>
      </c>
      <c r="AB405" s="19">
        <f t="shared" si="329"/>
        <v>0</v>
      </c>
      <c r="AC405" s="19">
        <f t="shared" si="329"/>
        <v>0</v>
      </c>
      <c r="AD405" s="19">
        <f t="shared" si="329"/>
        <v>0</v>
      </c>
      <c r="AE405" s="19">
        <f t="shared" si="329"/>
        <v>0</v>
      </c>
      <c r="AF405" s="19">
        <f t="shared" si="329"/>
        <v>0</v>
      </c>
      <c r="AG405" s="19">
        <f t="shared" si="329"/>
        <v>0</v>
      </c>
    </row>
    <row r="406" spans="1:33" outlineLevel="2">
      <c r="A406" s="21" t="s">
        <v>32</v>
      </c>
      <c r="B406" s="21">
        <v>196</v>
      </c>
      <c r="C406" s="21">
        <v>2916.74</v>
      </c>
      <c r="D406" s="22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S406" s="19">
        <f t="shared" si="330"/>
        <v>0.1113461835050948</v>
      </c>
      <c r="T406" s="19">
        <f t="shared" si="329"/>
        <v>0</v>
      </c>
      <c r="U406" s="19">
        <f t="shared" si="329"/>
        <v>0</v>
      </c>
      <c r="V406" s="19">
        <f t="shared" si="329"/>
        <v>0</v>
      </c>
      <c r="W406" s="19">
        <f t="shared" si="329"/>
        <v>0</v>
      </c>
      <c r="X406" s="19">
        <f t="shared" si="329"/>
        <v>0</v>
      </c>
      <c r="Y406" s="19">
        <f t="shared" si="329"/>
        <v>0</v>
      </c>
      <c r="Z406" s="19">
        <f t="shared" si="329"/>
        <v>0</v>
      </c>
      <c r="AA406" s="19">
        <f t="shared" si="329"/>
        <v>0</v>
      </c>
      <c r="AB406" s="19">
        <f t="shared" si="329"/>
        <v>0</v>
      </c>
      <c r="AC406" s="19">
        <f t="shared" si="329"/>
        <v>0</v>
      </c>
      <c r="AD406" s="19">
        <f t="shared" si="329"/>
        <v>0</v>
      </c>
      <c r="AE406" s="19">
        <f t="shared" si="329"/>
        <v>0</v>
      </c>
      <c r="AF406" s="19">
        <f t="shared" si="329"/>
        <v>0</v>
      </c>
      <c r="AG406" s="19">
        <f t="shared" si="329"/>
        <v>0</v>
      </c>
    </row>
    <row r="407" spans="1:33" outlineLevel="2">
      <c r="A407" t="s">
        <v>32</v>
      </c>
      <c r="B407">
        <v>197</v>
      </c>
      <c r="C407">
        <v>4088.5</v>
      </c>
      <c r="D407">
        <v>0</v>
      </c>
      <c r="E407">
        <v>0</v>
      </c>
      <c r="F407">
        <v>0</v>
      </c>
      <c r="G407">
        <v>0</v>
      </c>
      <c r="H407">
        <v>627.12</v>
      </c>
      <c r="I407">
        <v>743.56</v>
      </c>
      <c r="J407">
        <v>780.04</v>
      </c>
      <c r="K407">
        <v>267.64</v>
      </c>
      <c r="L407">
        <v>0</v>
      </c>
      <c r="M407">
        <v>6.48</v>
      </c>
      <c r="N407">
        <v>235.6</v>
      </c>
      <c r="O407">
        <v>873.4</v>
      </c>
      <c r="P407">
        <v>5646.8</v>
      </c>
      <c r="Q407">
        <v>0</v>
      </c>
      <c r="S407" s="19">
        <f t="shared" si="330"/>
        <v>0.15607797447169791</v>
      </c>
      <c r="T407" s="19">
        <f t="shared" si="329"/>
        <v>0</v>
      </c>
      <c r="U407" s="19">
        <f t="shared" si="329"/>
        <v>0</v>
      </c>
      <c r="V407" s="19">
        <f t="shared" si="329"/>
        <v>0</v>
      </c>
      <c r="W407" s="19">
        <f t="shared" si="329"/>
        <v>0</v>
      </c>
      <c r="X407" s="19">
        <f t="shared" si="329"/>
        <v>0.27601140804901236</v>
      </c>
      <c r="Y407" s="19">
        <f t="shared" si="329"/>
        <v>0.25620210595953469</v>
      </c>
      <c r="Z407" s="19">
        <f t="shared" si="329"/>
        <v>0.42583251446664477</v>
      </c>
      <c r="AA407" s="19">
        <f t="shared" si="329"/>
        <v>0.39363454524061653</v>
      </c>
      <c r="AB407" s="19">
        <f t="shared" si="329"/>
        <v>0</v>
      </c>
      <c r="AC407" s="19">
        <f t="shared" si="329"/>
        <v>1.6405063291139239E-2</v>
      </c>
      <c r="AD407" s="19">
        <f t="shared" si="329"/>
        <v>6.6687046409202588E-2</v>
      </c>
      <c r="AE407" s="19">
        <f t="shared" si="329"/>
        <v>0.1081947555150338</v>
      </c>
      <c r="AF407" s="19">
        <f t="shared" si="329"/>
        <v>0.14456984914227899</v>
      </c>
      <c r="AG407" s="19">
        <f t="shared" si="329"/>
        <v>0</v>
      </c>
    </row>
    <row r="408" spans="1:33" outlineLevel="2">
      <c r="A408" s="21" t="s">
        <v>32</v>
      </c>
      <c r="B408" s="21">
        <v>198</v>
      </c>
      <c r="C408" s="21">
        <v>2416.12</v>
      </c>
      <c r="D408" s="22">
        <v>0</v>
      </c>
      <c r="E408">
        <v>0</v>
      </c>
      <c r="F408">
        <v>0</v>
      </c>
      <c r="G408">
        <v>0</v>
      </c>
      <c r="H408">
        <v>339.12</v>
      </c>
      <c r="I408">
        <v>630.32000000000005</v>
      </c>
      <c r="J408">
        <v>10.24</v>
      </c>
      <c r="K408">
        <v>0</v>
      </c>
      <c r="L408">
        <v>0</v>
      </c>
      <c r="M408">
        <v>38.04</v>
      </c>
      <c r="N408">
        <v>805.08</v>
      </c>
      <c r="O408">
        <v>1627</v>
      </c>
      <c r="P408">
        <v>5055.4799999999996</v>
      </c>
      <c r="Q408">
        <v>0</v>
      </c>
      <c r="S408" s="19">
        <f t="shared" si="330"/>
        <v>9.2235077823299191E-2</v>
      </c>
      <c r="T408" s="19">
        <f t="shared" si="329"/>
        <v>0</v>
      </c>
      <c r="U408" s="19">
        <f t="shared" si="329"/>
        <v>0</v>
      </c>
      <c r="V408" s="19">
        <f t="shared" si="329"/>
        <v>0</v>
      </c>
      <c r="W408" s="19">
        <f t="shared" si="329"/>
        <v>0</v>
      </c>
      <c r="X408" s="19">
        <f t="shared" si="329"/>
        <v>0.14925530791169325</v>
      </c>
      <c r="Y408" s="19">
        <f t="shared" si="329"/>
        <v>0.21718396824521749</v>
      </c>
      <c r="Z408" s="19">
        <f t="shared" si="329"/>
        <v>5.5901299268479084E-3</v>
      </c>
      <c r="AA408" s="19">
        <f t="shared" si="329"/>
        <v>0</v>
      </c>
      <c r="AB408" s="19">
        <f t="shared" si="329"/>
        <v>0</v>
      </c>
      <c r="AC408" s="19">
        <f t="shared" si="329"/>
        <v>9.6303797468354421E-2</v>
      </c>
      <c r="AD408" s="19">
        <f t="shared" si="329"/>
        <v>0.22787948778913764</v>
      </c>
      <c r="AE408" s="19">
        <f t="shared" si="329"/>
        <v>0.20154896636473552</v>
      </c>
      <c r="AF408" s="19">
        <f t="shared" si="329"/>
        <v>0.12943082470457756</v>
      </c>
      <c r="AG408" s="19">
        <f t="shared" si="329"/>
        <v>0</v>
      </c>
    </row>
    <row r="409" spans="1:33" outlineLevel="2">
      <c r="A409" s="21" t="s">
        <v>32</v>
      </c>
      <c r="B409" s="21">
        <v>206</v>
      </c>
      <c r="C409" s="21">
        <v>0</v>
      </c>
      <c r="D409" s="22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144</v>
      </c>
      <c r="Q409">
        <v>0</v>
      </c>
      <c r="S409" s="19">
        <f t="shared" si="330"/>
        <v>0</v>
      </c>
      <c r="T409" s="19">
        <f t="shared" si="329"/>
        <v>0</v>
      </c>
      <c r="U409" s="19">
        <f t="shared" si="329"/>
        <v>0</v>
      </c>
      <c r="V409" s="19">
        <f t="shared" si="329"/>
        <v>0</v>
      </c>
      <c r="W409" s="19">
        <f t="shared" si="329"/>
        <v>0</v>
      </c>
      <c r="X409" s="19">
        <f t="shared" si="329"/>
        <v>0</v>
      </c>
      <c r="Y409" s="19">
        <f t="shared" si="329"/>
        <v>0</v>
      </c>
      <c r="Z409" s="19">
        <f t="shared" si="329"/>
        <v>0</v>
      </c>
      <c r="AA409" s="19">
        <f t="shared" si="329"/>
        <v>0</v>
      </c>
      <c r="AB409" s="19">
        <f t="shared" si="329"/>
        <v>0</v>
      </c>
      <c r="AC409" s="19">
        <f t="shared" si="329"/>
        <v>0</v>
      </c>
      <c r="AD409" s="19">
        <f t="shared" si="329"/>
        <v>0</v>
      </c>
      <c r="AE409" s="19">
        <f t="shared" si="329"/>
        <v>1.1148990149247816E-3</v>
      </c>
      <c r="AF409" s="19">
        <f t="shared" si="329"/>
        <v>3.6867001268839302E-3</v>
      </c>
      <c r="AG409" s="19">
        <f t="shared" si="329"/>
        <v>0</v>
      </c>
    </row>
    <row r="410" spans="1:33" outlineLevel="2">
      <c r="A410" s="21" t="s">
        <v>32</v>
      </c>
      <c r="B410" s="21">
        <v>211</v>
      </c>
      <c r="C410" s="21">
        <v>0</v>
      </c>
      <c r="D410" s="22">
        <v>0</v>
      </c>
      <c r="E410">
        <v>0</v>
      </c>
      <c r="F410">
        <v>0</v>
      </c>
      <c r="G410">
        <v>0</v>
      </c>
      <c r="H410">
        <v>3.88</v>
      </c>
      <c r="I410">
        <v>2.84</v>
      </c>
      <c r="J410">
        <v>15.92</v>
      </c>
      <c r="K410">
        <v>3.84</v>
      </c>
      <c r="L410">
        <v>0</v>
      </c>
      <c r="M410">
        <v>0</v>
      </c>
      <c r="N410">
        <v>0</v>
      </c>
      <c r="O410">
        <v>4.28</v>
      </c>
      <c r="P410">
        <v>419.28</v>
      </c>
      <c r="Q410">
        <v>0</v>
      </c>
      <c r="S410" s="19">
        <f t="shared" si="330"/>
        <v>0</v>
      </c>
      <c r="T410" s="19">
        <f t="shared" si="329"/>
        <v>0</v>
      </c>
      <c r="U410" s="19">
        <f t="shared" si="329"/>
        <v>0</v>
      </c>
      <c r="V410" s="19">
        <f t="shared" si="329"/>
        <v>0</v>
      </c>
      <c r="W410" s="19">
        <f t="shared" si="329"/>
        <v>0</v>
      </c>
      <c r="X410" s="19">
        <f t="shared" si="329"/>
        <v>1.7076863490722157E-3</v>
      </c>
      <c r="Y410" s="19">
        <f t="shared" si="329"/>
        <v>9.7855449583769769E-4</v>
      </c>
      <c r="Z410" s="19">
        <f t="shared" si="329"/>
        <v>8.690905120646358E-3</v>
      </c>
      <c r="AA410" s="19">
        <f t="shared" si="329"/>
        <v>5.6477232615601836E-3</v>
      </c>
      <c r="AB410" s="19">
        <f t="shared" si="329"/>
        <v>0</v>
      </c>
      <c r="AC410" s="19">
        <f t="shared" si="329"/>
        <v>0</v>
      </c>
      <c r="AD410" s="19">
        <f t="shared" si="329"/>
        <v>0</v>
      </c>
      <c r="AE410" s="19">
        <f t="shared" si="329"/>
        <v>5.3019642043089618E-4</v>
      </c>
      <c r="AF410" s="19">
        <f t="shared" si="329"/>
        <v>1.0734441869443709E-2</v>
      </c>
      <c r="AG410" s="19">
        <f t="shared" si="329"/>
        <v>0</v>
      </c>
    </row>
    <row r="411" spans="1:33" outlineLevel="2">
      <c r="A411" s="21" t="s">
        <v>32</v>
      </c>
      <c r="B411" s="21">
        <v>212</v>
      </c>
      <c r="C411" s="21">
        <v>0</v>
      </c>
      <c r="D411" s="22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396</v>
      </c>
      <c r="Q411">
        <v>0</v>
      </c>
      <c r="S411" s="19">
        <f t="shared" si="330"/>
        <v>0</v>
      </c>
      <c r="T411" s="19">
        <f t="shared" si="329"/>
        <v>0</v>
      </c>
      <c r="U411" s="19">
        <f t="shared" si="329"/>
        <v>0</v>
      </c>
      <c r="V411" s="19">
        <f t="shared" si="329"/>
        <v>0</v>
      </c>
      <c r="W411" s="19">
        <f t="shared" si="329"/>
        <v>0</v>
      </c>
      <c r="X411" s="19">
        <f t="shared" si="329"/>
        <v>0</v>
      </c>
      <c r="Y411" s="19">
        <f t="shared" si="329"/>
        <v>0</v>
      </c>
      <c r="Z411" s="19">
        <f t="shared" si="329"/>
        <v>0</v>
      </c>
      <c r="AA411" s="19">
        <f t="shared" si="329"/>
        <v>0</v>
      </c>
      <c r="AB411" s="19">
        <f t="shared" si="329"/>
        <v>0</v>
      </c>
      <c r="AC411" s="19">
        <f t="shared" si="329"/>
        <v>0</v>
      </c>
      <c r="AD411" s="19">
        <f t="shared" si="329"/>
        <v>0</v>
      </c>
      <c r="AE411" s="19">
        <f t="shared" si="329"/>
        <v>0</v>
      </c>
      <c r="AF411" s="19">
        <f t="shared" si="329"/>
        <v>1.0138425348930807E-2</v>
      </c>
      <c r="AG411" s="19">
        <f t="shared" si="329"/>
        <v>0</v>
      </c>
    </row>
    <row r="412" spans="1:33" outlineLevel="2">
      <c r="A412" t="s">
        <v>32</v>
      </c>
      <c r="B412">
        <v>219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18</v>
      </c>
      <c r="Q412">
        <v>0</v>
      </c>
      <c r="S412" s="19">
        <f t="shared" si="330"/>
        <v>0</v>
      </c>
      <c r="T412" s="19">
        <f t="shared" si="329"/>
        <v>0</v>
      </c>
      <c r="U412" s="19">
        <f t="shared" si="329"/>
        <v>0</v>
      </c>
      <c r="V412" s="19">
        <f t="shared" si="329"/>
        <v>0</v>
      </c>
      <c r="W412" s="19">
        <f t="shared" si="329"/>
        <v>0</v>
      </c>
      <c r="X412" s="19">
        <f t="shared" si="329"/>
        <v>0</v>
      </c>
      <c r="Y412" s="19">
        <f t="shared" si="329"/>
        <v>0</v>
      </c>
      <c r="Z412" s="19">
        <f t="shared" si="329"/>
        <v>0</v>
      </c>
      <c r="AA412" s="19">
        <f t="shared" si="329"/>
        <v>0</v>
      </c>
      <c r="AB412" s="19">
        <f t="shared" si="329"/>
        <v>0</v>
      </c>
      <c r="AC412" s="19">
        <f t="shared" si="329"/>
        <v>0</v>
      </c>
      <c r="AD412" s="19">
        <f t="shared" si="329"/>
        <v>0</v>
      </c>
      <c r="AE412" s="19">
        <f t="shared" si="329"/>
        <v>0</v>
      </c>
      <c r="AF412" s="19">
        <f t="shared" si="329"/>
        <v>4.6083751586049128E-4</v>
      </c>
      <c r="AG412" s="19">
        <f t="shared" si="329"/>
        <v>0</v>
      </c>
    </row>
    <row r="413" spans="1:33" outlineLevel="1">
      <c r="A413" s="24" t="s">
        <v>86</v>
      </c>
      <c r="B413"/>
      <c r="C413">
        <f t="shared" ref="C413:Q413" si="331">SUBTOTAL(9,C397:C412)</f>
        <v>26195.24</v>
      </c>
      <c r="D413">
        <f t="shared" si="331"/>
        <v>50.959999999999994</v>
      </c>
      <c r="E413">
        <f t="shared" si="331"/>
        <v>8.2799999999999994</v>
      </c>
      <c r="F413">
        <f t="shared" si="331"/>
        <v>0.04</v>
      </c>
      <c r="G413">
        <f t="shared" si="331"/>
        <v>0</v>
      </c>
      <c r="H413">
        <f t="shared" si="331"/>
        <v>2272.08</v>
      </c>
      <c r="I413">
        <f t="shared" si="331"/>
        <v>2902.2400000000002</v>
      </c>
      <c r="J413">
        <f t="shared" si="331"/>
        <v>1831.8000000000002</v>
      </c>
      <c r="K413">
        <f t="shared" si="331"/>
        <v>679.92</v>
      </c>
      <c r="L413">
        <f t="shared" si="331"/>
        <v>0</v>
      </c>
      <c r="M413">
        <f t="shared" si="331"/>
        <v>395.00000000000006</v>
      </c>
      <c r="N413">
        <f t="shared" si="331"/>
        <v>3532.9199999999996</v>
      </c>
      <c r="O413">
        <f t="shared" si="331"/>
        <v>8072.48</v>
      </c>
      <c r="P413">
        <f t="shared" si="331"/>
        <v>39059.319999999992</v>
      </c>
      <c r="Q413">
        <f t="shared" si="331"/>
        <v>0</v>
      </c>
    </row>
    <row r="414" spans="1:33">
      <c r="A414" s="24" t="s">
        <v>87</v>
      </c>
      <c r="B414"/>
      <c r="C414">
        <f t="shared" ref="C414:Q414" si="332">SUBTOTAL(9,C3:C412)</f>
        <v>1031558.7301999993</v>
      </c>
      <c r="D414">
        <f t="shared" si="332"/>
        <v>490217.73549999989</v>
      </c>
      <c r="E414">
        <f t="shared" si="332"/>
        <v>89689.134199999986</v>
      </c>
      <c r="F414">
        <f t="shared" si="332"/>
        <v>15822.833999999995</v>
      </c>
      <c r="G414">
        <f t="shared" si="332"/>
        <v>4580.0643</v>
      </c>
      <c r="H414">
        <f t="shared" si="332"/>
        <v>132894.03999999995</v>
      </c>
      <c r="I414">
        <f t="shared" si="332"/>
        <v>69698.399999999994</v>
      </c>
      <c r="J414">
        <f t="shared" si="332"/>
        <v>52771.599999999991</v>
      </c>
      <c r="K414">
        <f t="shared" si="332"/>
        <v>23561.32</v>
      </c>
      <c r="L414">
        <f t="shared" si="332"/>
        <v>454.76</v>
      </c>
      <c r="M414">
        <f t="shared" si="332"/>
        <v>66429.439999999988</v>
      </c>
      <c r="N414">
        <f t="shared" si="332"/>
        <v>140145.55999999991</v>
      </c>
      <c r="O414">
        <f t="shared" si="332"/>
        <v>86338.64</v>
      </c>
      <c r="P414">
        <f t="shared" si="332"/>
        <v>279379.88000000006</v>
      </c>
      <c r="Q414">
        <f t="shared" si="332"/>
        <v>47037.799999999996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82"/>
  <sheetViews>
    <sheetView workbookViewId="0"/>
  </sheetViews>
  <sheetFormatPr defaultRowHeight="15"/>
  <cols>
    <col min="1" max="1" width="13.140625" style="21" customWidth="1"/>
    <col min="2" max="2" width="9.5703125" style="21" customWidth="1"/>
  </cols>
  <sheetData>
    <row r="1" spans="1:17">
      <c r="C1" t="s">
        <v>88</v>
      </c>
    </row>
    <row r="3" spans="1:17" ht="60">
      <c r="A3" s="6" t="s">
        <v>0</v>
      </c>
      <c r="B3" s="6" t="s">
        <v>33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51</v>
      </c>
      <c r="M3" s="6" t="s">
        <v>89</v>
      </c>
      <c r="N3" s="6" t="s">
        <v>90</v>
      </c>
      <c r="O3" s="6" t="s">
        <v>91</v>
      </c>
      <c r="P3" s="6" t="s">
        <v>92</v>
      </c>
      <c r="Q3" s="6" t="s">
        <v>93</v>
      </c>
    </row>
    <row r="4" spans="1:17">
      <c r="A4" t="s">
        <v>1</v>
      </c>
      <c r="B4">
        <v>33</v>
      </c>
      <c r="C4" s="19">
        <v>2.0882774304290964E-2</v>
      </c>
      <c r="D4" s="19">
        <v>8.9898501691638485E-3</v>
      </c>
      <c r="E4" s="19">
        <v>1.3430647203892556E-2</v>
      </c>
      <c r="F4" s="19">
        <v>4.1701475912002232E-2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>
      <c r="A5" t="s">
        <v>1</v>
      </c>
      <c r="B5">
        <v>53</v>
      </c>
      <c r="C5" s="19">
        <v>1.6601247959646032E-2</v>
      </c>
      <c r="D5" s="19">
        <v>8.4713739619491201E-3</v>
      </c>
      <c r="E5" s="19">
        <v>8.9982003599280141E-3</v>
      </c>
      <c r="F5" s="19">
        <v>6.9618490671122255E-3</v>
      </c>
      <c r="G5" s="19">
        <v>3.3420864168059207E-3</v>
      </c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>
      <c r="A6" t="s">
        <v>1</v>
      </c>
      <c r="B6">
        <v>54</v>
      </c>
      <c r="C6" s="19">
        <v>9.9480367758936816E-2</v>
      </c>
      <c r="D6" s="19">
        <v>1.711557332630315E-2</v>
      </c>
      <c r="E6" s="19">
        <v>4.0041991601679663E-2</v>
      </c>
      <c r="F6" s="19">
        <v>7.2472848788638272E-2</v>
      </c>
      <c r="G6" s="19">
        <v>2.8646455001193602E-2</v>
      </c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>
      <c r="A7" t="s">
        <v>1</v>
      </c>
      <c r="B7">
        <v>55</v>
      </c>
      <c r="C7" s="19">
        <v>2.6331776958213395E-2</v>
      </c>
      <c r="D7" s="19">
        <v>1.1907377301287405E-2</v>
      </c>
      <c r="E7" s="19">
        <v>1.0347930413917216E-2</v>
      </c>
      <c r="F7" s="19">
        <v>1.2531328320802006E-2</v>
      </c>
      <c r="G7" s="19">
        <v>1.4323227500596801E-3</v>
      </c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>
      <c r="A8" t="s">
        <v>1</v>
      </c>
      <c r="B8">
        <v>56</v>
      </c>
      <c r="C8" s="19">
        <v>1.0029222002210173E-3</v>
      </c>
      <c r="D8" s="19">
        <v>6.3271672744848206E-4</v>
      </c>
      <c r="E8" s="19">
        <v>3.4993001399720057E-4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>
      <c r="A9" t="s">
        <v>1</v>
      </c>
      <c r="B9">
        <v>57</v>
      </c>
      <c r="C9" s="19">
        <v>5.5558458432150284E-3</v>
      </c>
      <c r="D9" s="19">
        <v>3.3744892130585708E-3</v>
      </c>
      <c r="E9" s="19">
        <v>5.5155635539558753E-3</v>
      </c>
      <c r="F9" s="19">
        <v>1.1347813979392928E-2</v>
      </c>
      <c r="G9" s="19">
        <v>3.8195273334924802E-3</v>
      </c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>
      <c r="A10" t="s">
        <v>1</v>
      </c>
      <c r="B10">
        <v>58</v>
      </c>
      <c r="C10" s="19">
        <v>1.5129619505666978E-3</v>
      </c>
      <c r="D10" s="19">
        <v>1.7516879769175569E-3</v>
      </c>
      <c r="E10" s="19">
        <v>1.9496100779844031E-3</v>
      </c>
      <c r="F10" s="19">
        <v>1.2531328320802006E-3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>
      <c r="A11" t="s">
        <v>1</v>
      </c>
      <c r="B11">
        <v>59</v>
      </c>
      <c r="C11" s="19">
        <v>1.0298279668676932E-2</v>
      </c>
      <c r="D11" s="19">
        <v>1.0835273957555255E-2</v>
      </c>
      <c r="E11" s="19">
        <v>2.0445910817836432E-2</v>
      </c>
      <c r="F11" s="19">
        <v>3.6897800055694797E-2</v>
      </c>
      <c r="G11" s="19">
        <v>1.002625925041776E-2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>
      <c r="A12" t="s">
        <v>1</v>
      </c>
      <c r="B12">
        <v>88</v>
      </c>
      <c r="C12" s="19">
        <v>2.2543133063443799E-2</v>
      </c>
      <c r="D12" s="19">
        <v>2.2007410987594653E-2</v>
      </c>
      <c r="E12" s="19">
        <v>3.2343531293741248E-2</v>
      </c>
      <c r="F12" s="19">
        <v>5.2492341966026181E-2</v>
      </c>
      <c r="G12" s="19">
        <v>9.7875387920744808E-3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>
      <c r="A13" t="s">
        <v>1</v>
      </c>
      <c r="B13">
        <v>89</v>
      </c>
      <c r="C13" s="19">
        <v>4.4109859754666208E-3</v>
      </c>
      <c r="D13" s="19">
        <v>2.0856218052931444E-3</v>
      </c>
      <c r="E13" s="19">
        <v>4.7490501899620074E-3</v>
      </c>
      <c r="F13" s="19">
        <v>4.8732943469785572E-3</v>
      </c>
      <c r="G13" s="19">
        <v>4.7744091668656003E-4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>
      <c r="A14" t="s">
        <v>1</v>
      </c>
      <c r="B14">
        <v>90</v>
      </c>
      <c r="C14" s="19">
        <v>5.5195035613096639E-2</v>
      </c>
      <c r="D14" s="19">
        <v>3.7172107737598319E-2</v>
      </c>
      <c r="E14" s="19">
        <v>7.4051856295407587E-2</v>
      </c>
      <c r="F14" s="19">
        <v>0.14849624060150377</v>
      </c>
      <c r="G14" s="19">
        <v>0.11792790642158034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>
      <c r="A15" t="s">
        <v>1</v>
      </c>
      <c r="B15">
        <v>91</v>
      </c>
      <c r="C15" s="19">
        <v>3.4147707199749189E-2</v>
      </c>
      <c r="D15" s="19">
        <v>1.0149830836152732E-2</v>
      </c>
      <c r="E15" s="19">
        <v>2.5744851029794041E-2</v>
      </c>
      <c r="F15" s="19">
        <v>0.10811751601225288</v>
      </c>
      <c r="G15" s="19">
        <v>0.36213893530675578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>
      <c r="A16" t="s">
        <v>1</v>
      </c>
      <c r="B16">
        <v>92</v>
      </c>
      <c r="C16" s="19">
        <v>0.26047823635429201</v>
      </c>
      <c r="D16" s="19">
        <v>0.59811356679408889</v>
      </c>
      <c r="E16" s="19">
        <v>0.55877157901752983</v>
      </c>
      <c r="F16" s="19">
        <v>0.24540517961570596</v>
      </c>
      <c r="G16" s="19">
        <v>2.5065648126044403E-2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17">
      <c r="A17" t="s">
        <v>1</v>
      </c>
      <c r="B17">
        <v>93</v>
      </c>
      <c r="C17" s="19">
        <v>0.43448289846075622</v>
      </c>
      <c r="D17" s="19">
        <v>0.23393529299764199</v>
      </c>
      <c r="E17" s="19">
        <v>0.15053655935479571</v>
      </c>
      <c r="F17" s="19">
        <v>0.24951267056530213</v>
      </c>
      <c r="G17" s="19">
        <v>0.43733587968488891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17">
      <c r="A18" t="s">
        <v>1</v>
      </c>
      <c r="B18">
        <v>94</v>
      </c>
      <c r="C18" s="19">
        <v>2.4176196117302906E-5</v>
      </c>
      <c r="D18" s="19">
        <v>1.1716976434231148E-5</v>
      </c>
      <c r="E18" s="19">
        <v>3.3326667999733388E-5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>
      <c r="A19" t="s">
        <v>1</v>
      </c>
      <c r="B19">
        <v>163</v>
      </c>
      <c r="C19" s="19">
        <v>7.0516504933113835E-3</v>
      </c>
      <c r="D19" s="19">
        <v>3.3446109231512818E-2</v>
      </c>
      <c r="E19" s="19">
        <v>5.2689462107578487E-2</v>
      </c>
      <c r="F19" s="19">
        <v>7.9365079365079361E-3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>
      <c r="A20" t="s">
        <v>2</v>
      </c>
      <c r="B20">
        <v>20</v>
      </c>
      <c r="C20" s="19">
        <v>0.13675972244634499</v>
      </c>
      <c r="D20" s="19">
        <v>9.0817095489288402E-2</v>
      </c>
      <c r="E20" s="19">
        <v>7.2100878180589967E-2</v>
      </c>
      <c r="F20" s="19">
        <v>6.6985120518311098E-2</v>
      </c>
      <c r="G20" s="19">
        <v>6.906041147949156E-2</v>
      </c>
      <c r="H20" s="19">
        <v>0.3371410184216877</v>
      </c>
      <c r="I20" s="19">
        <v>0.20114041339985747</v>
      </c>
      <c r="J20" s="19">
        <v>0.56875584658559408</v>
      </c>
      <c r="K20" s="19">
        <v>0.73024523160762944</v>
      </c>
      <c r="L20" s="25">
        <v>1</v>
      </c>
      <c r="M20" s="19">
        <v>0.1896244354647017</v>
      </c>
      <c r="N20" s="19">
        <v>4.1577937352977594E-2</v>
      </c>
      <c r="O20" s="19">
        <v>0.11883736267271468</v>
      </c>
      <c r="P20" s="19">
        <v>0.4561920531668362</v>
      </c>
      <c r="Q20" s="25">
        <v>0.98422827894225728</v>
      </c>
    </row>
    <row r="21" spans="1:17">
      <c r="A21" t="s">
        <v>2</v>
      </c>
      <c r="B21">
        <v>21</v>
      </c>
      <c r="C21" s="19">
        <v>6.2600855252541554E-2</v>
      </c>
      <c r="D21" s="19">
        <v>3.2317795241683711E-2</v>
      </c>
      <c r="E21" s="19">
        <v>2.395856789011484E-2</v>
      </c>
      <c r="F21" s="19">
        <v>1.905232526217537E-2</v>
      </c>
      <c r="G21" s="19">
        <v>2.5422618267592716E-2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1:17">
      <c r="A22" t="s">
        <v>2</v>
      </c>
      <c r="B22">
        <v>22</v>
      </c>
      <c r="C22" s="19">
        <v>2.8985799580442149E-2</v>
      </c>
      <c r="D22" s="19">
        <v>1.093766820971041E-2</v>
      </c>
      <c r="E22" s="19">
        <v>4.7286647151542445E-3</v>
      </c>
      <c r="F22" s="19">
        <v>9.8830505682754081E-4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spans="1:17">
      <c r="A23" t="s">
        <v>2</v>
      </c>
      <c r="B23">
        <v>23</v>
      </c>
      <c r="C23" s="19">
        <v>1.1830321123124094E-2</v>
      </c>
      <c r="D23" s="19">
        <v>4.3276994294326613E-3</v>
      </c>
      <c r="E23" s="19">
        <v>1.8013960819635217E-3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spans="1:17">
      <c r="A24" t="s">
        <v>2</v>
      </c>
      <c r="B24">
        <v>24</v>
      </c>
      <c r="C24" s="19">
        <v>3.4835404227852189E-2</v>
      </c>
      <c r="D24" s="19">
        <v>2.5148024545160939E-2</v>
      </c>
      <c r="E24" s="19">
        <v>2.0220671020040531E-2</v>
      </c>
      <c r="F24" s="19">
        <v>1.3122494921210126E-2</v>
      </c>
      <c r="G24" s="19">
        <v>9.82833180448172E-3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7">
      <c r="A25" t="s">
        <v>2</v>
      </c>
      <c r="B25">
        <v>25</v>
      </c>
      <c r="C25" s="19">
        <v>0.25858278199128609</v>
      </c>
      <c r="D25" s="19">
        <v>0.24508558510065667</v>
      </c>
      <c r="E25" s="19">
        <v>4.449448322449899E-2</v>
      </c>
      <c r="F25" s="19">
        <v>9.5536155493328948E-3</v>
      </c>
      <c r="G25" s="19"/>
      <c r="H25" s="19">
        <v>0.56785455715549837</v>
      </c>
      <c r="I25" s="19">
        <v>0.77505345687811833</v>
      </c>
      <c r="J25" s="19">
        <v>0.23854069223573432</v>
      </c>
      <c r="K25" s="19"/>
      <c r="L25" s="19"/>
      <c r="M25" s="19">
        <v>0.48562911021313682</v>
      </c>
      <c r="N25" s="19">
        <v>0.33926272130741608</v>
      </c>
      <c r="O25" s="19">
        <v>0.47307741800575848</v>
      </c>
      <c r="P25" s="19">
        <v>0.49853118345452879</v>
      </c>
      <c r="Q25" s="19">
        <v>1.1866579149523868E-2</v>
      </c>
    </row>
    <row r="26" spans="1:17">
      <c r="A26" t="s">
        <v>2</v>
      </c>
      <c r="B26">
        <v>26</v>
      </c>
      <c r="C26" s="19">
        <v>4.1683475875423592E-2</v>
      </c>
      <c r="D26" s="19">
        <v>2.3038001937775859E-2</v>
      </c>
      <c r="E26" s="19">
        <v>1.3060121594235531E-2</v>
      </c>
      <c r="F26" s="19">
        <v>2.4707626420688521E-3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7">
      <c r="A27" t="s">
        <v>2</v>
      </c>
      <c r="B27">
        <v>27</v>
      </c>
      <c r="C27" s="19">
        <v>8.6634661933193483E-3</v>
      </c>
      <c r="D27" s="19">
        <v>3.5741199267951334E-3</v>
      </c>
      <c r="E27" s="19">
        <v>8.5566313893267276E-4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7">
      <c r="A28" t="s">
        <v>2</v>
      </c>
      <c r="B28">
        <v>28</v>
      </c>
      <c r="C28" s="19">
        <v>2.5213813135388091E-3</v>
      </c>
      <c r="D28" s="19">
        <v>1.4791689094628054E-2</v>
      </c>
      <c r="E28" s="19">
        <v>1.5311866696689936E-3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spans="1:17">
      <c r="A29" t="s">
        <v>2</v>
      </c>
      <c r="B29">
        <v>29</v>
      </c>
      <c r="C29" s="19">
        <v>1.6862998224947554E-2</v>
      </c>
      <c r="D29" s="19">
        <v>8.0525352567553023E-3</v>
      </c>
      <c r="E29" s="19">
        <v>2.6570592208961944E-3</v>
      </c>
      <c r="F29" s="19">
        <v>1.6471750947125678E-4</v>
      </c>
      <c r="G29" s="19"/>
      <c r="H29" s="19">
        <v>9.5004424422813941E-2</v>
      </c>
      <c r="I29" s="19">
        <v>2.3806129722024234E-2</v>
      </c>
      <c r="J29" s="19">
        <v>0.19270346117867168</v>
      </c>
      <c r="K29" s="19">
        <v>0.26975476839237056</v>
      </c>
      <c r="L29" s="19"/>
      <c r="M29" s="19">
        <v>0.32474645432216148</v>
      </c>
      <c r="N29" s="19">
        <v>0.61915934133960626</v>
      </c>
      <c r="O29" s="19">
        <v>0.40808521932152675</v>
      </c>
      <c r="P29" s="19">
        <v>4.5276763378635169E-2</v>
      </c>
      <c r="Q29" s="19">
        <v>3.9051419082188122E-3</v>
      </c>
    </row>
    <row r="30" spans="1:17">
      <c r="A30" t="s">
        <v>2</v>
      </c>
      <c r="B30">
        <v>30</v>
      </c>
      <c r="C30" s="19">
        <v>0.39667379377117962</v>
      </c>
      <c r="D30" s="19">
        <v>0.54190978576811277</v>
      </c>
      <c r="E30" s="19">
        <v>0.81459130826390447</v>
      </c>
      <c r="F30" s="19">
        <v>0.88766265854060278</v>
      </c>
      <c r="G30" s="19">
        <v>0.89568863844843405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spans="1:17">
      <c r="A31" t="s">
        <v>3</v>
      </c>
      <c r="B31">
        <v>28</v>
      </c>
      <c r="C31" s="19">
        <v>8.6753299595656475E-2</v>
      </c>
      <c r="D31" s="19">
        <v>7.0809377699663376E-2</v>
      </c>
      <c r="E31" s="19">
        <v>7.7970347028642986E-2</v>
      </c>
      <c r="F31" s="19">
        <v>5.7989572852830878E-2</v>
      </c>
      <c r="G31" s="19">
        <v>2.4337585868498525E-2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spans="1:17">
      <c r="A32" t="s">
        <v>3</v>
      </c>
      <c r="B32">
        <v>29</v>
      </c>
      <c r="C32" s="19">
        <v>1.7094321389517584E-2</v>
      </c>
      <c r="D32" s="19">
        <v>1.9571628585897703E-2</v>
      </c>
      <c r="E32" s="19">
        <v>2.0239970912616648E-2</v>
      </c>
      <c r="F32" s="19">
        <v>2.643373273575414E-2</v>
      </c>
      <c r="G32" s="19">
        <v>1.1776251226692834E-2</v>
      </c>
      <c r="H32" s="19">
        <v>0.61494499214173448</v>
      </c>
      <c r="I32" s="19">
        <v>0.58972879399884592</v>
      </c>
      <c r="J32" s="19">
        <v>0.82569864592336506</v>
      </c>
      <c r="K32" s="25">
        <v>1</v>
      </c>
      <c r="L32" s="25">
        <v>1</v>
      </c>
      <c r="M32" s="19">
        <v>0.10665074715967389</v>
      </c>
      <c r="N32" s="19">
        <v>0.27601361727161439</v>
      </c>
      <c r="O32" s="19">
        <v>0.6463496260335112</v>
      </c>
      <c r="P32" s="25">
        <v>0.94797218134982786</v>
      </c>
      <c r="Q32" s="19">
        <v>0.13353817064523757</v>
      </c>
    </row>
    <row r="33" spans="1:17">
      <c r="A33" t="s">
        <v>3</v>
      </c>
      <c r="B33">
        <v>30</v>
      </c>
      <c r="C33" s="19">
        <v>6.591562190066882E-3</v>
      </c>
      <c r="D33" s="19">
        <v>9.5028150972623557E-3</v>
      </c>
      <c r="E33" s="19">
        <v>3.8783177796630707E-3</v>
      </c>
      <c r="F33" s="19">
        <v>2.3781212841854937E-3</v>
      </c>
      <c r="G33" s="19">
        <v>3.9254170755642783E-4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17">
      <c r="A34" t="s">
        <v>3</v>
      </c>
      <c r="B34">
        <v>31</v>
      </c>
      <c r="C34" s="19">
        <v>0.18711186837219945</v>
      </c>
      <c r="D34" s="19">
        <v>0.28611218683904793</v>
      </c>
      <c r="E34" s="19">
        <v>0.39179089403304646</v>
      </c>
      <c r="F34" s="19">
        <v>0.25272111954632764</v>
      </c>
      <c r="G34" s="19">
        <v>9.3817468105986263E-2</v>
      </c>
      <c r="H34" s="19">
        <v>0.37662523217602512</v>
      </c>
      <c r="I34" s="19">
        <v>0.41027120600115402</v>
      </c>
      <c r="J34" s="19">
        <v>0.17430135407663497</v>
      </c>
      <c r="K34" s="19"/>
      <c r="L34" s="19"/>
      <c r="M34" s="19">
        <v>0.89334925284032607</v>
      </c>
      <c r="N34" s="19">
        <v>0.72398638272838567</v>
      </c>
      <c r="O34" s="19">
        <v>0.35365037396648885</v>
      </c>
      <c r="P34" s="19">
        <v>5.202781865017219E-2</v>
      </c>
      <c r="Q34" s="19">
        <v>0.86646182935476246</v>
      </c>
    </row>
    <row r="35" spans="1:17">
      <c r="A35" t="s">
        <v>3</v>
      </c>
      <c r="B35">
        <v>32</v>
      </c>
      <c r="C35" s="19">
        <v>6.4186354042163621E-2</v>
      </c>
      <c r="D35" s="19">
        <v>7.9031249069081599E-2</v>
      </c>
      <c r="E35" s="19">
        <v>6.370944935967357E-2</v>
      </c>
      <c r="F35" s="19">
        <v>7.7837738955455954E-2</v>
      </c>
      <c r="G35" s="19">
        <v>8.3218842001962709E-2</v>
      </c>
      <c r="H35" s="19">
        <v>8.4297756822403185E-3</v>
      </c>
      <c r="I35" s="19"/>
      <c r="J35" s="19"/>
      <c r="K35" s="19"/>
      <c r="L35" s="19"/>
      <c r="M35" s="19"/>
      <c r="N35" s="19"/>
      <c r="O35" s="19"/>
      <c r="P35" s="19"/>
      <c r="Q35" s="19"/>
    </row>
    <row r="36" spans="1:17">
      <c r="A36" t="s">
        <v>3</v>
      </c>
      <c r="B36">
        <v>33</v>
      </c>
      <c r="C36" s="19">
        <v>0.63826259441039601</v>
      </c>
      <c r="D36" s="19">
        <v>0.53497274270904704</v>
      </c>
      <c r="E36" s="19">
        <v>0.4424110208863572</v>
      </c>
      <c r="F36" s="19">
        <v>0.58263971462544595</v>
      </c>
      <c r="G36" s="19">
        <v>0.78645731108930317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17">
      <c r="A37" t="s">
        <v>4</v>
      </c>
      <c r="B37">
        <v>199</v>
      </c>
      <c r="C37" s="19">
        <v>0.3938050195242826</v>
      </c>
      <c r="D37" s="19">
        <v>0.8278549644188411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spans="1:17">
      <c r="A38" t="s">
        <v>4</v>
      </c>
      <c r="B38">
        <v>206</v>
      </c>
      <c r="C38" s="19">
        <v>0.17193846291666068</v>
      </c>
      <c r="D38" s="19">
        <v>0.15079634022365301</v>
      </c>
      <c r="E38" s="19"/>
      <c r="F38" s="19"/>
      <c r="G38" s="19"/>
      <c r="H38" s="25">
        <v>1</v>
      </c>
      <c r="I38" s="25">
        <v>1</v>
      </c>
      <c r="J38" s="25">
        <v>1</v>
      </c>
      <c r="K38" s="19"/>
      <c r="L38" s="19"/>
      <c r="M38" s="19"/>
      <c r="N38" s="25">
        <v>1</v>
      </c>
      <c r="O38" s="25">
        <v>1</v>
      </c>
      <c r="P38" s="25">
        <v>1</v>
      </c>
      <c r="Q38" s="19"/>
    </row>
    <row r="39" spans="1:17">
      <c r="A39" t="s">
        <v>4</v>
      </c>
      <c r="B39">
        <v>207</v>
      </c>
      <c r="C39" s="19">
        <v>0.28811634264835978</v>
      </c>
      <c r="D39" s="19">
        <v>2.1348695357505932E-2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>
      <c r="A40" t="s">
        <v>4</v>
      </c>
      <c r="B40">
        <v>209</v>
      </c>
      <c r="C40" s="19">
        <v>0.146140174910697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spans="1:17">
      <c r="A41" t="s">
        <v>5</v>
      </c>
      <c r="B41">
        <v>338</v>
      </c>
      <c r="C41" s="19">
        <v>0.21720830745877323</v>
      </c>
      <c r="D41" s="19">
        <v>0.31988742964352723</v>
      </c>
      <c r="E41" s="19">
        <v>0.37430555555555556</v>
      </c>
      <c r="F41" s="19">
        <v>0.34237288135593225</v>
      </c>
      <c r="G41" s="19">
        <v>0.19047619047619049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spans="1:17">
      <c r="A42" t="s">
        <v>5</v>
      </c>
      <c r="B42">
        <v>339</v>
      </c>
      <c r="C42" s="19">
        <v>0.60712067894845789</v>
      </c>
      <c r="D42" s="19">
        <v>0.56722951844903069</v>
      </c>
      <c r="E42" s="19">
        <v>0.57847222222222228</v>
      </c>
      <c r="F42" s="19">
        <v>0.63559322033898313</v>
      </c>
      <c r="G42" s="19">
        <v>0.80952380952380953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7">
      <c r="A43" t="s">
        <v>5</v>
      </c>
      <c r="B43">
        <v>340</v>
      </c>
      <c r="C43" s="19">
        <v>0.17560201476574899</v>
      </c>
      <c r="D43" s="19">
        <v>0.11288305190744215</v>
      </c>
      <c r="E43" s="19">
        <v>4.7222222222222228E-2</v>
      </c>
      <c r="F43" s="19">
        <v>2.2033898305084749E-2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spans="1:17">
      <c r="A44" t="s">
        <v>5</v>
      </c>
      <c r="B44">
        <v>341</v>
      </c>
      <c r="C44" s="19">
        <v>6.8998827019940668E-5</v>
      </c>
      <c r="D44" s="19"/>
      <c r="E44" s="19"/>
      <c r="F44" s="19"/>
      <c r="G44" s="19"/>
      <c r="H44" s="25">
        <v>1</v>
      </c>
      <c r="I44" s="19"/>
      <c r="J44" s="19"/>
      <c r="K44" s="19"/>
      <c r="L44" s="19"/>
      <c r="M44" s="19"/>
      <c r="N44" s="19"/>
      <c r="O44" s="19"/>
      <c r="P44" s="19"/>
      <c r="Q44" s="19"/>
    </row>
    <row r="45" spans="1:17">
      <c r="A45" t="s">
        <v>6</v>
      </c>
      <c r="B45">
        <v>160</v>
      </c>
      <c r="C45" s="25">
        <v>1</v>
      </c>
      <c r="D45" s="25">
        <v>1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spans="1:17">
      <c r="A46" t="s">
        <v>6</v>
      </c>
      <c r="B46">
        <v>162</v>
      </c>
      <c r="C46" s="19"/>
      <c r="D46" s="19"/>
      <c r="E46" s="19"/>
      <c r="F46" s="19"/>
      <c r="G46" s="19"/>
      <c r="H46" s="19">
        <v>0.30398367293808082</v>
      </c>
      <c r="I46" s="19">
        <v>0.59359889477319827</v>
      </c>
      <c r="J46" s="19"/>
      <c r="K46" s="19"/>
      <c r="L46" s="19"/>
      <c r="M46" s="19"/>
      <c r="N46" s="19"/>
      <c r="O46" s="19"/>
      <c r="P46" s="19"/>
      <c r="Q46" s="19"/>
    </row>
    <row r="47" spans="1:17">
      <c r="A47" t="s">
        <v>6</v>
      </c>
      <c r="B47">
        <v>256</v>
      </c>
      <c r="C47" s="19"/>
      <c r="D47" s="19"/>
      <c r="E47" s="19"/>
      <c r="F47" s="19"/>
      <c r="G47" s="19"/>
      <c r="H47" s="19">
        <v>8.0049092760212562E-2</v>
      </c>
      <c r="I47" s="19"/>
      <c r="J47" s="19"/>
      <c r="K47" s="19"/>
      <c r="L47" s="19"/>
      <c r="M47" s="19"/>
      <c r="N47" s="19"/>
      <c r="O47" s="19"/>
      <c r="P47" s="19"/>
      <c r="Q47" s="19"/>
    </row>
    <row r="48" spans="1:17">
      <c r="A48" t="s">
        <v>6</v>
      </c>
      <c r="B48">
        <v>261</v>
      </c>
      <c r="C48" s="19"/>
      <c r="D48" s="19"/>
      <c r="E48" s="19"/>
      <c r="F48" s="19"/>
      <c r="G48" s="19"/>
      <c r="H48" s="19">
        <v>0.61575803219852809</v>
      </c>
      <c r="I48" s="19">
        <v>0.40640110522680173</v>
      </c>
      <c r="J48" s="19"/>
      <c r="K48" s="19"/>
      <c r="L48" s="19"/>
      <c r="M48" s="25">
        <v>1</v>
      </c>
      <c r="N48" s="25">
        <v>1</v>
      </c>
      <c r="O48" s="19"/>
      <c r="P48" s="19"/>
      <c r="Q48" s="19"/>
    </row>
    <row r="49" spans="1:17">
      <c r="A49" t="s">
        <v>6</v>
      </c>
      <c r="B49">
        <v>264</v>
      </c>
      <c r="C49" s="19"/>
      <c r="D49" s="19"/>
      <c r="E49" s="19"/>
      <c r="F49" s="19"/>
      <c r="G49" s="19"/>
      <c r="H49" s="19">
        <v>2.0920210317847728E-4</v>
      </c>
      <c r="I49" s="19"/>
      <c r="J49" s="19"/>
      <c r="K49" s="19"/>
      <c r="L49" s="19"/>
      <c r="M49" s="19"/>
      <c r="N49" s="19"/>
      <c r="O49" s="19"/>
      <c r="P49" s="19"/>
      <c r="Q49" s="19"/>
    </row>
    <row r="50" spans="1:17">
      <c r="A50" t="s">
        <v>7</v>
      </c>
      <c r="B50">
        <v>149</v>
      </c>
      <c r="C50" s="19">
        <v>7.9067894864560798E-2</v>
      </c>
      <c r="D50" s="19">
        <v>2.6776776518254593E-3</v>
      </c>
      <c r="E50" s="19">
        <v>3.9579409170024558E-3</v>
      </c>
      <c r="F50" s="19">
        <v>1.3837638376383763E-3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>
      <c r="A51" t="s">
        <v>7</v>
      </c>
      <c r="B51">
        <v>150</v>
      </c>
      <c r="C51" s="19">
        <v>1.2853305030529282E-3</v>
      </c>
      <c r="D51" s="19">
        <v>0.26395579352543325</v>
      </c>
      <c r="E51" s="19">
        <v>2.6131947259245135E-2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7">
      <c r="A52" t="s">
        <v>7</v>
      </c>
      <c r="B52">
        <v>163</v>
      </c>
      <c r="C52" s="19">
        <v>5.4651517639820679E-2</v>
      </c>
      <c r="D52" s="19">
        <v>0.10531785541986954</v>
      </c>
      <c r="E52" s="19">
        <v>0.67842922200233657</v>
      </c>
      <c r="F52" s="19">
        <v>0.57026445264452641</v>
      </c>
      <c r="G52" s="25">
        <v>1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>
      <c r="A53" t="s">
        <v>7</v>
      </c>
      <c r="B53">
        <v>164</v>
      </c>
      <c r="C53" s="19">
        <v>7.342837323424084E-2</v>
      </c>
      <c r="D53" s="19">
        <v>6.6962602388628946E-3</v>
      </c>
      <c r="E53" s="19">
        <v>6.5711356429269688E-2</v>
      </c>
      <c r="F53" s="19">
        <v>0.30719557195571956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spans="1:17">
      <c r="A54" t="s">
        <v>7</v>
      </c>
      <c r="B54">
        <v>165</v>
      </c>
      <c r="C54" s="19">
        <v>0.60080943650130292</v>
      </c>
      <c r="D54" s="19">
        <v>0.5451346741693982</v>
      </c>
      <c r="E54" s="19">
        <v>7.72036908991202E-2</v>
      </c>
      <c r="F54" s="19">
        <v>1.3991389913899139E-2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spans="1:17">
      <c r="A55" t="s">
        <v>7</v>
      </c>
      <c r="B55">
        <v>166</v>
      </c>
      <c r="C55" s="19">
        <v>7.7586777426716241E-2</v>
      </c>
      <c r="D55" s="19">
        <v>6.8044210606785296E-2</v>
      </c>
      <c r="E55" s="19">
        <v>0.14618154073579553</v>
      </c>
      <c r="F55" s="19">
        <v>0.10716482164821647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7">
      <c r="A56" t="s">
        <v>7</v>
      </c>
      <c r="B56">
        <v>167</v>
      </c>
      <c r="C56" s="19">
        <v>9.2366086638935807E-2</v>
      </c>
      <c r="D56" s="19">
        <v>8.1735283878252435E-3</v>
      </c>
      <c r="E56" s="19">
        <v>2.3843017572303953E-3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spans="1:17">
      <c r="A57" t="s">
        <v>7</v>
      </c>
      <c r="B57">
        <v>172</v>
      </c>
      <c r="C57" s="19">
        <v>3.492912451681378E-4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spans="1:17">
      <c r="A58" t="s">
        <v>7</v>
      </c>
      <c r="B58">
        <v>174</v>
      </c>
      <c r="C58" s="19">
        <v>2.0455291946201798E-2</v>
      </c>
      <c r="D58" s="19"/>
      <c r="E58" s="19"/>
      <c r="F58" s="19"/>
      <c r="G58" s="19"/>
      <c r="H58" s="19">
        <v>0.28941025855111191</v>
      </c>
      <c r="I58" s="19">
        <v>0.77781727505641529</v>
      </c>
      <c r="J58" s="25">
        <v>1</v>
      </c>
      <c r="K58" s="19"/>
      <c r="L58" s="19"/>
      <c r="M58" s="19"/>
      <c r="N58" s="19">
        <v>0.88547007244775922</v>
      </c>
      <c r="O58" s="25">
        <v>1</v>
      </c>
      <c r="P58" s="19"/>
      <c r="Q58" s="19"/>
    </row>
    <row r="59" spans="1:17">
      <c r="A59" t="s">
        <v>7</v>
      </c>
      <c r="B59">
        <v>175</v>
      </c>
      <c r="C59" s="19"/>
      <c r="D59" s="19"/>
      <c r="E59" s="19"/>
      <c r="F59" s="19"/>
      <c r="G59" s="19"/>
      <c r="H59" s="19">
        <v>0.49401909214884082</v>
      </c>
      <c r="I59" s="19">
        <v>0.21669260321297198</v>
      </c>
      <c r="J59" s="19"/>
      <c r="K59" s="19"/>
      <c r="L59" s="19"/>
      <c r="M59" s="25">
        <v>1</v>
      </c>
      <c r="N59" s="19">
        <v>0.11452992755224087</v>
      </c>
      <c r="O59" s="19"/>
      <c r="P59" s="19"/>
      <c r="Q59" s="19"/>
    </row>
    <row r="60" spans="1:17">
      <c r="A60" t="s">
        <v>7</v>
      </c>
      <c r="B60">
        <v>256</v>
      </c>
      <c r="C60" s="19"/>
      <c r="D60" s="19"/>
      <c r="E60" s="19"/>
      <c r="F60" s="19"/>
      <c r="G60" s="19"/>
      <c r="H60" s="19">
        <v>0.2165706493000473</v>
      </c>
      <c r="I60" s="19">
        <v>5.490121730612761E-3</v>
      </c>
      <c r="J60" s="19"/>
      <c r="K60" s="19"/>
      <c r="L60" s="19"/>
      <c r="M60" s="19"/>
      <c r="N60" s="19"/>
      <c r="O60" s="19"/>
      <c r="P60" s="19"/>
      <c r="Q60" s="19"/>
    </row>
    <row r="61" spans="1:17">
      <c r="A61" t="s">
        <v>8</v>
      </c>
      <c r="B61">
        <v>270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>
        <v>1.5910822746171022E-2</v>
      </c>
      <c r="O61" s="19"/>
      <c r="P61" s="19"/>
      <c r="Q61" s="19"/>
    </row>
    <row r="62" spans="1:17">
      <c r="A62" t="s">
        <v>8</v>
      </c>
      <c r="B62">
        <v>309</v>
      </c>
      <c r="C62" s="19"/>
      <c r="D62" s="19"/>
      <c r="E62" s="19"/>
      <c r="F62" s="19"/>
      <c r="G62" s="19"/>
      <c r="H62" s="19">
        <v>0.21541366162213288</v>
      </c>
      <c r="I62" s="19">
        <v>0.29673008673145929</v>
      </c>
      <c r="J62" s="19"/>
      <c r="K62" s="19"/>
      <c r="L62" s="19"/>
      <c r="M62" s="19">
        <v>2.251228474920838E-2</v>
      </c>
      <c r="N62" s="19">
        <v>0.16779333977995339</v>
      </c>
      <c r="O62" s="19">
        <v>5.7294295810196877E-2</v>
      </c>
      <c r="P62" s="19"/>
      <c r="Q62" s="19"/>
    </row>
    <row r="63" spans="1:17">
      <c r="A63" t="s">
        <v>8</v>
      </c>
      <c r="B63">
        <v>310</v>
      </c>
      <c r="C63" s="19"/>
      <c r="D63" s="19"/>
      <c r="E63" s="19"/>
      <c r="F63" s="19"/>
      <c r="G63" s="19"/>
      <c r="H63" s="19">
        <v>5.4712439406479081E-2</v>
      </c>
      <c r="I63" s="19">
        <v>0.31483454356507473</v>
      </c>
      <c r="J63" s="25">
        <v>1</v>
      </c>
      <c r="K63" s="19"/>
      <c r="L63" s="19"/>
      <c r="M63" s="19"/>
      <c r="N63" s="19">
        <v>5.3408167600238268E-2</v>
      </c>
      <c r="O63" s="25">
        <v>0.93863128290185338</v>
      </c>
      <c r="P63" s="19"/>
      <c r="Q63" s="19"/>
    </row>
    <row r="64" spans="1:17">
      <c r="A64" t="s">
        <v>8</v>
      </c>
      <c r="B64">
        <v>311</v>
      </c>
      <c r="C64" s="19"/>
      <c r="D64" s="19"/>
      <c r="E64" s="19"/>
      <c r="F64" s="19"/>
      <c r="G64" s="19"/>
      <c r="H64" s="19">
        <v>0.18830729782454483</v>
      </c>
      <c r="I64" s="19">
        <v>0.27676943287952366</v>
      </c>
      <c r="J64" s="19"/>
      <c r="K64" s="19"/>
      <c r="L64" s="19"/>
      <c r="M64" s="19">
        <v>0.24014578949322021</v>
      </c>
      <c r="N64" s="19">
        <v>0.1102253197686941</v>
      </c>
      <c r="O64" s="19">
        <v>4.0744212879498089E-3</v>
      </c>
      <c r="P64" s="19"/>
      <c r="Q64" s="19"/>
    </row>
    <row r="65" spans="1:17">
      <c r="A65" t="s">
        <v>8</v>
      </c>
      <c r="B65">
        <v>312</v>
      </c>
      <c r="C65" s="19"/>
      <c r="D65" s="19"/>
      <c r="E65" s="19"/>
      <c r="F65" s="19"/>
      <c r="G65" s="19"/>
      <c r="H65" s="19">
        <v>0.44929079717427289</v>
      </c>
      <c r="I65" s="19"/>
      <c r="J65" s="19"/>
      <c r="K65" s="19"/>
      <c r="L65" s="19"/>
      <c r="M65" s="19">
        <v>0.52996308150906113</v>
      </c>
      <c r="N65" s="19"/>
      <c r="O65" s="19"/>
      <c r="P65" s="19"/>
      <c r="Q65" s="19"/>
    </row>
    <row r="66" spans="1:17">
      <c r="A66" t="s">
        <v>8</v>
      </c>
      <c r="B66">
        <v>313</v>
      </c>
      <c r="C66" s="19"/>
      <c r="D66" s="19"/>
      <c r="E66" s="19"/>
      <c r="F66" s="19"/>
      <c r="G66" s="19"/>
      <c r="H66" s="19">
        <v>9.2275803972570347E-2</v>
      </c>
      <c r="I66" s="19">
        <v>0.11166593682394232</v>
      </c>
      <c r="J66" s="19"/>
      <c r="K66" s="19"/>
      <c r="L66" s="19"/>
      <c r="M66" s="19">
        <v>0.20737884424851025</v>
      </c>
      <c r="N66" s="19">
        <v>0.65266235010494333</v>
      </c>
      <c r="O66" s="19"/>
      <c r="P66" s="19"/>
      <c r="Q66" s="19"/>
    </row>
    <row r="67" spans="1:17">
      <c r="A67" t="s">
        <v>9</v>
      </c>
      <c r="B67">
        <v>144</v>
      </c>
      <c r="C67" s="19">
        <v>2.8601468775096175E-3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spans="1:17">
      <c r="A68" t="s">
        <v>9</v>
      </c>
      <c r="B68">
        <v>184</v>
      </c>
      <c r="C68" s="19">
        <v>2.0777634653449529E-3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spans="1:17">
      <c r="A69" t="s">
        <v>9</v>
      </c>
      <c r="B69">
        <v>185</v>
      </c>
      <c r="C69" s="19">
        <v>3.6305494764021553E-6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</row>
    <row r="70" spans="1:17">
      <c r="A70" t="s">
        <v>9</v>
      </c>
      <c r="B70">
        <v>189</v>
      </c>
      <c r="C70" s="19">
        <v>7.1521824685122446E-5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spans="1:17">
      <c r="A71" t="s">
        <v>9</v>
      </c>
      <c r="B71">
        <v>199</v>
      </c>
      <c r="C71" s="19">
        <v>1.7402675860186088E-2</v>
      </c>
      <c r="D71" s="19">
        <v>3.3545347467608955E-2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spans="1:17">
      <c r="A72" t="s">
        <v>9</v>
      </c>
      <c r="B72">
        <v>200</v>
      </c>
      <c r="C72" s="19">
        <v>0.13163246931096528</v>
      </c>
      <c r="D72" s="19">
        <v>0.17446407538280331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spans="1:17">
      <c r="A73" t="s">
        <v>9</v>
      </c>
      <c r="B73">
        <v>201</v>
      </c>
      <c r="C73" s="19">
        <v>4.1927400628230284E-2</v>
      </c>
      <c r="D73" s="19">
        <v>0.52876325088339227</v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spans="1:17">
      <c r="A74" t="s">
        <v>9</v>
      </c>
      <c r="B74">
        <v>202</v>
      </c>
      <c r="C74" s="19">
        <v>0.17870000188788573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spans="1:17">
      <c r="A75" t="s">
        <v>9</v>
      </c>
      <c r="B75">
        <v>203</v>
      </c>
      <c r="C75" s="19">
        <v>9.8580309932747717E-2</v>
      </c>
      <c r="D75" s="19">
        <v>8.3769140164899891E-2</v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spans="1:17">
      <c r="A76" t="s">
        <v>9</v>
      </c>
      <c r="B76">
        <v>204</v>
      </c>
      <c r="C76" s="19">
        <v>1.543491804397612E-2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spans="1:17">
      <c r="A77" t="s">
        <v>9</v>
      </c>
      <c r="B77">
        <v>205</v>
      </c>
      <c r="C77" s="19">
        <v>0.11629593915779968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</row>
    <row r="78" spans="1:17">
      <c r="A78" t="s">
        <v>9</v>
      </c>
      <c r="B78">
        <v>207</v>
      </c>
      <c r="C78" s="19">
        <v>3.473346684073942E-2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</row>
    <row r="79" spans="1:17">
      <c r="A79" t="s">
        <v>9</v>
      </c>
      <c r="B79">
        <v>208</v>
      </c>
      <c r="C79" s="19">
        <v>8.8280441068194798E-2</v>
      </c>
      <c r="D79" s="19">
        <v>0.16579505300353356</v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spans="1:17">
      <c r="A80" t="s">
        <v>9</v>
      </c>
      <c r="B80">
        <v>209</v>
      </c>
      <c r="C80" s="19">
        <v>0.10440407434784441</v>
      </c>
      <c r="D80" s="19">
        <v>8.9517078916372204E-3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spans="1:17">
      <c r="A81" t="s">
        <v>9</v>
      </c>
      <c r="B81">
        <v>210</v>
      </c>
      <c r="C81" s="19">
        <v>0.16759524020441446</v>
      </c>
      <c r="D81" s="19">
        <v>4.7114252061248524E-3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spans="1:17">
      <c r="A82" t="s">
        <v>10</v>
      </c>
      <c r="B82">
        <v>342</v>
      </c>
      <c r="C82" s="25">
        <v>1</v>
      </c>
      <c r="D82" s="25">
        <v>1</v>
      </c>
      <c r="E82" s="25">
        <v>1</v>
      </c>
      <c r="F82" s="19"/>
      <c r="G82" s="19"/>
      <c r="H82" s="25">
        <v>1</v>
      </c>
      <c r="I82" s="25">
        <v>1</v>
      </c>
      <c r="J82" s="25">
        <v>1</v>
      </c>
      <c r="K82" s="25">
        <v>1</v>
      </c>
      <c r="L82" s="19"/>
      <c r="M82" s="25">
        <v>1</v>
      </c>
      <c r="N82" s="25">
        <v>1</v>
      </c>
      <c r="O82" s="25">
        <v>1</v>
      </c>
      <c r="P82" s="25">
        <v>1</v>
      </c>
      <c r="Q82" s="25">
        <v>1</v>
      </c>
    </row>
    <row r="83" spans="1:17">
      <c r="A83" t="s">
        <v>11</v>
      </c>
      <c r="B83">
        <v>305</v>
      </c>
      <c r="C83" s="19"/>
      <c r="D83" s="19"/>
      <c r="E83" s="19"/>
      <c r="F83" s="19"/>
      <c r="G83" s="19"/>
      <c r="H83" s="19">
        <v>2.8181738699618222E-2</v>
      </c>
      <c r="I83" s="19">
        <v>2.9244982478496339E-2</v>
      </c>
      <c r="J83" s="19"/>
      <c r="K83" s="19"/>
      <c r="L83" s="19"/>
      <c r="M83" s="19">
        <v>8.1481481481481474E-2</v>
      </c>
      <c r="N83" s="19">
        <v>9.6718972895863065E-2</v>
      </c>
      <c r="O83" s="19"/>
      <c r="P83" s="19"/>
      <c r="Q83" s="19"/>
    </row>
    <row r="84" spans="1:17">
      <c r="A84" t="s">
        <v>11</v>
      </c>
      <c r="B84">
        <v>307</v>
      </c>
      <c r="C84" s="19"/>
      <c r="D84" s="19"/>
      <c r="E84" s="19"/>
      <c r="F84" s="19"/>
      <c r="G84" s="19"/>
      <c r="H84" s="19"/>
      <c r="I84" s="19">
        <v>2.205503957654324E-3</v>
      </c>
      <c r="J84" s="19">
        <v>1.9153221244144737E-2</v>
      </c>
      <c r="K84" s="19">
        <v>0.17144664204452287</v>
      </c>
      <c r="L84" s="19"/>
      <c r="M84" s="19"/>
      <c r="N84" s="19"/>
      <c r="O84" s="19"/>
      <c r="P84" s="19">
        <v>4.7568738561359132E-2</v>
      </c>
      <c r="Q84" s="19"/>
    </row>
    <row r="85" spans="1:17">
      <c r="A85" t="s">
        <v>11</v>
      </c>
      <c r="B85">
        <v>314</v>
      </c>
      <c r="C85" s="19">
        <v>0.25732835704844098</v>
      </c>
      <c r="D85" s="19">
        <v>0.71553228621291443</v>
      </c>
      <c r="E85" s="25">
        <v>1</v>
      </c>
      <c r="F85" s="19"/>
      <c r="G85" s="19"/>
      <c r="H85" s="19">
        <v>0.1178562061026433</v>
      </c>
      <c r="I85" s="19">
        <v>0.28395618398804129</v>
      </c>
      <c r="J85" s="19">
        <v>0.34679912199316604</v>
      </c>
      <c r="K85" s="19">
        <v>0.37234615714966152</v>
      </c>
      <c r="L85" s="19"/>
      <c r="M85" s="19"/>
      <c r="N85" s="19">
        <v>2.1683309557774609E-2</v>
      </c>
      <c r="O85" s="19">
        <v>8.9318389752973473E-2</v>
      </c>
      <c r="P85" s="19">
        <v>0.22542904352063803</v>
      </c>
      <c r="Q85" s="19"/>
    </row>
    <row r="86" spans="1:17">
      <c r="A86" t="s">
        <v>11</v>
      </c>
      <c r="B86">
        <v>315</v>
      </c>
      <c r="C86" s="19">
        <v>0.19776844724360468</v>
      </c>
      <c r="D86" s="19">
        <v>5.7009889470622452E-2</v>
      </c>
      <c r="E86" s="19"/>
      <c r="F86" s="19"/>
      <c r="G86" s="19"/>
      <c r="H86" s="19">
        <v>0.11782706262932416</v>
      </c>
      <c r="I86" s="19">
        <v>0.12442963217095107</v>
      </c>
      <c r="J86" s="19">
        <v>0.16684392749654908</v>
      </c>
      <c r="K86" s="19">
        <v>4.9723196089607943E-2</v>
      </c>
      <c r="L86" s="19"/>
      <c r="M86" s="19"/>
      <c r="N86" s="19">
        <v>5.7061340941512136E-4</v>
      </c>
      <c r="O86" s="19">
        <v>0.26547727965843249</v>
      </c>
      <c r="P86" s="19">
        <v>0.21620876531154898</v>
      </c>
      <c r="Q86" s="19"/>
    </row>
    <row r="87" spans="1:17">
      <c r="A87" t="s">
        <v>11</v>
      </c>
      <c r="B87">
        <v>316</v>
      </c>
      <c r="C87" s="19">
        <v>0.39860819531918201</v>
      </c>
      <c r="D87" s="19">
        <v>0.13612565445026176</v>
      </c>
      <c r="E87" s="19"/>
      <c r="F87" s="19"/>
      <c r="G87" s="19"/>
      <c r="H87" s="19">
        <v>0.26170839040596861</v>
      </c>
      <c r="I87" s="19">
        <v>0.11571544097826354</v>
      </c>
      <c r="J87" s="19"/>
      <c r="K87" s="19"/>
      <c r="L87" s="19"/>
      <c r="M87" s="19">
        <v>0.36666666666666664</v>
      </c>
      <c r="N87" s="19">
        <v>0.1044222539229672</v>
      </c>
      <c r="O87" s="19"/>
      <c r="P87" s="19"/>
      <c r="Q87" s="19"/>
    </row>
    <row r="88" spans="1:17">
      <c r="A88" t="s">
        <v>11</v>
      </c>
      <c r="B88">
        <v>317</v>
      </c>
      <c r="C88" s="19">
        <v>3.8877225721172535E-4</v>
      </c>
      <c r="D88" s="19"/>
      <c r="E88" s="19"/>
      <c r="F88" s="19"/>
      <c r="G88" s="19"/>
      <c r="H88" s="19">
        <v>6.156558738670475E-2</v>
      </c>
      <c r="I88" s="19">
        <v>2.0334746489572869E-2</v>
      </c>
      <c r="J88" s="19"/>
      <c r="K88" s="19"/>
      <c r="L88" s="19"/>
      <c r="M88" s="19">
        <v>0.19259259259259259</v>
      </c>
      <c r="N88" s="19">
        <v>1.2553495007132669E-2</v>
      </c>
      <c r="O88" s="19"/>
      <c r="P88" s="19"/>
      <c r="Q88" s="19"/>
    </row>
    <row r="89" spans="1:17">
      <c r="A89" t="s">
        <v>11</v>
      </c>
      <c r="B89">
        <v>318</v>
      </c>
      <c r="C89" s="19">
        <v>3.2151465671409682E-2</v>
      </c>
      <c r="D89" s="19">
        <v>1.1634671320535194E-3</v>
      </c>
      <c r="E89" s="19"/>
      <c r="F89" s="19"/>
      <c r="G89" s="19"/>
      <c r="H89" s="19">
        <v>0.10125899804738728</v>
      </c>
      <c r="I89" s="19">
        <v>0.12923763079863748</v>
      </c>
      <c r="J89" s="19">
        <v>9.5544341608019751E-2</v>
      </c>
      <c r="K89" s="19">
        <v>2.5837634400206141E-2</v>
      </c>
      <c r="L89" s="19"/>
      <c r="M89" s="19"/>
      <c r="N89" s="19">
        <v>9.1012838801711848E-2</v>
      </c>
      <c r="O89" s="19">
        <v>0.1989173528514791</v>
      </c>
      <c r="P89" s="19">
        <v>2.2275224593100086E-2</v>
      </c>
      <c r="Q89" s="19"/>
    </row>
    <row r="90" spans="1:17">
      <c r="A90" t="s">
        <v>11</v>
      </c>
      <c r="B90">
        <v>319</v>
      </c>
      <c r="C90" s="19">
        <v>1.8272296088951089E-3</v>
      </c>
      <c r="D90" s="19"/>
      <c r="E90" s="19"/>
      <c r="F90" s="19"/>
      <c r="G90" s="19"/>
      <c r="H90" s="19">
        <v>2.0910442106490252E-2</v>
      </c>
      <c r="I90" s="19"/>
      <c r="J90" s="19"/>
      <c r="K90" s="19"/>
      <c r="L90" s="19"/>
      <c r="M90" s="19"/>
      <c r="N90" s="19"/>
      <c r="O90" s="19"/>
      <c r="P90" s="19"/>
      <c r="Q90" s="19"/>
    </row>
    <row r="91" spans="1:17">
      <c r="A91" t="s">
        <v>11</v>
      </c>
      <c r="B91">
        <v>330</v>
      </c>
      <c r="C91" s="19">
        <v>2.1460228598087237E-2</v>
      </c>
      <c r="D91" s="19">
        <v>1.2216404886561952E-2</v>
      </c>
      <c r="E91" s="19"/>
      <c r="F91" s="19"/>
      <c r="G91" s="19"/>
      <c r="H91" s="19">
        <v>0.14538221665258064</v>
      </c>
      <c r="I91" s="19">
        <v>0.14815105251549979</v>
      </c>
      <c r="J91" s="19">
        <v>0.16661311126700007</v>
      </c>
      <c r="K91" s="19">
        <v>0.21897570840718675</v>
      </c>
      <c r="L91" s="19"/>
      <c r="M91" s="19">
        <v>0.35925925925925922</v>
      </c>
      <c r="N91" s="19">
        <v>0.67275320970042796</v>
      </c>
      <c r="O91" s="19">
        <v>0.43595608417200366</v>
      </c>
      <c r="P91" s="19">
        <v>0.32254966304365223</v>
      </c>
      <c r="Q91" s="19"/>
    </row>
    <row r="92" spans="1:17">
      <c r="A92" t="s">
        <v>11</v>
      </c>
      <c r="B92">
        <v>331</v>
      </c>
      <c r="C92" s="19">
        <v>8.5529896586579576E-4</v>
      </c>
      <c r="D92" s="19"/>
      <c r="E92" s="19"/>
      <c r="F92" s="19"/>
      <c r="G92" s="19"/>
      <c r="H92" s="19">
        <v>1.4775740972809141E-2</v>
      </c>
      <c r="I92" s="19"/>
      <c r="J92" s="19"/>
      <c r="K92" s="19"/>
      <c r="L92" s="19"/>
      <c r="M92" s="19"/>
      <c r="N92" s="19"/>
      <c r="O92" s="19"/>
      <c r="P92" s="19"/>
      <c r="Q92" s="19"/>
    </row>
    <row r="93" spans="1:17">
      <c r="A93" t="s">
        <v>11</v>
      </c>
      <c r="B93">
        <v>332</v>
      </c>
      <c r="C93" s="19">
        <v>8.961200528730269E-2</v>
      </c>
      <c r="D93" s="19">
        <v>7.7952297847585811E-2</v>
      </c>
      <c r="E93" s="19"/>
      <c r="F93" s="19"/>
      <c r="G93" s="19"/>
      <c r="H93" s="19">
        <v>0.10322618249642992</v>
      </c>
      <c r="I93" s="19">
        <v>0.14544563432744381</v>
      </c>
      <c r="J93" s="19">
        <v>0.20402796949605126</v>
      </c>
      <c r="K93" s="19">
        <v>0.16167066190881479</v>
      </c>
      <c r="L93" s="19"/>
      <c r="M93" s="19"/>
      <c r="N93" s="19">
        <v>2.8530670470756068E-4</v>
      </c>
      <c r="O93" s="19">
        <v>1.0330893565111314E-2</v>
      </c>
      <c r="P93" s="19">
        <v>0.1659685649697015</v>
      </c>
      <c r="Q93" s="19"/>
    </row>
    <row r="94" spans="1:17">
      <c r="A94" t="s">
        <v>11</v>
      </c>
      <c r="B94">
        <v>341</v>
      </c>
      <c r="C94" s="19"/>
      <c r="D94" s="19"/>
      <c r="E94" s="19"/>
      <c r="F94" s="19"/>
      <c r="G94" s="19"/>
      <c r="H94" s="19">
        <v>2.7307434500043713E-2</v>
      </c>
      <c r="I94" s="19">
        <v>1.2791922954395079E-3</v>
      </c>
      <c r="J94" s="19"/>
      <c r="K94" s="19"/>
      <c r="L94" s="19"/>
      <c r="M94" s="19"/>
      <c r="N94" s="19"/>
      <c r="O94" s="19"/>
      <c r="P94" s="19"/>
      <c r="Q94" s="19"/>
    </row>
    <row r="95" spans="1:17">
      <c r="A95" t="s">
        <v>11</v>
      </c>
      <c r="B95">
        <v>342</v>
      </c>
      <c r="C95" s="19"/>
      <c r="D95" s="19"/>
      <c r="E95" s="19"/>
      <c r="F95" s="19"/>
      <c r="G95" s="19"/>
      <c r="H95" s="19"/>
      <c r="I95" s="19"/>
      <c r="J95" s="19">
        <v>1.0183068950691319E-3</v>
      </c>
      <c r="K95" s="19"/>
      <c r="L95" s="19"/>
      <c r="M95" s="19"/>
      <c r="N95" s="19"/>
      <c r="O95" s="19"/>
      <c r="P95" s="19"/>
      <c r="Q95" s="19"/>
    </row>
    <row r="96" spans="1:17">
      <c r="A96" t="s">
        <v>12</v>
      </c>
      <c r="B96">
        <v>253</v>
      </c>
      <c r="C96" s="25">
        <v>0.99843505477308303</v>
      </c>
      <c r="D96" s="25">
        <v>1</v>
      </c>
      <c r="E96" s="25">
        <v>1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</row>
    <row r="97" spans="1:17">
      <c r="A97" t="s">
        <v>12</v>
      </c>
      <c r="B97">
        <v>305</v>
      </c>
      <c r="C97" s="19"/>
      <c r="D97" s="19"/>
      <c r="E97" s="19"/>
      <c r="F97" s="19"/>
      <c r="G97" s="19"/>
      <c r="H97" s="19">
        <v>0.1302618743903354</v>
      </c>
      <c r="I97" s="19">
        <v>3.2762312633832974E-2</v>
      </c>
      <c r="J97" s="19"/>
      <c r="K97" s="19"/>
      <c r="L97" s="19"/>
      <c r="M97" s="19"/>
      <c r="N97" s="19"/>
      <c r="O97" s="19"/>
      <c r="P97" s="19"/>
      <c r="Q97" s="19"/>
    </row>
    <row r="98" spans="1:17">
      <c r="A98" t="s">
        <v>12</v>
      </c>
      <c r="B98">
        <v>316</v>
      </c>
      <c r="C98" s="19"/>
      <c r="D98" s="19"/>
      <c r="E98" s="19"/>
      <c r="F98" s="19"/>
      <c r="G98" s="19"/>
      <c r="H98" s="19">
        <v>1.7670893674495383E-2</v>
      </c>
      <c r="I98" s="19">
        <v>0.25546038543897215</v>
      </c>
      <c r="J98" s="19"/>
      <c r="K98" s="19"/>
      <c r="L98" s="19"/>
      <c r="M98" s="19"/>
      <c r="N98" s="19">
        <v>0.78160919540229878</v>
      </c>
      <c r="O98" s="19"/>
      <c r="P98" s="19"/>
      <c r="Q98" s="19"/>
    </row>
    <row r="99" spans="1:17">
      <c r="A99" t="s">
        <v>12</v>
      </c>
      <c r="B99">
        <v>317</v>
      </c>
      <c r="C99" s="19"/>
      <c r="D99" s="19"/>
      <c r="E99" s="19"/>
      <c r="F99" s="19"/>
      <c r="G99" s="19"/>
      <c r="H99" s="19">
        <v>0.8520672319351692</v>
      </c>
      <c r="I99" s="19">
        <v>0.71177730192719491</v>
      </c>
      <c r="J99" s="19"/>
      <c r="K99" s="19"/>
      <c r="L99" s="19"/>
      <c r="M99" s="25">
        <v>1</v>
      </c>
      <c r="N99" s="19">
        <v>0.21839080459770113</v>
      </c>
      <c r="O99" s="19"/>
      <c r="P99" s="19"/>
      <c r="Q99" s="19"/>
    </row>
    <row r="100" spans="1:17">
      <c r="A100" t="s">
        <v>12</v>
      </c>
      <c r="B100">
        <v>326</v>
      </c>
      <c r="C100" s="19">
        <v>1.5649452269170579E-3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spans="1:17">
      <c r="A101" t="s">
        <v>13</v>
      </c>
      <c r="B101">
        <v>234</v>
      </c>
      <c r="C101" s="19"/>
      <c r="D101" s="19"/>
      <c r="E101" s="19"/>
      <c r="F101" s="19"/>
      <c r="G101" s="19"/>
      <c r="H101" s="19"/>
      <c r="I101" s="19"/>
      <c r="J101" s="19">
        <v>2.3336869222609486E-2</v>
      </c>
      <c r="K101" s="25">
        <v>0.99236641221374045</v>
      </c>
      <c r="L101" s="19"/>
      <c r="M101" s="19"/>
      <c r="N101" s="19"/>
      <c r="O101" s="19"/>
      <c r="P101" s="19"/>
      <c r="Q101" s="19"/>
    </row>
    <row r="102" spans="1:17">
      <c r="A102" t="s">
        <v>13</v>
      </c>
      <c r="B102">
        <v>252</v>
      </c>
      <c r="C102" s="19">
        <v>4.5368326665747E-2</v>
      </c>
      <c r="D102" s="19">
        <v>3.5761486433957865E-2</v>
      </c>
      <c r="E102" s="19">
        <v>1.6275284817484309E-3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spans="1:17">
      <c r="A103" t="s">
        <v>13</v>
      </c>
      <c r="B103">
        <v>253</v>
      </c>
      <c r="C103" s="19">
        <v>7.3044557870051041E-2</v>
      </c>
      <c r="D103" s="19">
        <v>5.7373863017958486E-2</v>
      </c>
      <c r="E103" s="19">
        <v>3.2318065566147407E-2</v>
      </c>
      <c r="F103" s="19">
        <v>4.5261669024045263E-2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spans="1:17">
      <c r="A104" t="s">
        <v>13</v>
      </c>
      <c r="B104">
        <v>254</v>
      </c>
      <c r="C104" s="19">
        <v>6.2077527934887577E-2</v>
      </c>
      <c r="D104" s="19">
        <v>0.10145378216590221</v>
      </c>
      <c r="E104" s="19">
        <v>0.13717740060451059</v>
      </c>
      <c r="F104" s="19">
        <v>8.6280056577086289E-2</v>
      </c>
      <c r="G104" s="19">
        <v>0.5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spans="1:17">
      <c r="A105" t="s">
        <v>13</v>
      </c>
      <c r="B105">
        <v>255</v>
      </c>
      <c r="C105" s="19">
        <v>2.6193268036970616E-2</v>
      </c>
      <c r="D105" s="19">
        <v>1.158361191012983E-2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</row>
    <row r="106" spans="1:17">
      <c r="A106" t="s">
        <v>13</v>
      </c>
      <c r="B106">
        <v>317</v>
      </c>
      <c r="C106" s="19"/>
      <c r="D106" s="19"/>
      <c r="E106" s="19"/>
      <c r="F106" s="19"/>
      <c r="G106" s="19"/>
      <c r="H106" s="19">
        <v>0.76200000000000001</v>
      </c>
      <c r="I106" s="19"/>
      <c r="J106" s="19"/>
      <c r="K106" s="19"/>
      <c r="L106" s="19"/>
      <c r="M106" s="19"/>
      <c r="N106" s="19"/>
      <c r="O106" s="19"/>
      <c r="P106" s="19"/>
      <c r="Q106" s="19"/>
    </row>
    <row r="107" spans="1:17">
      <c r="A107" t="s">
        <v>13</v>
      </c>
      <c r="B107">
        <v>320</v>
      </c>
      <c r="C107" s="19">
        <v>0.14250241412608636</v>
      </c>
      <c r="D107" s="19">
        <v>2.7987250252662677E-2</v>
      </c>
      <c r="E107" s="19"/>
      <c r="F107" s="19"/>
      <c r="G107" s="19"/>
      <c r="H107" s="19">
        <v>0.23799999999999999</v>
      </c>
      <c r="I107" s="25">
        <v>1</v>
      </c>
      <c r="J107" s="25">
        <v>0.97666313077739053</v>
      </c>
      <c r="K107" s="19">
        <v>7.6335877862595417E-3</v>
      </c>
      <c r="L107" s="19"/>
      <c r="M107" s="19"/>
      <c r="N107" s="25">
        <v>1</v>
      </c>
      <c r="O107" s="25">
        <v>1</v>
      </c>
      <c r="P107" s="19"/>
      <c r="Q107" s="19"/>
    </row>
    <row r="108" spans="1:17">
      <c r="A108" t="s">
        <v>13</v>
      </c>
      <c r="B108">
        <v>321</v>
      </c>
      <c r="C108" s="19">
        <v>4.3626707132018213E-3</v>
      </c>
      <c r="D108" s="19">
        <v>1.1661354271942782E-3</v>
      </c>
      <c r="E108" s="19">
        <v>2.325040688212044E-4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spans="1:17">
      <c r="A109" t="s">
        <v>13</v>
      </c>
      <c r="B109">
        <v>322</v>
      </c>
      <c r="C109" s="19">
        <v>0.50467305835287635</v>
      </c>
      <c r="D109" s="19">
        <v>0.65715618440488222</v>
      </c>
      <c r="E109" s="19">
        <v>0.8107416879795396</v>
      </c>
      <c r="F109" s="19">
        <v>0.86845827439886847</v>
      </c>
      <c r="G109" s="19">
        <v>0.5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spans="1:17">
      <c r="A110" t="s">
        <v>13</v>
      </c>
      <c r="B110">
        <v>323</v>
      </c>
      <c r="C110" s="19">
        <v>4.7523796385708375E-2</v>
      </c>
      <c r="D110" s="19">
        <v>3.4906320454015399E-2</v>
      </c>
      <c r="E110" s="19">
        <v>6.5101139269937236E-3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spans="1:17">
      <c r="A111" t="s">
        <v>13</v>
      </c>
      <c r="B111">
        <v>324</v>
      </c>
      <c r="C111" s="19">
        <v>5.0231066353979864E-2</v>
      </c>
      <c r="D111" s="19">
        <v>4.0192801057296119E-2</v>
      </c>
      <c r="E111" s="19">
        <v>1.0462683096954197E-2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spans="1:17">
      <c r="A112" t="s">
        <v>13</v>
      </c>
      <c r="B112">
        <v>325</v>
      </c>
      <c r="C112" s="19">
        <v>1.3846737481031867E-2</v>
      </c>
      <c r="D112" s="19">
        <v>1.7103319598849417E-2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spans="1:17">
      <c r="A113" t="s">
        <v>13</v>
      </c>
      <c r="B113">
        <v>326</v>
      </c>
      <c r="C113" s="19">
        <v>3.0176576079459238E-2</v>
      </c>
      <c r="D113" s="19">
        <v>1.531524527715152E-2</v>
      </c>
      <c r="E113" s="19">
        <v>9.300162752848176E-4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spans="1:17">
      <c r="A114" t="s">
        <v>14</v>
      </c>
      <c r="B114">
        <v>197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>
        <v>9.7024347121970403E-3</v>
      </c>
      <c r="Q114" s="19"/>
    </row>
    <row r="115" spans="1:17">
      <c r="A115" t="s">
        <v>14</v>
      </c>
      <c r="B115">
        <v>198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>
        <v>1.1319507164229881E-2</v>
      </c>
      <c r="Q115" s="19"/>
    </row>
    <row r="116" spans="1:17">
      <c r="A116" t="s">
        <v>14</v>
      </c>
      <c r="B116">
        <v>211</v>
      </c>
      <c r="C116" s="19">
        <v>1.5457488081664509E-3</v>
      </c>
      <c r="D116" s="19">
        <v>4.1299559471365639E-3</v>
      </c>
      <c r="E116" s="19"/>
      <c r="F116" s="19"/>
      <c r="G116" s="19"/>
      <c r="H116" s="19">
        <v>0.40779773559206606</v>
      </c>
      <c r="I116" s="19">
        <v>0.32530984115771</v>
      </c>
      <c r="J116" s="19">
        <v>0.22516050922698755</v>
      </c>
      <c r="K116" s="19">
        <v>0.12636022315083895</v>
      </c>
      <c r="L116" s="19"/>
      <c r="M116" s="19">
        <v>6.1384335154826955E-2</v>
      </c>
      <c r="N116" s="19">
        <v>0.38503649635036497</v>
      </c>
      <c r="O116" s="19">
        <v>0.34829729393209924</v>
      </c>
      <c r="P116" s="19">
        <v>0.12634965658172445</v>
      </c>
      <c r="Q116" s="19"/>
    </row>
    <row r="117" spans="1:17">
      <c r="A117" t="s">
        <v>14</v>
      </c>
      <c r="B117">
        <v>212</v>
      </c>
      <c r="C117" s="19">
        <v>0.18441089370298666</v>
      </c>
      <c r="D117" s="19">
        <v>0.419465859030837</v>
      </c>
      <c r="E117" s="25">
        <v>0.95594713656387664</v>
      </c>
      <c r="F117" s="25">
        <v>1</v>
      </c>
      <c r="G117" s="19"/>
      <c r="H117" s="19">
        <v>2.7445305184302375E-2</v>
      </c>
      <c r="I117" s="19">
        <v>6.4035570699882624E-2</v>
      </c>
      <c r="J117" s="19">
        <v>0.14281102102212273</v>
      </c>
      <c r="K117" s="19">
        <v>0.44481683388838211</v>
      </c>
      <c r="L117" s="25">
        <v>1</v>
      </c>
      <c r="M117" s="19">
        <v>0.31675774134790524</v>
      </c>
      <c r="N117" s="19">
        <v>0.11422217153284674</v>
      </c>
      <c r="O117" s="19">
        <v>5.0074707396032203E-2</v>
      </c>
      <c r="P117" s="19">
        <v>0.48818099712280899</v>
      </c>
      <c r="Q117" s="25">
        <v>1</v>
      </c>
    </row>
    <row r="118" spans="1:17">
      <c r="A118" t="s">
        <v>14</v>
      </c>
      <c r="B118">
        <v>213</v>
      </c>
      <c r="C118" s="19">
        <v>2.657616638991131E-2</v>
      </c>
      <c r="D118" s="19"/>
      <c r="E118" s="19"/>
      <c r="F118" s="19"/>
      <c r="G118" s="19"/>
      <c r="H118" s="19">
        <v>1.8387673448540054E-3</v>
      </c>
      <c r="I118" s="19">
        <v>6.0669651668934866E-3</v>
      </c>
      <c r="J118" s="19">
        <v>2.2805150970392922E-2</v>
      </c>
      <c r="K118" s="19">
        <v>8.0393695776679458E-3</v>
      </c>
      <c r="L118" s="19"/>
      <c r="M118" s="19"/>
      <c r="N118" s="19"/>
      <c r="O118" s="19">
        <v>2.8897235826346808E-3</v>
      </c>
      <c r="P118" s="19">
        <v>2.8375429123115515E-2</v>
      </c>
      <c r="Q118" s="19"/>
    </row>
    <row r="119" spans="1:17">
      <c r="A119" t="s">
        <v>14</v>
      </c>
      <c r="B119">
        <v>214</v>
      </c>
      <c r="C119" s="19">
        <v>7.6565580816390033E-2</v>
      </c>
      <c r="D119" s="19">
        <v>0.10104625550660792</v>
      </c>
      <c r="E119" s="19">
        <v>4.405286343612335E-2</v>
      </c>
      <c r="F119" s="19"/>
      <c r="G119" s="19"/>
      <c r="H119" s="19">
        <v>9.0831701711075172E-2</v>
      </c>
      <c r="I119" s="19">
        <v>0.1124154624502644</v>
      </c>
      <c r="J119" s="19">
        <v>0.16524195619473894</v>
      </c>
      <c r="K119" s="19">
        <v>0.18681458541034723</v>
      </c>
      <c r="L119" s="19"/>
      <c r="M119" s="19">
        <v>0.62185792349726765</v>
      </c>
      <c r="N119" s="19">
        <v>0.31415374087591247</v>
      </c>
      <c r="O119" s="19">
        <v>0.11067070639993358</v>
      </c>
      <c r="P119" s="19">
        <v>2.6280421924148527E-2</v>
      </c>
      <c r="Q119" s="19"/>
    </row>
    <row r="120" spans="1:17">
      <c r="A120" t="s">
        <v>14</v>
      </c>
      <c r="B120">
        <v>215</v>
      </c>
      <c r="C120" s="19">
        <v>0.13342924118017666</v>
      </c>
      <c r="D120" s="19">
        <v>2.2026431718061676E-3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 spans="1:17">
      <c r="A121" t="s">
        <v>14</v>
      </c>
      <c r="B121">
        <v>216</v>
      </c>
      <c r="C121" s="19">
        <v>1.5763576954568757E-3</v>
      </c>
      <c r="D121" s="19">
        <v>7.2962555066079298E-3</v>
      </c>
      <c r="E121" s="19"/>
      <c r="F121" s="19"/>
      <c r="G121" s="19"/>
      <c r="H121" s="19">
        <v>0.21677023921001104</v>
      </c>
      <c r="I121" s="19">
        <v>0.22444654525810578</v>
      </c>
      <c r="J121" s="19">
        <v>0.15554903327585573</v>
      </c>
      <c r="K121" s="19">
        <v>6.0390726088708817E-2</v>
      </c>
      <c r="L121" s="19"/>
      <c r="M121" s="19"/>
      <c r="N121" s="19">
        <v>0.18658759124087593</v>
      </c>
      <c r="O121" s="19">
        <v>0.31845583962812318</v>
      </c>
      <c r="P121" s="19">
        <v>0.17073889430574893</v>
      </c>
      <c r="Q121" s="19"/>
    </row>
    <row r="122" spans="1:17">
      <c r="A122" t="s">
        <v>14</v>
      </c>
      <c r="B122">
        <v>217</v>
      </c>
      <c r="C122" s="19">
        <v>0.20044229842134664</v>
      </c>
      <c r="D122" s="19">
        <v>1.8171806167400884E-2</v>
      </c>
      <c r="E122" s="19"/>
      <c r="F122" s="19"/>
      <c r="G122" s="19"/>
      <c r="H122" s="19">
        <v>0.11097301438665191</v>
      </c>
      <c r="I122" s="19">
        <v>0.11275828753674984</v>
      </c>
      <c r="J122" s="19">
        <v>5.3923762703158809E-2</v>
      </c>
      <c r="K122" s="19"/>
      <c r="L122" s="19"/>
      <c r="M122" s="19"/>
      <c r="N122" s="19"/>
      <c r="O122" s="19"/>
      <c r="P122" s="19"/>
      <c r="Q122" s="19"/>
    </row>
    <row r="123" spans="1:17">
      <c r="A123" t="s">
        <v>14</v>
      </c>
      <c r="B123">
        <v>218</v>
      </c>
      <c r="C123" s="19">
        <v>0.37545371298556535</v>
      </c>
      <c r="D123" s="19">
        <v>0.44768722466960359</v>
      </c>
      <c r="E123" s="19"/>
      <c r="F123" s="19"/>
      <c r="G123" s="19"/>
      <c r="H123" s="19">
        <v>0.14388354473482592</v>
      </c>
      <c r="I123" s="19">
        <v>0.15132091544686732</v>
      </c>
      <c r="J123" s="19">
        <v>0.22902740580401362</v>
      </c>
      <c r="K123" s="19">
        <v>0.1735782618840549</v>
      </c>
      <c r="L123" s="19"/>
      <c r="M123" s="19"/>
      <c r="N123" s="19"/>
      <c r="O123" s="19">
        <v>0.16961172906117705</v>
      </c>
      <c r="P123" s="19">
        <v>0.1358185141619612</v>
      </c>
      <c r="Q123" s="19"/>
    </row>
    <row r="124" spans="1:17">
      <c r="A124" t="s">
        <v>14</v>
      </c>
      <c r="B124">
        <v>219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>
        <v>3.2341449040656804E-3</v>
      </c>
      <c r="Q124" s="19"/>
    </row>
    <row r="125" spans="1:17">
      <c r="A125" t="s">
        <v>14</v>
      </c>
      <c r="B125">
        <v>227</v>
      </c>
      <c r="C125" s="19"/>
      <c r="D125" s="19"/>
      <c r="E125" s="19"/>
      <c r="F125" s="19"/>
      <c r="G125" s="19"/>
      <c r="H125" s="19">
        <v>4.5969183621350136E-4</v>
      </c>
      <c r="I125" s="19">
        <v>3.6464122835267359E-3</v>
      </c>
      <c r="J125" s="19">
        <v>5.4811608027295735E-3</v>
      </c>
      <c r="K125" s="19"/>
      <c r="L125" s="19"/>
      <c r="M125" s="19"/>
      <c r="N125" s="19"/>
      <c r="O125" s="19"/>
      <c r="P125" s="19"/>
      <c r="Q125" s="19"/>
    </row>
    <row r="126" spans="1:17">
      <c r="A126" t="s">
        <v>15</v>
      </c>
      <c r="B126">
        <v>96</v>
      </c>
      <c r="C126" s="19">
        <v>9.3510362119491389E-2</v>
      </c>
      <c r="D126" s="19">
        <v>4.4524848388497587E-2</v>
      </c>
      <c r="E126" s="19">
        <v>7.0651609981555851E-3</v>
      </c>
      <c r="F126" s="19">
        <v>7.0608521040684477E-3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spans="1:17">
      <c r="A127" s="21" t="s">
        <v>15</v>
      </c>
      <c r="B127" s="21">
        <v>97</v>
      </c>
      <c r="C127" s="19">
        <v>2.0896347737452574E-2</v>
      </c>
      <c r="D127" s="19">
        <v>4.3694170455623009E-2</v>
      </c>
      <c r="E127" s="19">
        <v>3.2361308963146304E-2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spans="1:17">
      <c r="A128" t="s">
        <v>15</v>
      </c>
      <c r="B128">
        <v>98</v>
      </c>
      <c r="C128" s="19">
        <v>1.0148875804314077E-2</v>
      </c>
      <c r="D128" s="19">
        <v>6.3034397478624091E-2</v>
      </c>
      <c r="E128" s="19">
        <v>2.9155100533858638E-2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 spans="1:17">
      <c r="A129" s="21" t="s">
        <v>15</v>
      </c>
      <c r="B129" s="21">
        <v>99</v>
      </c>
      <c r="C129" s="19">
        <v>9.699250958359823E-2</v>
      </c>
      <c r="D129" s="19">
        <v>5.0921068471631831E-2</v>
      </c>
      <c r="E129" s="19">
        <v>3.243893041658992E-2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spans="1:17">
      <c r="A130" s="21" t="s">
        <v>15</v>
      </c>
      <c r="B130" s="21">
        <v>100</v>
      </c>
      <c r="C130" s="19">
        <v>1.1071307491757059E-2</v>
      </c>
      <c r="D130" s="19">
        <v>2.8996708896628812E-2</v>
      </c>
      <c r="E130" s="19">
        <v>3.8593547525645243E-3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 spans="1:17">
      <c r="A131" t="s">
        <v>15</v>
      </c>
      <c r="B131">
        <v>101</v>
      </c>
      <c r="C131" s="19">
        <v>1.4540295735180678E-2</v>
      </c>
      <c r="D131" s="19">
        <v>4.0145258733172692E-2</v>
      </c>
      <c r="E131" s="19">
        <v>5.7348177665452346E-2</v>
      </c>
      <c r="F131" s="19">
        <v>0.10188580408590886</v>
      </c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spans="1:17">
      <c r="A132" s="21" t="s">
        <v>15</v>
      </c>
      <c r="B132" s="21">
        <v>102</v>
      </c>
      <c r="C132" s="19">
        <v>3.7695527591497031E-2</v>
      </c>
      <c r="D132" s="19">
        <v>2.278332315646368E-2</v>
      </c>
      <c r="E132" s="19">
        <v>8.1273281408736891E-3</v>
      </c>
      <c r="F132" s="19">
        <v>1.0913218089750305E-3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spans="1:17">
      <c r="A133" t="s">
        <v>15</v>
      </c>
      <c r="B133">
        <v>103</v>
      </c>
      <c r="C133" s="19">
        <v>1.3227094558350583E-2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spans="1:17">
      <c r="A134" s="21" t="s">
        <v>15</v>
      </c>
      <c r="B134" s="21">
        <v>104</v>
      </c>
      <c r="C134" s="19">
        <v>9.3728775500380619E-3</v>
      </c>
      <c r="D134" s="19">
        <v>4.3554872156110189E-2</v>
      </c>
      <c r="E134" s="19">
        <v>9.2417389457800078E-2</v>
      </c>
      <c r="F134" s="19">
        <v>2.6191723415400735E-4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spans="1:17">
      <c r="A135" s="21" t="s">
        <v>15</v>
      </c>
      <c r="B135" s="21">
        <v>105</v>
      </c>
      <c r="C135" s="19">
        <v>1.0504174762761762E-2</v>
      </c>
      <c r="D135" s="19">
        <v>2.2481211982107448E-2</v>
      </c>
      <c r="E135" s="19">
        <v>0.14950334335306983</v>
      </c>
      <c r="F135" s="19">
        <v>0.11072551073860661</v>
      </c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spans="1:17">
      <c r="A136" s="21" t="s">
        <v>15</v>
      </c>
      <c r="B136" s="21">
        <v>106</v>
      </c>
      <c r="C136" s="19">
        <v>5.9834382797673081E-3</v>
      </c>
      <c r="D136" s="19">
        <v>1.9609537068725858E-2</v>
      </c>
      <c r="E136" s="19">
        <v>0.13500059925370794</v>
      </c>
      <c r="F136" s="19">
        <v>9.9528548978522792E-3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spans="1:17">
      <c r="A137" t="s">
        <v>15</v>
      </c>
      <c r="B137">
        <v>107</v>
      </c>
      <c r="C137" s="19">
        <v>5.4204610941456666E-3</v>
      </c>
      <c r="D137" s="19">
        <v>1.35331492891825E-2</v>
      </c>
      <c r="E137" s="19">
        <v>3.4291790706821763E-2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spans="1:17">
      <c r="A138" s="21" t="s">
        <v>15</v>
      </c>
      <c r="B138" s="21">
        <v>108</v>
      </c>
      <c r="C138" s="19">
        <v>1.0051863654840966E-2</v>
      </c>
      <c r="D138" s="19">
        <v>1.3057234731947896E-2</v>
      </c>
      <c r="E138" s="19">
        <v>0.1083124935147879</v>
      </c>
      <c r="F138" s="19">
        <v>0.23768988999476168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 spans="1:17">
      <c r="A139" s="21" t="s">
        <v>15</v>
      </c>
      <c r="B139" s="21">
        <v>109</v>
      </c>
      <c r="C139" s="19">
        <v>2.7796429626392415E-2</v>
      </c>
      <c r="D139" s="19">
        <v>5.0120465339814145E-2</v>
      </c>
      <c r="E139" s="19">
        <v>4.0471343205066228E-2</v>
      </c>
      <c r="F139" s="19">
        <v>3.797799895233106E-2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 spans="1:17">
      <c r="A140" s="21" t="s">
        <v>15</v>
      </c>
      <c r="B140" s="21">
        <v>110</v>
      </c>
      <c r="C140" s="19">
        <v>1.5034607513628083E-2</v>
      </c>
      <c r="D140" s="19">
        <v>1.9947601687971633E-2</v>
      </c>
      <c r="E140" s="19">
        <v>9.4828078535214799E-2</v>
      </c>
      <c r="F140" s="19">
        <v>0.47130914964204651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spans="1:17">
      <c r="A141" t="s">
        <v>15</v>
      </c>
      <c r="B141">
        <v>111</v>
      </c>
      <c r="C141" s="19">
        <v>9.0575509611846051E-3</v>
      </c>
      <c r="D141" s="19">
        <v>1.1282906667327798E-2</v>
      </c>
      <c r="E141" s="19">
        <v>3.0041513401162959E-2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</row>
    <row r="142" spans="1:17">
      <c r="A142" s="21" t="s">
        <v>15</v>
      </c>
      <c r="B142" s="21">
        <v>112</v>
      </c>
      <c r="C142" s="19">
        <v>1.8994048816652134E-2</v>
      </c>
      <c r="D142" s="19">
        <v>2.1650022862812642E-2</v>
      </c>
      <c r="E142" s="19">
        <v>5.1405109180808123E-2</v>
      </c>
      <c r="F142" s="19">
        <v>2.1346254583551598E-2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spans="1:17">
      <c r="A143" s="21" t="s">
        <v>15</v>
      </c>
      <c r="B143" s="21">
        <v>113</v>
      </c>
      <c r="C143" s="19">
        <v>2.1493162919116852E-2</v>
      </c>
      <c r="D143" s="19">
        <v>1.6951708474474032E-2</v>
      </c>
      <c r="E143" s="19">
        <v>4.0218369659905422E-5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spans="1:17">
      <c r="A144" t="s">
        <v>15</v>
      </c>
      <c r="B144">
        <v>114</v>
      </c>
      <c r="C144" s="19">
        <v>2.0213750267574946E-4</v>
      </c>
      <c r="D144" s="19">
        <v>7.2247680725911974E-5</v>
      </c>
      <c r="E144" s="19">
        <v>8.0436739319810847E-7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 spans="1:17">
      <c r="A145" s="21" t="s">
        <v>15</v>
      </c>
      <c r="B145" s="21">
        <v>115</v>
      </c>
      <c r="C145" s="19">
        <v>4.1467078969126443E-2</v>
      </c>
      <c r="D145" s="19">
        <v>2.1531001624635636E-2</v>
      </c>
      <c r="E145" s="19">
        <v>4.2933109611949039E-3</v>
      </c>
      <c r="F145" s="19">
        <v>5.4566090448751527E-4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</row>
    <row r="146" spans="1:17">
      <c r="A146" s="21" t="s">
        <v>15</v>
      </c>
      <c r="B146" s="21">
        <v>116</v>
      </c>
      <c r="C146" s="19">
        <v>4.912787264921778E-2</v>
      </c>
      <c r="D146" s="19">
        <v>0.11418089916157757</v>
      </c>
      <c r="E146" s="19">
        <v>3.8000326573161644E-2</v>
      </c>
      <c r="F146" s="19">
        <v>1.527850532565043E-4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spans="1:17">
      <c r="A147" t="s">
        <v>15</v>
      </c>
      <c r="B147">
        <v>117</v>
      </c>
      <c r="C147" s="19">
        <v>5.5493373565589296E-2</v>
      </c>
      <c r="D147" s="19">
        <v>0.11522440104074146</v>
      </c>
      <c r="E147" s="19">
        <v>6.6702166080953142E-3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spans="1:17">
      <c r="A148" s="21" t="s">
        <v>15</v>
      </c>
      <c r="B148" s="21">
        <v>118</v>
      </c>
      <c r="C148" s="19">
        <v>2.2776780584786865E-2</v>
      </c>
      <c r="D148" s="19">
        <v>4.082769260418042E-2</v>
      </c>
      <c r="E148" s="19">
        <v>1.8997549092552926E-2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spans="1:17">
      <c r="A149" s="21" t="s">
        <v>15</v>
      </c>
      <c r="B149" s="21">
        <v>119</v>
      </c>
      <c r="C149" s="19">
        <v>2.952859862264515E-2</v>
      </c>
      <c r="D149" s="19">
        <v>8.8844199836062496E-3</v>
      </c>
      <c r="E149" s="19">
        <v>8.9284780644990051E-5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</row>
    <row r="150" spans="1:17">
      <c r="A150" s="21" t="s">
        <v>15</v>
      </c>
      <c r="B150" s="21">
        <v>120</v>
      </c>
      <c r="C150" s="19">
        <v>5.8341652252950106E-2</v>
      </c>
      <c r="D150" s="19">
        <v>5.3327819335813762E-3</v>
      </c>
      <c r="E150" s="19">
        <v>8.2688968020765553E-4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</row>
    <row r="151" spans="1:17">
      <c r="A151" t="s">
        <v>15</v>
      </c>
      <c r="B151">
        <v>121</v>
      </c>
      <c r="C151" s="19">
        <v>3.964348801865325E-2</v>
      </c>
      <c r="D151" s="19">
        <v>3.4850134199214964E-3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</row>
    <row r="152" spans="1:17">
      <c r="A152" s="21" t="s">
        <v>15</v>
      </c>
      <c r="B152" s="21">
        <v>122</v>
      </c>
      <c r="C152" s="19">
        <v>2.2503850432495601E-2</v>
      </c>
      <c r="D152" s="19">
        <v>1.0477617659991336E-3</v>
      </c>
      <c r="E152" s="19">
        <v>1.3642070988639922E-3</v>
      </c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</row>
    <row r="153" spans="1:17">
      <c r="A153" s="21" t="s">
        <v>15</v>
      </c>
      <c r="B153" s="21">
        <v>123</v>
      </c>
      <c r="C153" s="19">
        <v>5.9764134326356494E-3</v>
      </c>
      <c r="D153" s="19">
        <v>2.2909926993207437E-2</v>
      </c>
      <c r="E153" s="19">
        <v>2.1335845104579827E-2</v>
      </c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spans="1:17">
      <c r="A154" s="21" t="s">
        <v>15</v>
      </c>
      <c r="B154" s="21">
        <v>124</v>
      </c>
      <c r="C154" s="19">
        <v>1.8130042090212597E-2</v>
      </c>
      <c r="D154" s="19">
        <v>8.2897397814047575E-5</v>
      </c>
      <c r="E154" s="19">
        <v>1.2065510897971627E-5</v>
      </c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spans="1:17">
      <c r="A155" s="21" t="s">
        <v>15</v>
      </c>
      <c r="B155" s="21">
        <v>125</v>
      </c>
      <c r="C155" s="19">
        <v>6.460880530947842E-5</v>
      </c>
      <c r="D155" s="19">
        <v>2.5559321011525458E-7</v>
      </c>
      <c r="E155" s="19"/>
      <c r="F155" s="19"/>
      <c r="G155" s="19"/>
      <c r="H155" s="19">
        <v>0.1770071163676456</v>
      </c>
      <c r="I155" s="19">
        <v>0.14607402428265345</v>
      </c>
      <c r="J155" s="19"/>
      <c r="K155" s="19"/>
      <c r="L155" s="19"/>
      <c r="M155" s="19">
        <v>0.35498472332239445</v>
      </c>
      <c r="N155" s="19">
        <v>0.68407462662098129</v>
      </c>
      <c r="O155" s="19">
        <v>0.25596710858352723</v>
      </c>
      <c r="P155" s="19"/>
      <c r="Q155" s="19"/>
    </row>
    <row r="156" spans="1:17">
      <c r="A156" t="s">
        <v>15</v>
      </c>
      <c r="B156">
        <v>126</v>
      </c>
      <c r="C156" s="19">
        <v>5.178697517156829E-3</v>
      </c>
      <c r="D156" s="19">
        <v>3.4249490155444109E-5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</row>
    <row r="157" spans="1:17">
      <c r="A157" s="21" t="s">
        <v>15</v>
      </c>
      <c r="B157" s="21">
        <v>127</v>
      </c>
      <c r="C157" s="19">
        <v>3.5657530391244906E-3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</row>
    <row r="158" spans="1:17">
      <c r="A158" t="s">
        <v>15</v>
      </c>
      <c r="B158">
        <v>128</v>
      </c>
      <c r="C158" s="19">
        <v>2.2119561611941212E-2</v>
      </c>
      <c r="D158" s="19">
        <v>6.8158189364067892E-7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</row>
    <row r="159" spans="1:17">
      <c r="A159" s="21" t="s">
        <v>15</v>
      </c>
      <c r="B159" s="21">
        <v>129</v>
      </c>
      <c r="C159" s="19"/>
      <c r="D159" s="19"/>
      <c r="E159" s="19"/>
      <c r="F159" s="19"/>
      <c r="G159" s="19"/>
      <c r="H159" s="19">
        <v>0.82299288363235445</v>
      </c>
      <c r="I159" s="19">
        <v>0.85392597571734652</v>
      </c>
      <c r="J159" s="25">
        <v>1</v>
      </c>
      <c r="K159" s="25">
        <v>1</v>
      </c>
      <c r="L159" s="19"/>
      <c r="M159" s="19">
        <v>0.6450152766776055</v>
      </c>
      <c r="N159" s="19">
        <v>0.31592537337901866</v>
      </c>
      <c r="O159" s="19">
        <v>0.74403289141647277</v>
      </c>
      <c r="P159" s="25">
        <v>1</v>
      </c>
      <c r="Q159" s="19"/>
    </row>
    <row r="160" spans="1:17">
      <c r="A160" s="21" t="s">
        <v>15</v>
      </c>
      <c r="B160" s="21">
        <v>132</v>
      </c>
      <c r="C160" s="19">
        <v>1.8265789840418725E-2</v>
      </c>
      <c r="D160" s="19">
        <v>0.10386047132580711</v>
      </c>
      <c r="E160" s="19">
        <v>7.3760489956266545E-4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spans="1:17">
      <c r="A161" t="s">
        <v>15</v>
      </c>
      <c r="B161">
        <v>133</v>
      </c>
      <c r="C161" s="19">
        <v>1.5153089970531757E-2</v>
      </c>
      <c r="D161" s="19">
        <v>6.475027989586449E-5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</row>
    <row r="162" spans="1:17">
      <c r="A162" s="21" t="s">
        <v>15</v>
      </c>
      <c r="B162" s="21">
        <v>134</v>
      </c>
      <c r="C162" s="19">
        <v>3.8542120612370771E-2</v>
      </c>
      <c r="D162" s="19">
        <v>1.0959496058795296E-2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</row>
    <row r="163" spans="1:17">
      <c r="A163" s="21" t="s">
        <v>15</v>
      </c>
      <c r="B163" s="21">
        <v>144</v>
      </c>
      <c r="C163" s="19">
        <v>4.510743390595897E-3</v>
      </c>
      <c r="D163" s="19">
        <v>5.2822596757152615E-6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</row>
    <row r="164" spans="1:17">
      <c r="A164" s="21" t="s">
        <v>15</v>
      </c>
      <c r="B164" s="21">
        <v>176</v>
      </c>
      <c r="C164" s="19">
        <v>3.4760229847061661E-2</v>
      </c>
      <c r="D164" s="19">
        <v>9.6129458301714293E-3</v>
      </c>
      <c r="E164" s="19">
        <v>1.0046548741044375E-3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1:17">
      <c r="A165" s="21" t="s">
        <v>15</v>
      </c>
      <c r="B165" s="21">
        <v>177</v>
      </c>
      <c r="C165" s="19">
        <v>1.2875159611205384E-2</v>
      </c>
      <c r="D165" s="19">
        <v>6.8158189364067892E-7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1:17">
      <c r="A166" t="s">
        <v>15</v>
      </c>
      <c r="B166">
        <v>178</v>
      </c>
      <c r="C166" s="19">
        <v>2.2014089963457439E-2</v>
      </c>
      <c r="D166" s="19">
        <v>8.5786453065716996E-3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1:17">
      <c r="A167" s="21" t="s">
        <v>15</v>
      </c>
      <c r="B167" s="21">
        <v>179</v>
      </c>
      <c r="C167" s="19">
        <v>1.4469453614810715E-2</v>
      </c>
      <c r="D167" s="19">
        <v>2.0140744957082061E-4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1:17">
      <c r="A168" s="21" t="s">
        <v>15</v>
      </c>
      <c r="B168" s="21">
        <v>180</v>
      </c>
      <c r="C168" s="19">
        <v>2.8790346554013187E-2</v>
      </c>
      <c r="D168" s="19">
        <v>6.8136037952524573E-3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1:17">
      <c r="A169" s="21" t="s">
        <v>15</v>
      </c>
      <c r="B169" s="21">
        <v>181</v>
      </c>
      <c r="C169" s="19">
        <v>1.7169320038826629E-3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1:17">
      <c r="A170" t="s">
        <v>15</v>
      </c>
      <c r="B170">
        <v>182</v>
      </c>
      <c r="C170" s="19">
        <v>1.6375809137475913E-3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1:17">
      <c r="A171" s="21" t="s">
        <v>15</v>
      </c>
      <c r="B171" s="21">
        <v>183</v>
      </c>
      <c r="C171" s="19">
        <v>1.3536187832143556E-3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1:17">
      <c r="A172" s="21" t="s">
        <v>16</v>
      </c>
      <c r="B172" s="21">
        <v>342</v>
      </c>
      <c r="C172" s="19"/>
      <c r="D172" s="19"/>
      <c r="E172" s="19"/>
      <c r="F172" s="19"/>
      <c r="G172" s="19"/>
      <c r="H172" s="19">
        <v>1.6853256289876009E-2</v>
      </c>
      <c r="I172" s="19">
        <v>2.8713995839661044E-3</v>
      </c>
      <c r="J172" s="19">
        <v>4.429871520342612E-3</v>
      </c>
      <c r="K172" s="19">
        <v>6.7564494857952145E-4</v>
      </c>
      <c r="L172" s="19"/>
      <c r="M172" s="19"/>
      <c r="N172" s="19"/>
      <c r="O172" s="19">
        <v>8.547101370577119E-3</v>
      </c>
      <c r="P172" s="19">
        <v>2.3795817059376291E-4</v>
      </c>
      <c r="Q172" s="19"/>
    </row>
    <row r="173" spans="1:17">
      <c r="A173" s="21" t="s">
        <v>16</v>
      </c>
      <c r="B173" s="21">
        <v>343</v>
      </c>
      <c r="C173" s="19">
        <v>1.0884604741260029E-3</v>
      </c>
      <c r="D173" s="19">
        <v>3.143830233167409E-4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1:17">
      <c r="A174" s="21" t="s">
        <v>16</v>
      </c>
      <c r="B174" s="21">
        <v>344</v>
      </c>
      <c r="C174" s="19"/>
      <c r="D174" s="19"/>
      <c r="E174" s="19"/>
      <c r="F174" s="19"/>
      <c r="G174" s="19"/>
      <c r="H174" s="19">
        <v>0.20265180828561111</v>
      </c>
      <c r="I174" s="19">
        <v>0.182876249058819</v>
      </c>
      <c r="J174" s="19"/>
      <c r="K174" s="19"/>
      <c r="L174" s="19"/>
      <c r="M174" s="19">
        <v>8.5005574136008913E-2</v>
      </c>
      <c r="N174" s="19">
        <v>8.657179346834519E-2</v>
      </c>
      <c r="O174" s="19">
        <v>7.2764395403896701E-4</v>
      </c>
      <c r="P174" s="19"/>
      <c r="Q174" s="19"/>
    </row>
    <row r="175" spans="1:17">
      <c r="A175" t="s">
        <v>16</v>
      </c>
      <c r="B175">
        <v>345</v>
      </c>
      <c r="C175" s="19">
        <v>1.0146665436767824E-4</v>
      </c>
      <c r="D175" s="19">
        <v>5.6850930049777313E-3</v>
      </c>
      <c r="E175" s="19">
        <v>3.2258064516129028E-3</v>
      </c>
      <c r="F175" s="19"/>
      <c r="G175" s="19"/>
      <c r="H175" s="19">
        <v>3.133329893893274E-2</v>
      </c>
      <c r="I175" s="19">
        <v>4.6286961293533602E-2</v>
      </c>
      <c r="J175" s="19">
        <v>3.2815845824411133E-2</v>
      </c>
      <c r="K175" s="19">
        <v>3.2086638471483235E-2</v>
      </c>
      <c r="L175" s="19"/>
      <c r="M175" s="19"/>
      <c r="N175" s="19">
        <v>7.6742382776865528E-2</v>
      </c>
      <c r="O175" s="19">
        <v>7.2112773952518527E-2</v>
      </c>
      <c r="P175" s="19">
        <v>2.3304396361464527E-2</v>
      </c>
      <c r="Q175" s="19"/>
    </row>
    <row r="176" spans="1:17">
      <c r="A176" s="21" t="s">
        <v>16</v>
      </c>
      <c r="B176" s="21">
        <v>346</v>
      </c>
      <c r="C176" s="19">
        <v>4.9165206161793191E-3</v>
      </c>
      <c r="D176" s="19">
        <v>3.7463976945244955E-3</v>
      </c>
      <c r="E176" s="19"/>
      <c r="F176" s="19"/>
      <c r="G176" s="19"/>
      <c r="H176" s="19">
        <v>4.9046415243598339E-2</v>
      </c>
      <c r="I176" s="19">
        <v>3.3448614709222932E-2</v>
      </c>
      <c r="J176" s="19">
        <v>5.4858137044967878E-2</v>
      </c>
      <c r="K176" s="19">
        <v>6.4965860440338605E-6</v>
      </c>
      <c r="L176" s="19"/>
      <c r="M176" s="19">
        <v>6.5774804905239681E-2</v>
      </c>
      <c r="N176" s="19">
        <v>1.0855683269476371E-2</v>
      </c>
      <c r="O176" s="19">
        <v>6.6563131258281019E-2</v>
      </c>
      <c r="P176" s="19">
        <v>1.8007299181504784E-2</v>
      </c>
      <c r="Q176" s="19"/>
    </row>
    <row r="177" spans="1:17">
      <c r="A177" s="21" t="s">
        <v>16</v>
      </c>
      <c r="B177" s="21">
        <v>347</v>
      </c>
      <c r="C177" s="19">
        <v>3.3013559634720038E-2</v>
      </c>
      <c r="D177" s="19">
        <v>2.9054231071522139E-2</v>
      </c>
      <c r="E177" s="19">
        <v>2.6259196378041874E-2</v>
      </c>
      <c r="F177" s="19">
        <v>2.0215320269537599E-2</v>
      </c>
      <c r="G177" s="19">
        <v>2.5468524747717443E-2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1:17">
      <c r="A178" s="21" t="s">
        <v>16</v>
      </c>
      <c r="B178" s="21">
        <v>348</v>
      </c>
      <c r="C178" s="19">
        <v>1.4472834609353379E-2</v>
      </c>
      <c r="D178" s="19">
        <v>2.9342415509562487E-3</v>
      </c>
      <c r="E178" s="19"/>
      <c r="F178" s="19"/>
      <c r="G178" s="19"/>
      <c r="H178" s="19">
        <v>0.18667560921082046</v>
      </c>
      <c r="I178" s="19">
        <v>0.22067662935974164</v>
      </c>
      <c r="J178" s="19">
        <v>0.13383297644539613</v>
      </c>
      <c r="K178" s="19">
        <v>2.0854041201348691E-2</v>
      </c>
      <c r="L178" s="19"/>
      <c r="M178" s="19">
        <v>2.6477146042363432E-2</v>
      </c>
      <c r="N178" s="19">
        <v>0.10659551176792556</v>
      </c>
      <c r="O178" s="19">
        <v>0.288831208323378</v>
      </c>
      <c r="P178" s="19">
        <v>0.11352829275461188</v>
      </c>
      <c r="Q178" s="19">
        <v>0.16892167990919407</v>
      </c>
    </row>
    <row r="179" spans="1:17">
      <c r="A179" s="21" t="s">
        <v>16</v>
      </c>
      <c r="B179" s="21">
        <v>349</v>
      </c>
      <c r="C179" s="19">
        <v>9.7140485195092691E-2</v>
      </c>
      <c r="D179" s="19">
        <v>9.9135446685878981E-2</v>
      </c>
      <c r="E179" s="19">
        <v>7.2325976230899813E-2</v>
      </c>
      <c r="F179" s="19">
        <v>1.6420106885601426E-2</v>
      </c>
      <c r="G179" s="19"/>
      <c r="H179" s="19">
        <v>4.0275843092744505E-2</v>
      </c>
      <c r="I179" s="19">
        <v>0.16414196199543127</v>
      </c>
      <c r="J179" s="19">
        <v>0.48498394004282652</v>
      </c>
      <c r="K179" s="19">
        <v>0.87688969446555831</v>
      </c>
      <c r="L179" s="25">
        <v>1</v>
      </c>
      <c r="M179" s="19"/>
      <c r="N179" s="19">
        <v>6.8418171866447717E-5</v>
      </c>
      <c r="O179" s="19">
        <v>9.3181867547079654E-3</v>
      </c>
      <c r="P179" s="19">
        <v>0.38819403904671124</v>
      </c>
      <c r="Q179" s="19">
        <v>0.82644721906923946</v>
      </c>
    </row>
    <row r="180" spans="1:17">
      <c r="A180" s="21" t="s">
        <v>16</v>
      </c>
      <c r="B180" s="21">
        <v>350</v>
      </c>
      <c r="C180" s="19">
        <v>3.3889862558804537E-2</v>
      </c>
      <c r="D180" s="19">
        <v>4.0110034058160861E-2</v>
      </c>
      <c r="E180" s="19">
        <v>5.3084323712507077E-2</v>
      </c>
      <c r="F180" s="19">
        <v>5.5301680737355738E-2</v>
      </c>
      <c r="G180" s="19">
        <v>4.5651129264776547E-2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spans="1:17">
      <c r="A181" t="s">
        <v>16</v>
      </c>
      <c r="B181">
        <v>351</v>
      </c>
      <c r="C181" s="19">
        <v>9.2270085785444142E-2</v>
      </c>
      <c r="D181" s="19">
        <v>0.10288184438040347</v>
      </c>
      <c r="E181" s="19">
        <v>0.11013016411997735</v>
      </c>
      <c r="F181" s="19">
        <v>0.11695453489272711</v>
      </c>
      <c r="G181" s="19">
        <v>6.9517860003203577E-2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</row>
    <row r="182" spans="1:17">
      <c r="A182" s="21" t="s">
        <v>16</v>
      </c>
      <c r="B182" s="21">
        <v>352</v>
      </c>
      <c r="C182" s="19">
        <v>0.11143805921962917</v>
      </c>
      <c r="D182" s="19">
        <v>0.13340319622740374</v>
      </c>
      <c r="E182" s="19">
        <v>0.13440860215053763</v>
      </c>
      <c r="F182" s="19">
        <v>0.12415769498876926</v>
      </c>
      <c r="G182" s="19">
        <v>8.8899567515617478E-2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spans="1:17">
      <c r="A183" s="21" t="s">
        <v>16</v>
      </c>
      <c r="B183" s="21">
        <v>353</v>
      </c>
      <c r="C183" s="19">
        <v>0.10466746610091318</v>
      </c>
      <c r="D183" s="19">
        <v>0.13044275609117109</v>
      </c>
      <c r="E183" s="19">
        <v>0.12439162422184492</v>
      </c>
      <c r="F183" s="19">
        <v>0.10936410812485475</v>
      </c>
      <c r="G183" s="19">
        <v>4.8534358481499271E-2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spans="1:17">
      <c r="A184" t="s">
        <v>16</v>
      </c>
      <c r="B184">
        <v>354</v>
      </c>
      <c r="C184" s="19">
        <v>2.7626602711926941E-2</v>
      </c>
      <c r="D184" s="19">
        <v>2.053969085669374E-2</v>
      </c>
      <c r="E184" s="19">
        <v>1.6072439162422181E-2</v>
      </c>
      <c r="F184" s="19">
        <v>1.7659360235458135E-2</v>
      </c>
      <c r="G184" s="19">
        <v>3.2035880185808103E-3</v>
      </c>
      <c r="H184" s="19">
        <v>3.5581007411993326E-2</v>
      </c>
      <c r="I184" s="19">
        <v>1.4459092127260428E-2</v>
      </c>
      <c r="J184" s="19">
        <v>9.3683083511777304E-5</v>
      </c>
      <c r="K184" s="19"/>
      <c r="L184" s="19"/>
      <c r="M184" s="19">
        <v>2.9542920847268672E-2</v>
      </c>
      <c r="N184" s="19">
        <v>6.3583287721218754E-2</v>
      </c>
      <c r="O184" s="19">
        <v>5.0066248180890116E-2</v>
      </c>
      <c r="P184" s="19">
        <v>4.3762732110331701E-3</v>
      </c>
      <c r="Q184" s="19"/>
    </row>
    <row r="185" spans="1:17">
      <c r="A185" s="21" t="s">
        <v>16</v>
      </c>
      <c r="B185" s="21">
        <v>355</v>
      </c>
      <c r="C185" s="19">
        <v>0.43149155981920478</v>
      </c>
      <c r="D185" s="19">
        <v>0.41354466858789624</v>
      </c>
      <c r="E185" s="19">
        <v>0.45659309564233164</v>
      </c>
      <c r="F185" s="19">
        <v>0.53775850050344665</v>
      </c>
      <c r="G185" s="19">
        <v>0.71776389556303055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spans="1:17">
      <c r="A186" s="21" t="s">
        <v>16</v>
      </c>
      <c r="B186" s="21">
        <v>356</v>
      </c>
      <c r="C186" s="19">
        <v>4.7883036620237976E-2</v>
      </c>
      <c r="D186" s="19">
        <v>1.8208016767094579E-2</v>
      </c>
      <c r="E186" s="19">
        <v>3.508771929824561E-3</v>
      </c>
      <c r="F186" s="19">
        <v>2.1686933622492447E-3</v>
      </c>
      <c r="G186" s="19">
        <v>9.6107640557424297E-4</v>
      </c>
      <c r="H186" s="19">
        <v>0.43758276152642345</v>
      </c>
      <c r="I186" s="19">
        <v>0.33523909187202483</v>
      </c>
      <c r="J186" s="19">
        <v>0.28898554603854387</v>
      </c>
      <c r="K186" s="19">
        <v>6.9487484326986163E-2</v>
      </c>
      <c r="L186" s="19"/>
      <c r="M186" s="19">
        <v>0.79319955406911924</v>
      </c>
      <c r="N186" s="19">
        <v>0.65558292282430208</v>
      </c>
      <c r="O186" s="19">
        <v>0.5038337062056083</v>
      </c>
      <c r="P186" s="19">
        <v>0.45235174127408062</v>
      </c>
      <c r="Q186" s="19">
        <v>4.6311010215664009E-3</v>
      </c>
    </row>
    <row r="187" spans="1:17">
      <c r="A187" s="21" t="s">
        <v>17</v>
      </c>
      <c r="B187" s="21">
        <v>34</v>
      </c>
      <c r="C187" s="19">
        <v>3.0416330740953967E-3</v>
      </c>
      <c r="D187" s="19">
        <v>2.577736856293149E-3</v>
      </c>
      <c r="E187" s="19">
        <v>5.313675970096631E-3</v>
      </c>
      <c r="F187" s="19">
        <v>8.9557710604645461E-3</v>
      </c>
      <c r="G187" s="19">
        <v>1.7177827134823499E-2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spans="1:17">
      <c r="A188" t="s">
        <v>17</v>
      </c>
      <c r="B188">
        <v>35</v>
      </c>
      <c r="C188" s="19">
        <v>3.313746736335776E-3</v>
      </c>
      <c r="D188" s="19">
        <v>2.8441399435605464E-3</v>
      </c>
      <c r="E188" s="19">
        <v>4.4952187709111305E-3</v>
      </c>
      <c r="F188" s="19">
        <v>4.3862329024205024E-3</v>
      </c>
      <c r="G188" s="19">
        <v>2.9299182458295929E-3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spans="1:17">
      <c r="A189" s="21" t="s">
        <v>17</v>
      </c>
      <c r="B189" s="21">
        <v>36</v>
      </c>
      <c r="C189" s="19">
        <v>7.806072925512799E-3</v>
      </c>
      <c r="D189" s="19">
        <v>5.1709116329480042E-3</v>
      </c>
      <c r="E189" s="19">
        <v>6.76351443722523E-3</v>
      </c>
      <c r="F189" s="19">
        <v>8.1352618210067812E-3</v>
      </c>
      <c r="G189" s="19">
        <v>1.1885071593970042E-2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spans="1:17">
      <c r="A190" t="s">
        <v>17</v>
      </c>
      <c r="B190">
        <v>37</v>
      </c>
      <c r="C190" s="19">
        <v>3.8331502113268545E-3</v>
      </c>
      <c r="D190" s="19">
        <v>2.3620018153410966E-3</v>
      </c>
      <c r="E190" s="19">
        <v>3.3979464818932083E-3</v>
      </c>
      <c r="F190" s="19">
        <v>4.5564449254995058E-3</v>
      </c>
      <c r="G190" s="19">
        <v>1.0727281319408347E-2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spans="1:17">
      <c r="A191" s="21" t="s">
        <v>17</v>
      </c>
      <c r="B191" s="21">
        <v>38</v>
      </c>
      <c r="C191" s="19">
        <v>3.623807684420252E-3</v>
      </c>
      <c r="D191" s="19">
        <v>1.8058408382078236E-3</v>
      </c>
      <c r="E191" s="19">
        <v>1.9984746116375619E-3</v>
      </c>
      <c r="F191" s="19">
        <v>1.2438570917311872E-3</v>
      </c>
      <c r="G191" s="19">
        <v>2.8354047540286382E-4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spans="1:17">
      <c r="A192" s="21" t="s">
        <v>17</v>
      </c>
      <c r="B192" s="21">
        <v>39</v>
      </c>
      <c r="C192" s="19">
        <v>1.1918610028866818E-3</v>
      </c>
      <c r="D192" s="19">
        <v>6.5116356397454389E-4</v>
      </c>
      <c r="E192" s="19">
        <v>6.1159439060015392E-4</v>
      </c>
      <c r="F192" s="19">
        <v>6.8521250316419785E-4</v>
      </c>
      <c r="G192" s="19">
        <v>1.8902698360190922E-4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spans="1:17">
      <c r="A193" s="21" t="s">
        <v>17</v>
      </c>
      <c r="B193" s="21">
        <v>43</v>
      </c>
      <c r="C193" s="19">
        <v>1.7419385339350721E-3</v>
      </c>
      <c r="D193" s="19">
        <v>4.5482488450258418E-4</v>
      </c>
      <c r="E193" s="19">
        <v>1.0253200077708461E-4</v>
      </c>
      <c r="F193" s="19">
        <v>1.3966114714174732E-4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spans="1:17">
      <c r="A194" s="21" t="s">
        <v>17</v>
      </c>
      <c r="B194" s="21">
        <v>45</v>
      </c>
      <c r="C194" s="19">
        <v>1.1826904088076918E-4</v>
      </c>
      <c r="D194" s="19">
        <v>2.21672702629632E-5</v>
      </c>
      <c r="E194" s="19">
        <v>8.2745123434138475E-5</v>
      </c>
      <c r="F194" s="19">
        <v>4.8881401499611564E-4</v>
      </c>
      <c r="G194" s="19">
        <v>5.6708095080572763E-4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 spans="1:17">
      <c r="A195" s="21" t="s">
        <v>17</v>
      </c>
      <c r="B195" s="21">
        <v>46</v>
      </c>
      <c r="C195" s="19">
        <v>8.2940117759914798E-3</v>
      </c>
      <c r="D195" s="19">
        <v>2.8896620164219882E-3</v>
      </c>
      <c r="E195" s="19">
        <v>3.1407170764349082E-3</v>
      </c>
      <c r="F195" s="19">
        <v>2.4484344858287581E-3</v>
      </c>
      <c r="G195" s="19">
        <v>2.646377770426729E-3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 spans="1:17">
      <c r="A196" s="21" t="s">
        <v>17</v>
      </c>
      <c r="B196" s="21">
        <v>47</v>
      </c>
      <c r="C196" s="19">
        <v>5.1843898147587433E-3</v>
      </c>
      <c r="D196" s="19">
        <v>5.5299422423856404E-4</v>
      </c>
      <c r="E196" s="19">
        <v>1.5109979061886156E-4</v>
      </c>
      <c r="F196" s="19">
        <v>3.4915286785436829E-5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</row>
    <row r="197" spans="1:17">
      <c r="A197" s="21" t="s">
        <v>17</v>
      </c>
      <c r="B197" s="21">
        <v>48</v>
      </c>
      <c r="C197" s="19">
        <v>1.6215823923328775E-2</v>
      </c>
      <c r="D197" s="19">
        <v>7.5776438329268666E-3</v>
      </c>
      <c r="E197" s="19">
        <v>1.1922493002640647E-2</v>
      </c>
      <c r="F197" s="19">
        <v>1.2189799498965634E-2</v>
      </c>
      <c r="G197" s="19">
        <v>2.1076508671612877E-2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</row>
    <row r="198" spans="1:17">
      <c r="A198" s="21" t="s">
        <v>17</v>
      </c>
      <c r="B198" s="21">
        <v>49</v>
      </c>
      <c r="C198" s="19">
        <v>2.3100410257594084E-4</v>
      </c>
      <c r="D198" s="19">
        <v>2.2523529963617965E-4</v>
      </c>
      <c r="E198" s="19">
        <v>5.1445881091660001E-4</v>
      </c>
      <c r="F198" s="19">
        <v>6.284751621378629E-4</v>
      </c>
      <c r="G198" s="19">
        <v>5.6708095080572763E-4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</row>
    <row r="199" spans="1:17">
      <c r="A199" t="s">
        <v>17</v>
      </c>
      <c r="B199">
        <v>50</v>
      </c>
      <c r="C199" s="19">
        <v>1.3455475105552748E-3</v>
      </c>
      <c r="D199" s="19">
        <v>5.0390955437057416E-4</v>
      </c>
      <c r="E199" s="19">
        <v>2.4283894920888466E-4</v>
      </c>
      <c r="F199" s="19">
        <v>2.7059347258713546E-4</v>
      </c>
      <c r="G199" s="19">
        <v>2.3628372950238653E-5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spans="1:17">
      <c r="A200" s="21" t="s">
        <v>17</v>
      </c>
      <c r="B200" s="21">
        <v>51</v>
      </c>
      <c r="C200" s="19">
        <v>1.6862825146970633E-3</v>
      </c>
      <c r="D200" s="19">
        <v>8.728362666041759E-4</v>
      </c>
      <c r="E200" s="19">
        <v>1.2537685007303154E-3</v>
      </c>
      <c r="F200" s="19">
        <v>1.5450014402555797E-3</v>
      </c>
      <c r="G200" s="19">
        <v>1.6303577335664667E-3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spans="1:17">
      <c r="A201" s="21" t="s">
        <v>17</v>
      </c>
      <c r="B201" s="21">
        <v>52</v>
      </c>
      <c r="C201" s="19">
        <v>7.5436041984244622E-4</v>
      </c>
      <c r="D201" s="19">
        <v>7.0935264841482239E-4</v>
      </c>
      <c r="E201" s="19">
        <v>1.2879458343226771E-3</v>
      </c>
      <c r="F201" s="19">
        <v>1.1958485724012115E-3</v>
      </c>
      <c r="G201" s="19">
        <v>4.7256745900477306E-4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</row>
    <row r="202" spans="1:17">
      <c r="A202" s="21" t="s">
        <v>17</v>
      </c>
      <c r="B202" s="21">
        <v>60</v>
      </c>
      <c r="C202" s="19">
        <v>3.2903459100652488E-4</v>
      </c>
      <c r="D202" s="19">
        <v>3.3132152160893203E-4</v>
      </c>
      <c r="E202" s="19">
        <v>7.6089537418783863E-4</v>
      </c>
      <c r="F202" s="19">
        <v>1.6410184789155309E-3</v>
      </c>
      <c r="G202" s="19">
        <v>4.2767355039931964E-3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</row>
    <row r="203" spans="1:17">
      <c r="A203" t="s">
        <v>17</v>
      </c>
      <c r="B203">
        <v>61</v>
      </c>
      <c r="C203" s="19">
        <v>2.1456027871016547E-4</v>
      </c>
      <c r="D203" s="19">
        <v>1.4289972437374489E-4</v>
      </c>
      <c r="E203" s="19">
        <v>1.9067354530475386E-4</v>
      </c>
      <c r="F203" s="19">
        <v>6.9830573570873658E-5</v>
      </c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</row>
    <row r="204" spans="1:17">
      <c r="A204" s="21" t="s">
        <v>17</v>
      </c>
      <c r="B204" s="21">
        <v>62</v>
      </c>
      <c r="C204" s="19">
        <v>1.4140107387656667E-3</v>
      </c>
      <c r="D204" s="19">
        <v>9.2073340413665E-4</v>
      </c>
      <c r="E204" s="19">
        <v>1.3473064663515155E-3</v>
      </c>
      <c r="F204" s="19">
        <v>1.597374370433735E-3</v>
      </c>
      <c r="G204" s="19">
        <v>3.0008033646803088E-3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spans="1:17">
      <c r="A205" s="21" t="s">
        <v>17</v>
      </c>
      <c r="B205" s="21">
        <v>63</v>
      </c>
      <c r="C205" s="19">
        <v>1.3985314084150954E-2</v>
      </c>
      <c r="D205" s="19">
        <v>1.3368447345014163E-2</v>
      </c>
      <c r="E205" s="19">
        <v>2.0770824788999932E-2</v>
      </c>
      <c r="F205" s="19">
        <v>2.5719473128322404E-2</v>
      </c>
      <c r="G205" s="19">
        <v>3.3410519351637455E-2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</row>
    <row r="206" spans="1:17">
      <c r="A206" s="21" t="s">
        <v>17</v>
      </c>
      <c r="B206" s="21">
        <v>64</v>
      </c>
      <c r="C206" s="19">
        <v>8.0400969995871666E-2</v>
      </c>
      <c r="D206" s="19">
        <v>0.16177950928788828</v>
      </c>
      <c r="E206" s="19">
        <v>0.26465667969002954</v>
      </c>
      <c r="F206" s="19">
        <v>0.24488272828050942</v>
      </c>
      <c r="G206" s="19">
        <v>0.20811870894570203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</row>
    <row r="207" spans="1:17">
      <c r="A207" s="21" t="s">
        <v>17</v>
      </c>
      <c r="B207" s="21">
        <v>65</v>
      </c>
      <c r="C207" s="19">
        <v>0.1794471807775494</v>
      </c>
      <c r="D207" s="19">
        <v>0.26320110424673432</v>
      </c>
      <c r="E207" s="19">
        <v>0.19239680244062135</v>
      </c>
      <c r="F207" s="19">
        <v>0.15981599643864072</v>
      </c>
      <c r="G207" s="19">
        <v>9.3426586645243628E-2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</row>
    <row r="208" spans="1:17">
      <c r="A208" s="21" t="s">
        <v>17</v>
      </c>
      <c r="B208" s="21">
        <v>66</v>
      </c>
      <c r="C208" s="19">
        <v>0.12690268086506531</v>
      </c>
      <c r="D208" s="19">
        <v>0.10267760832571</v>
      </c>
      <c r="E208" s="19">
        <v>7.902519049366459E-2</v>
      </c>
      <c r="F208" s="19">
        <v>3.7564484170281846E-2</v>
      </c>
      <c r="G208" s="19">
        <v>2.5353244175606075E-2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spans="1:17">
      <c r="A209" t="s">
        <v>17</v>
      </c>
      <c r="B209">
        <v>67</v>
      </c>
      <c r="C209" s="19">
        <v>5.3039237651676494E-2</v>
      </c>
      <c r="D209" s="19">
        <v>5.7442522445350745E-2</v>
      </c>
      <c r="E209" s="19">
        <v>0.10132680006619607</v>
      </c>
      <c r="F209" s="19">
        <v>0.11693565985527613</v>
      </c>
      <c r="G209" s="19">
        <v>0.10694201597278014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spans="1:17">
      <c r="A210" s="21" t="s">
        <v>17</v>
      </c>
      <c r="B210" s="21">
        <v>68</v>
      </c>
      <c r="C210" s="19">
        <v>0.10991431344742714</v>
      </c>
      <c r="D210" s="19">
        <v>0.10368740665501036</v>
      </c>
      <c r="E210" s="19">
        <v>6.3353983638051231E-3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spans="1:17">
      <c r="A211" s="21" t="s">
        <v>17</v>
      </c>
      <c r="B211" s="21">
        <v>69</v>
      </c>
      <c r="C211" s="19">
        <v>9.7580654979640497E-2</v>
      </c>
      <c r="D211" s="19">
        <v>2.8434670085704206E-2</v>
      </c>
      <c r="E211" s="19">
        <v>4.7668386326188465E-4</v>
      </c>
      <c r="F211" s="19">
        <v>3.4915286785436829E-5</v>
      </c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spans="1:17">
      <c r="A212" s="21" t="s">
        <v>17</v>
      </c>
      <c r="B212" s="21">
        <v>70</v>
      </c>
      <c r="C212" s="19">
        <v>3.8998109434596515E-2</v>
      </c>
      <c r="D212" s="19">
        <v>6.5309528324031654E-2</v>
      </c>
      <c r="E212" s="19">
        <v>0.1257851792691087</v>
      </c>
      <c r="F212" s="19">
        <v>0.13069664725958641</v>
      </c>
      <c r="G212" s="19">
        <v>0.25686404234204435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spans="1:17">
      <c r="A213" t="s">
        <v>17</v>
      </c>
      <c r="B213">
        <v>71</v>
      </c>
      <c r="C213" s="19">
        <v>0.11511878370094505</v>
      </c>
      <c r="D213" s="19">
        <v>4.7260620200637538E-2</v>
      </c>
      <c r="E213" s="19">
        <v>2.083738064915348E-2</v>
      </c>
      <c r="F213" s="19">
        <v>1.8854254864135889E-2</v>
      </c>
      <c r="G213" s="19">
        <v>9.9475450120504721E-3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spans="1:17">
      <c r="A214" s="21" t="s">
        <v>17</v>
      </c>
      <c r="B214" s="21">
        <v>72</v>
      </c>
      <c r="C214" s="19">
        <v>1.6022292765523881E-2</v>
      </c>
      <c r="D214" s="19">
        <v>9.3442961040626649E-3</v>
      </c>
      <c r="E214" s="19">
        <v>2.0072887660903288E-2</v>
      </c>
      <c r="F214" s="19">
        <v>4.09992755077992E-2</v>
      </c>
      <c r="G214" s="19">
        <v>2.6180237228864426E-2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spans="1:17">
      <c r="A215" s="21" t="s">
        <v>17</v>
      </c>
      <c r="B215" s="21">
        <v>73</v>
      </c>
      <c r="C215" s="19">
        <v>6.1249132944046894E-2</v>
      </c>
      <c r="D215" s="19">
        <v>5.0200158575151185E-2</v>
      </c>
      <c r="E215" s="19">
        <v>5.2381260747872008E-3</v>
      </c>
      <c r="F215" s="19">
        <v>4.1243682515297257E-3</v>
      </c>
      <c r="G215" s="19">
        <v>5.2454987949529797E-3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spans="1:17">
      <c r="A216" s="21" t="s">
        <v>17</v>
      </c>
      <c r="B216" s="21">
        <v>74</v>
      </c>
      <c r="C216" s="19">
        <v>4.7001824473880648E-2</v>
      </c>
      <c r="D216" s="19">
        <v>6.6678753106881455E-2</v>
      </c>
      <c r="E216" s="19">
        <v>0.11950014750217655</v>
      </c>
      <c r="F216" s="19">
        <v>0.17015965014882639</v>
      </c>
      <c r="G216" s="19">
        <v>0.15705779500023631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spans="1:17">
      <c r="A217" t="s">
        <v>18</v>
      </c>
      <c r="B217">
        <v>330</v>
      </c>
      <c r="C217" s="19"/>
      <c r="D217" s="19"/>
      <c r="E217" s="19"/>
      <c r="F217" s="19"/>
      <c r="G217" s="19"/>
      <c r="H217" s="19"/>
      <c r="I217" s="19">
        <v>0.27912122648964754</v>
      </c>
      <c r="J217" s="25">
        <v>1</v>
      </c>
      <c r="K217" s="19"/>
      <c r="L217" s="19"/>
      <c r="M217" s="19"/>
      <c r="N217" s="25">
        <v>0.91235334713595584</v>
      </c>
      <c r="O217" s="19"/>
      <c r="P217" s="19"/>
      <c r="Q217" s="19"/>
    </row>
    <row r="218" spans="1:17">
      <c r="A218" s="21" t="s">
        <v>18</v>
      </c>
      <c r="B218" s="21">
        <v>341</v>
      </c>
      <c r="C218" s="19"/>
      <c r="D218" s="19"/>
      <c r="E218" s="19"/>
      <c r="F218" s="19"/>
      <c r="G218" s="19"/>
      <c r="H218" s="25">
        <v>0.93934492519207435</v>
      </c>
      <c r="I218" s="19">
        <v>0.7038090722301249</v>
      </c>
      <c r="J218" s="19"/>
      <c r="K218" s="19"/>
      <c r="L218" s="19"/>
      <c r="M218" s="19"/>
      <c r="N218" s="19">
        <v>8.7646652864044175E-2</v>
      </c>
      <c r="O218" s="19"/>
      <c r="P218" s="19"/>
      <c r="Q218" s="19"/>
    </row>
    <row r="219" spans="1:17">
      <c r="A219" s="21" t="s">
        <v>18</v>
      </c>
      <c r="B219" s="21">
        <v>342</v>
      </c>
      <c r="C219" s="19"/>
      <c r="D219" s="19"/>
      <c r="E219" s="19"/>
      <c r="F219" s="19"/>
      <c r="G219" s="19"/>
      <c r="H219" s="19">
        <v>6.0655074807925598E-2</v>
      </c>
      <c r="I219" s="19">
        <v>1.7069701280227598E-2</v>
      </c>
      <c r="J219" s="19"/>
      <c r="K219" s="19"/>
      <c r="L219" s="19"/>
      <c r="M219" s="19"/>
      <c r="N219" s="19"/>
      <c r="O219" s="19"/>
      <c r="P219" s="19"/>
      <c r="Q219" s="19"/>
    </row>
    <row r="220" spans="1:17">
      <c r="A220" t="s">
        <v>19</v>
      </c>
      <c r="B220">
        <v>1</v>
      </c>
      <c r="C220" s="19">
        <v>1.2499587700954556E-2</v>
      </c>
      <c r="D220" s="19">
        <v>1.8554372378186509E-2</v>
      </c>
      <c r="E220" s="19">
        <v>2.231527759016615E-2</v>
      </c>
      <c r="F220" s="19">
        <v>2.4662744398882754E-2</v>
      </c>
      <c r="G220" s="19">
        <v>4.6638551227983133E-2</v>
      </c>
      <c r="H220" s="19">
        <v>0.74442644018550597</v>
      </c>
      <c r="I220" s="19">
        <v>0.7295804670090108</v>
      </c>
      <c r="J220" s="19">
        <v>0.44090520400684097</v>
      </c>
      <c r="K220" s="19"/>
      <c r="L220" s="19"/>
      <c r="M220" s="19">
        <v>0.20132890365448505</v>
      </c>
      <c r="N220" s="19">
        <v>0.75873781628433601</v>
      </c>
      <c r="O220" s="19">
        <v>0.68705628661285323</v>
      </c>
      <c r="P220" s="19">
        <v>0.40259717864914973</v>
      </c>
      <c r="Q220" s="19"/>
    </row>
    <row r="221" spans="1:17">
      <c r="A221" s="21" t="s">
        <v>19</v>
      </c>
      <c r="B221" s="21">
        <v>2</v>
      </c>
      <c r="C221" s="19">
        <v>2.939527274406455E-3</v>
      </c>
      <c r="D221" s="19">
        <v>4.2817782411199642E-3</v>
      </c>
      <c r="E221" s="19">
        <v>1.1806024584627855E-2</v>
      </c>
      <c r="F221" s="19">
        <v>2.5970166993522319E-2</v>
      </c>
      <c r="G221" s="19">
        <v>4.1428925824857361E-2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spans="1:17">
      <c r="A222" s="21" t="s">
        <v>19</v>
      </c>
      <c r="B222" s="21">
        <v>3</v>
      </c>
      <c r="C222" s="19">
        <v>6.123135583716497E-3</v>
      </c>
      <c r="D222" s="19">
        <v>1.52530592995259E-2</v>
      </c>
      <c r="E222" s="19">
        <v>3.4283398622180196E-2</v>
      </c>
      <c r="F222" s="19">
        <v>7.0719676710049334E-2</v>
      </c>
      <c r="G222" s="19">
        <v>0.1677003225006202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spans="1:17">
      <c r="A223" s="21" t="s">
        <v>19</v>
      </c>
      <c r="B223" s="21">
        <v>4</v>
      </c>
      <c r="C223" s="19">
        <v>4.3389691864185405E-2</v>
      </c>
      <c r="D223" s="19">
        <v>0.1309851813240003</v>
      </c>
      <c r="E223" s="19">
        <v>0.13435093880859111</v>
      </c>
      <c r="F223" s="19">
        <v>5.2118618886313667E-2</v>
      </c>
      <c r="G223" s="19">
        <v>1.339617960803771E-2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 spans="1:17">
      <c r="A224" t="s">
        <v>19</v>
      </c>
      <c r="B224">
        <v>5</v>
      </c>
      <c r="C224" s="19">
        <v>0.13693209929480371</v>
      </c>
      <c r="D224" s="19">
        <v>0.15818378136867972</v>
      </c>
      <c r="E224" s="19">
        <v>0.14877752262596244</v>
      </c>
      <c r="F224" s="19">
        <v>0.15962441314553991</v>
      </c>
      <c r="G224" s="19">
        <v>0.15231952369139173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</row>
    <row r="225" spans="1:17">
      <c r="A225" s="21" t="s">
        <v>19</v>
      </c>
      <c r="B225" s="21">
        <v>6</v>
      </c>
      <c r="C225" s="19">
        <v>9.0507886456141294E-4</v>
      </c>
      <c r="D225" s="19">
        <v>1.0176980167299625E-3</v>
      </c>
      <c r="E225" s="19">
        <v>6.4838578954477919E-4</v>
      </c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spans="1:17">
      <c r="A226" s="21" t="s">
        <v>19</v>
      </c>
      <c r="B226" s="21">
        <v>7</v>
      </c>
      <c r="C226" s="19">
        <v>2.006214171212951E-2</v>
      </c>
      <c r="D226" s="19">
        <v>1.1610445056718049E-2</v>
      </c>
      <c r="E226" s="19">
        <v>8.1588545184384711E-3</v>
      </c>
      <c r="F226" s="19">
        <v>2.2582753907410711E-3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</row>
    <row r="227" spans="1:17">
      <c r="A227" s="21" t="s">
        <v>19</v>
      </c>
      <c r="B227" s="21">
        <v>8</v>
      </c>
      <c r="C227" s="19">
        <v>8.2697293339226464E-3</v>
      </c>
      <c r="D227" s="19">
        <v>8.5635564822399285E-3</v>
      </c>
      <c r="E227" s="19">
        <v>1.5912467918411454E-2</v>
      </c>
      <c r="F227" s="19">
        <v>1.5391929636893089E-2</v>
      </c>
      <c r="G227" s="19">
        <v>5.7057802034234687E-3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 spans="1:17">
      <c r="A228" s="21" t="s">
        <v>19</v>
      </c>
      <c r="B228" s="21">
        <v>9</v>
      </c>
      <c r="C228" s="19">
        <v>9.765088495867115E-2</v>
      </c>
      <c r="D228" s="19">
        <v>9.5582942388363498E-2</v>
      </c>
      <c r="E228" s="19">
        <v>5.6355531541267052E-2</v>
      </c>
      <c r="F228" s="19">
        <v>1.2836512747370301E-2</v>
      </c>
      <c r="G228" s="19">
        <v>8.1865542049119333E-3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 spans="1:17">
      <c r="A229" s="21" t="s">
        <v>19</v>
      </c>
      <c r="B229" s="21">
        <v>10</v>
      </c>
      <c r="C229" s="19">
        <v>1.0981007856770612E-2</v>
      </c>
      <c r="D229" s="19">
        <v>2.3568396753295105E-2</v>
      </c>
      <c r="E229" s="19">
        <v>4.233418884236121E-2</v>
      </c>
      <c r="F229" s="19">
        <v>5.1940333987044639E-2</v>
      </c>
      <c r="G229" s="19">
        <v>3.6219300421731583E-2</v>
      </c>
      <c r="H229" s="19">
        <v>0.10197239760853775</v>
      </c>
      <c r="I229" s="19">
        <v>0.10604592578238543</v>
      </c>
      <c r="J229" s="19">
        <v>0.20388468116296116</v>
      </c>
      <c r="K229" s="19">
        <v>3.7517187193085839E-2</v>
      </c>
      <c r="L229" s="19"/>
      <c r="M229" s="19"/>
      <c r="N229" s="19">
        <v>4.4452101998621638E-2</v>
      </c>
      <c r="O229" s="19">
        <v>0.24513934879911445</v>
      </c>
      <c r="P229" s="19">
        <v>0.2108414274825921</v>
      </c>
      <c r="Q229" s="19"/>
    </row>
    <row r="230" spans="1:17">
      <c r="A230" s="21" t="s">
        <v>19</v>
      </c>
      <c r="B230" s="21">
        <v>11</v>
      </c>
      <c r="C230" s="19">
        <v>8.2327873394507528E-4</v>
      </c>
      <c r="D230" s="19">
        <v>6.6398590115918294E-4</v>
      </c>
      <c r="E230" s="19">
        <v>9.7257868431716878E-4</v>
      </c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</row>
    <row r="231" spans="1:17">
      <c r="A231" t="s">
        <v>19</v>
      </c>
      <c r="B231">
        <v>12</v>
      </c>
      <c r="C231" s="19">
        <v>6.1086226573168244E-3</v>
      </c>
      <c r="D231" s="19">
        <v>8.4518579194281032E-3</v>
      </c>
      <c r="E231" s="19">
        <v>1.0752397676617589E-2</v>
      </c>
      <c r="F231" s="19">
        <v>1.5570214536162122E-2</v>
      </c>
      <c r="G231" s="19">
        <v>2.1582733812949641E-2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</row>
    <row r="232" spans="1:17">
      <c r="A232" s="21" t="s">
        <v>19</v>
      </c>
      <c r="B232" s="21">
        <v>13</v>
      </c>
      <c r="C232" s="19">
        <v>1.2849217291492129E-2</v>
      </c>
      <c r="D232" s="19">
        <v>1.8411646436815848E-2</v>
      </c>
      <c r="E232" s="19">
        <v>3.5661218424962851E-2</v>
      </c>
      <c r="F232" s="19">
        <v>4.1005526831877345E-2</v>
      </c>
      <c r="G232" s="19">
        <v>1.4636566608781942E-2</v>
      </c>
      <c r="H232" s="19">
        <v>3.0172654634855009E-2</v>
      </c>
      <c r="I232" s="19">
        <v>4.7863579110551308E-2</v>
      </c>
      <c r="J232" s="19">
        <v>0.15233325189347668</v>
      </c>
      <c r="K232" s="19">
        <v>6.8945197407189157E-2</v>
      </c>
      <c r="L232" s="19"/>
      <c r="M232" s="19"/>
      <c r="N232" s="19"/>
      <c r="O232" s="19">
        <v>3.9912209136776504E-2</v>
      </c>
      <c r="P232" s="19">
        <v>0.31924995430335895</v>
      </c>
      <c r="Q232" s="19">
        <v>1.3069924875128603E-3</v>
      </c>
    </row>
    <row r="233" spans="1:17">
      <c r="A233" t="s">
        <v>19</v>
      </c>
      <c r="B233">
        <v>14</v>
      </c>
      <c r="C233" s="19">
        <v>1.3589376537875441E-2</v>
      </c>
      <c r="D233" s="19">
        <v>3.9094496984138805E-2</v>
      </c>
      <c r="E233" s="19">
        <v>8.1399432662434157E-2</v>
      </c>
      <c r="F233" s="19">
        <v>0.11558804302608904</v>
      </c>
      <c r="G233" s="19">
        <v>9.6750186058050122E-2</v>
      </c>
      <c r="H233" s="19">
        <v>6.6212214337598482E-2</v>
      </c>
      <c r="I233" s="19">
        <v>6.2881503730258706E-2</v>
      </c>
      <c r="J233" s="19">
        <v>8.1236257024187644E-2</v>
      </c>
      <c r="K233" s="19">
        <v>0.80337851109801617</v>
      </c>
      <c r="L233" s="25">
        <v>1</v>
      </c>
      <c r="M233" s="19"/>
      <c r="N233" s="19">
        <v>2.2152210298316435E-3</v>
      </c>
      <c r="O233" s="19">
        <v>8.2159962375344345E-3</v>
      </c>
      <c r="P233" s="19">
        <v>2.0843416292375728E-2</v>
      </c>
      <c r="Q233" s="19">
        <v>0.67289132847005728</v>
      </c>
    </row>
    <row r="234" spans="1:17">
      <c r="A234" s="21" t="s">
        <v>19</v>
      </c>
      <c r="B234" s="21">
        <v>15</v>
      </c>
      <c r="C234" s="19">
        <v>8.311948756176241E-3</v>
      </c>
      <c r="D234" s="19">
        <v>1.5644004269367288E-2</v>
      </c>
      <c r="E234" s="19">
        <v>2.2369309739294879E-2</v>
      </c>
      <c r="F234" s="19">
        <v>2.490045759790813E-2</v>
      </c>
      <c r="G234" s="19">
        <v>2.7784668816670806E-2</v>
      </c>
      <c r="H234" s="19">
        <v>3.9112700452589828E-4</v>
      </c>
      <c r="I234" s="19">
        <v>1.465458773374673E-2</v>
      </c>
      <c r="J234" s="19">
        <v>3.2860982164671391E-2</v>
      </c>
      <c r="K234" s="19"/>
      <c r="L234" s="19"/>
      <c r="M234" s="19"/>
      <c r="N234" s="19"/>
      <c r="O234" s="19">
        <v>6.485134101823325E-3</v>
      </c>
      <c r="P234" s="19">
        <v>3.3886789589672894E-2</v>
      </c>
      <c r="Q234" s="19">
        <v>6.2106231603420249E-2</v>
      </c>
    </row>
    <row r="235" spans="1:17">
      <c r="A235" t="s">
        <v>19</v>
      </c>
      <c r="B235">
        <v>16</v>
      </c>
      <c r="C235" s="19">
        <v>0.20081932066310881</v>
      </c>
      <c r="D235" s="19">
        <v>0.20409809616005162</v>
      </c>
      <c r="E235" s="19">
        <v>0.13300013508037281</v>
      </c>
      <c r="F235" s="19">
        <v>9.4906994710881334E-2</v>
      </c>
      <c r="G235" s="19">
        <v>6.0034730836020844E-2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spans="1:17">
      <c r="A236" s="21" t="s">
        <v>19</v>
      </c>
      <c r="B236" s="21">
        <v>17</v>
      </c>
      <c r="C236" s="19">
        <v>1.8742784766704712E-2</v>
      </c>
      <c r="D236" s="19">
        <v>1.6183880656291109E-2</v>
      </c>
      <c r="E236" s="19">
        <v>1.253545859786573E-2</v>
      </c>
      <c r="F236" s="19">
        <v>1.6164497533725564E-2</v>
      </c>
      <c r="G236" s="19">
        <v>1.6373108409823867E-2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</row>
    <row r="237" spans="1:17">
      <c r="A237" s="21" t="s">
        <v>19</v>
      </c>
      <c r="B237" s="21">
        <v>18</v>
      </c>
      <c r="C237" s="19">
        <v>0.11868143466874247</v>
      </c>
      <c r="D237" s="19">
        <v>7.0097053640132051E-2</v>
      </c>
      <c r="E237" s="19">
        <v>5.3870052681345405E-2</v>
      </c>
      <c r="F237" s="19">
        <v>6.3528852439531713E-2</v>
      </c>
      <c r="G237" s="19">
        <v>4.9615480029769295E-2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</row>
    <row r="238" spans="1:17">
      <c r="A238" s="21" t="s">
        <v>19</v>
      </c>
      <c r="B238" s="21">
        <v>19</v>
      </c>
      <c r="C238" s="19">
        <v>8.8038050254306055E-2</v>
      </c>
      <c r="D238" s="19">
        <v>4.7465683719313916E-2</v>
      </c>
      <c r="E238" s="19">
        <v>2.3558017020126977E-2</v>
      </c>
      <c r="F238" s="19">
        <v>1.3549652344446425E-2</v>
      </c>
      <c r="G238" s="19">
        <v>7.9384768047630876E-3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</row>
    <row r="239" spans="1:17">
      <c r="A239" s="21" t="s">
        <v>19</v>
      </c>
      <c r="B239" s="21">
        <v>20</v>
      </c>
      <c r="C239" s="19">
        <v>6.689139713303737E-4</v>
      </c>
      <c r="D239" s="19">
        <v>1.1169856281182515E-4</v>
      </c>
      <c r="E239" s="19">
        <v>1.3508037282182901E-4</v>
      </c>
      <c r="F239" s="19">
        <v>7.1313959707612769E-4</v>
      </c>
      <c r="G239" s="19"/>
      <c r="H239" s="19">
        <v>5.6825166228976931E-2</v>
      </c>
      <c r="I239" s="19">
        <v>3.8973936634047093E-2</v>
      </c>
      <c r="J239" s="19">
        <v>8.8779623747862205E-2</v>
      </c>
      <c r="K239" s="19">
        <v>9.0159104301708898E-2</v>
      </c>
      <c r="L239" s="19"/>
      <c r="M239" s="19">
        <v>0.79867109634551503</v>
      </c>
      <c r="N239" s="19">
        <v>0.1945948606872108</v>
      </c>
      <c r="O239" s="19">
        <v>1.3191025111898158E-2</v>
      </c>
      <c r="P239" s="19">
        <v>1.2581233682850364E-2</v>
      </c>
      <c r="Q239" s="19">
        <v>0.26369544743900963</v>
      </c>
    </row>
    <row r="240" spans="1:17">
      <c r="A240" s="21" t="s">
        <v>19</v>
      </c>
      <c r="B240" s="21">
        <v>21</v>
      </c>
      <c r="C240" s="19">
        <v>1.0789701099684015E-2</v>
      </c>
      <c r="D240" s="19">
        <v>1.6494154441879513E-2</v>
      </c>
      <c r="E240" s="19">
        <v>1.4615696339321898E-2</v>
      </c>
      <c r="F240" s="19">
        <v>2.2523325607654368E-2</v>
      </c>
      <c r="G240" s="19">
        <v>2.108657901265195E-2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spans="1:17">
      <c r="A241" s="21" t="s">
        <v>19</v>
      </c>
      <c r="B241" s="21">
        <v>41</v>
      </c>
      <c r="C241" s="19">
        <v>8.7486559051118493E-3</v>
      </c>
      <c r="D241" s="19">
        <v>1.5339935959490654E-2</v>
      </c>
      <c r="E241" s="19">
        <v>2.8691071187356476E-2</v>
      </c>
      <c r="F241" s="19">
        <v>5.6516313068283121E-2</v>
      </c>
      <c r="G241" s="19">
        <v>0.10171173406102704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</row>
    <row r="242" spans="1:17">
      <c r="A242" s="21" t="s">
        <v>19</v>
      </c>
      <c r="B242" s="21">
        <v>42</v>
      </c>
      <c r="C242" s="19">
        <v>1.5202950082129973E-2</v>
      </c>
      <c r="D242" s="19">
        <v>9.2027204805520384E-3</v>
      </c>
      <c r="E242" s="19">
        <v>2.1153586383898422E-2</v>
      </c>
      <c r="F242" s="19">
        <v>4.1480953229928098E-2</v>
      </c>
      <c r="G242" s="19">
        <v>3.7955842222773511E-2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</row>
    <row r="243" spans="1:17">
      <c r="A243" s="21" t="s">
        <v>19</v>
      </c>
      <c r="B243" s="21">
        <v>44</v>
      </c>
      <c r="C243" s="19">
        <v>0.1386696923919282</v>
      </c>
      <c r="D243" s="19">
        <v>5.5011542184823889E-2</v>
      </c>
      <c r="E243" s="19">
        <v>6.0624071322436857E-2</v>
      </c>
      <c r="F243" s="19">
        <v>4.6591787008973679E-2</v>
      </c>
      <c r="G243" s="19">
        <v>9.4269412056561652E-3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</row>
    <row r="244" spans="1:17">
      <c r="A244" s="21" t="s">
        <v>19</v>
      </c>
      <c r="B244" s="21">
        <v>45</v>
      </c>
      <c r="C244" s="19">
        <v>6.7946882689377212E-4</v>
      </c>
      <c r="D244" s="19">
        <v>4.4679425124730061E-4</v>
      </c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</row>
    <row r="245" spans="1:17">
      <c r="A245" s="21" t="s">
        <v>19</v>
      </c>
      <c r="B245" s="21">
        <v>46</v>
      </c>
      <c r="C245" s="19">
        <v>1.2784568801166313E-2</v>
      </c>
      <c r="D245" s="19">
        <v>5.870380023332589E-3</v>
      </c>
      <c r="E245" s="19">
        <v>7.6725651762798866E-3</v>
      </c>
      <c r="F245" s="19">
        <v>4.7542639805075188E-3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</row>
    <row r="246" spans="1:17">
      <c r="A246" t="s">
        <v>19</v>
      </c>
      <c r="B246">
        <v>60</v>
      </c>
      <c r="C246" s="19">
        <v>2.2006873849685668E-3</v>
      </c>
      <c r="D246" s="19">
        <v>3.4068061657606674E-3</v>
      </c>
      <c r="E246" s="19">
        <v>5.9705524787248415E-3</v>
      </c>
      <c r="F246" s="19">
        <v>5.8239733761217098E-3</v>
      </c>
      <c r="G246" s="19">
        <v>7.4423220044653937E-3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</row>
    <row r="247" spans="1:17">
      <c r="A247" s="21" t="s">
        <v>19</v>
      </c>
      <c r="B247" s="21">
        <v>61</v>
      </c>
      <c r="C247" s="19">
        <v>2.5384427629973152E-3</v>
      </c>
      <c r="D247" s="19">
        <v>6.4040509345446419E-3</v>
      </c>
      <c r="E247" s="19">
        <v>1.2076185330271511E-2</v>
      </c>
      <c r="F247" s="19">
        <v>2.0859333214476736E-2</v>
      </c>
      <c r="G247" s="19">
        <v>5.60654924336393E-2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spans="1:17">
      <c r="A248" s="21" t="s">
        <v>20</v>
      </c>
      <c r="B248" s="21">
        <v>213</v>
      </c>
      <c r="C248" s="19">
        <v>2.6903878834314932E-2</v>
      </c>
      <c r="D248" s="19">
        <v>0.1181959564541213</v>
      </c>
      <c r="E248" s="19"/>
      <c r="F248" s="19"/>
      <c r="G248" s="19"/>
      <c r="H248" s="19">
        <v>5.6515563972067695E-2</v>
      </c>
      <c r="I248" s="19">
        <v>5.8379527943381103E-2</v>
      </c>
      <c r="J248" s="19">
        <v>6.0152714932126698E-2</v>
      </c>
      <c r="K248" s="19"/>
      <c r="L248" s="19"/>
      <c r="M248" s="19"/>
      <c r="N248" s="19"/>
      <c r="O248" s="19">
        <v>0.38187891728080448</v>
      </c>
      <c r="P248" s="19">
        <v>0.53601577909270215</v>
      </c>
      <c r="Q248" s="19"/>
    </row>
    <row r="249" spans="1:17">
      <c r="A249" s="21" t="s">
        <v>20</v>
      </c>
      <c r="B249" s="21">
        <v>219</v>
      </c>
      <c r="C249" s="19">
        <v>5.3381157461784897E-3</v>
      </c>
      <c r="D249" s="19"/>
      <c r="E249" s="19"/>
      <c r="F249" s="19"/>
      <c r="G249" s="19"/>
      <c r="H249" s="19">
        <v>0.28666114333057163</v>
      </c>
      <c r="I249" s="19">
        <v>0.2322455810061709</v>
      </c>
      <c r="J249" s="19">
        <v>1.2542420814479639E-2</v>
      </c>
      <c r="K249" s="19"/>
      <c r="L249" s="19"/>
      <c r="M249" s="19"/>
      <c r="N249" s="25">
        <v>1</v>
      </c>
      <c r="O249" s="19">
        <v>0.61812108271919552</v>
      </c>
      <c r="P249" s="19">
        <v>0.46398422090729785</v>
      </c>
      <c r="Q249" s="19"/>
    </row>
    <row r="250" spans="1:17">
      <c r="A250" s="21" t="s">
        <v>20</v>
      </c>
      <c r="B250" s="21">
        <v>220</v>
      </c>
      <c r="C250" s="19">
        <v>6.2670938281895721E-3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 spans="1:17">
      <c r="A251" s="21" t="s">
        <v>20</v>
      </c>
      <c r="B251" s="21">
        <v>221</v>
      </c>
      <c r="C251" s="19">
        <v>0.24562489212206937</v>
      </c>
      <c r="D251" s="19">
        <v>1.5552099533437013E-2</v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spans="1:17">
      <c r="A252" s="21" t="s">
        <v>20</v>
      </c>
      <c r="B252" s="21">
        <v>222</v>
      </c>
      <c r="C252" s="19">
        <v>0.20882641441122854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</row>
    <row r="253" spans="1:17">
      <c r="A253" s="21" t="s">
        <v>20</v>
      </c>
      <c r="B253" s="21">
        <v>223</v>
      </c>
      <c r="C253" s="19">
        <v>1.6707572574658543E-2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</row>
    <row r="254" spans="1:17">
      <c r="A254" s="21" t="s">
        <v>20</v>
      </c>
      <c r="B254" s="21">
        <v>224</v>
      </c>
      <c r="C254" s="19">
        <v>6.9406731021553125E-3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</row>
    <row r="255" spans="1:17">
      <c r="A255" s="21" t="s">
        <v>20</v>
      </c>
      <c r="B255" s="21">
        <v>225</v>
      </c>
      <c r="C255" s="19">
        <v>2.4814379794867045E-2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 spans="1:17">
      <c r="A256" s="21" t="s">
        <v>20</v>
      </c>
      <c r="B256" s="21">
        <v>226</v>
      </c>
      <c r="C256" s="19">
        <v>0.31352308622797004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 spans="1:17">
      <c r="A257" s="21" t="s">
        <v>20</v>
      </c>
      <c r="B257" s="21">
        <v>227</v>
      </c>
      <c r="C257" s="19">
        <v>3.842348770928318E-2</v>
      </c>
      <c r="D257" s="19">
        <v>0.78227060653188174</v>
      </c>
      <c r="E257" s="19"/>
      <c r="F257" s="19"/>
      <c r="G257" s="19"/>
      <c r="H257" s="19">
        <v>0.2735826725056219</v>
      </c>
      <c r="I257" s="19">
        <v>0.26463410382456509</v>
      </c>
      <c r="J257" s="19">
        <v>0.10532381221719458</v>
      </c>
      <c r="K257" s="19"/>
      <c r="L257" s="19"/>
      <c r="M257" s="19"/>
      <c r="N257" s="19"/>
      <c r="O257" s="19"/>
      <c r="P257" s="19"/>
      <c r="Q257" s="19"/>
    </row>
    <row r="258" spans="1:17">
      <c r="A258" s="21" t="s">
        <v>20</v>
      </c>
      <c r="B258" s="21">
        <v>228</v>
      </c>
      <c r="C258" s="19">
        <v>8.5519308570875266E-2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spans="1:17">
      <c r="A259" s="21" t="s">
        <v>20</v>
      </c>
      <c r="B259" s="21">
        <v>230</v>
      </c>
      <c r="C259" s="19">
        <v>1.0608873564960405E-3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</row>
    <row r="260" spans="1:17">
      <c r="A260" s="21" t="s">
        <v>20</v>
      </c>
      <c r="B260" s="21">
        <v>234</v>
      </c>
      <c r="C260" s="19">
        <v>2.0050209721713529E-2</v>
      </c>
      <c r="D260" s="19">
        <v>8.3981337480559873E-2</v>
      </c>
      <c r="E260" s="19"/>
      <c r="F260" s="19"/>
      <c r="G260" s="19"/>
      <c r="H260" s="19">
        <v>0.38324062019173866</v>
      </c>
      <c r="I260" s="19">
        <v>0.44474078722588295</v>
      </c>
      <c r="J260" s="19">
        <v>0.82198105203619909</v>
      </c>
      <c r="K260" s="25">
        <v>1</v>
      </c>
      <c r="L260" s="19"/>
      <c r="M260" s="19"/>
      <c r="N260" s="19"/>
      <c r="O260" s="19"/>
      <c r="P260" s="19"/>
      <c r="Q260" s="19"/>
    </row>
    <row r="261" spans="1:17">
      <c r="A261" t="s">
        <v>21</v>
      </c>
      <c r="B261">
        <v>228</v>
      </c>
      <c r="C261" s="19">
        <v>0.64525694356793772</v>
      </c>
      <c r="D261" s="19">
        <v>1.792889847088907E-3</v>
      </c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</row>
    <row r="262" spans="1:17">
      <c r="A262" s="21" t="s">
        <v>21</v>
      </c>
      <c r="B262" s="21">
        <v>229</v>
      </c>
      <c r="C262" s="19">
        <v>2.0834277134162806E-3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</row>
    <row r="263" spans="1:17">
      <c r="A263" s="21" t="s">
        <v>21</v>
      </c>
      <c r="B263" s="21">
        <v>230</v>
      </c>
      <c r="C263" s="19">
        <v>1.2621695798719561E-2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</row>
    <row r="264" spans="1:17">
      <c r="A264" s="21" t="s">
        <v>21</v>
      </c>
      <c r="B264" s="21">
        <v>242</v>
      </c>
      <c r="C264" s="19">
        <v>1.0981602121995348E-3</v>
      </c>
      <c r="D264" s="19">
        <v>1.3155329253014855E-3</v>
      </c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</row>
    <row r="265" spans="1:17">
      <c r="A265" s="21" t="s">
        <v>21</v>
      </c>
      <c r="B265" s="21">
        <v>243</v>
      </c>
      <c r="C265" s="19">
        <v>2.1083803941699873E-2</v>
      </c>
      <c r="D265" s="19">
        <v>8.733614667631838E-2</v>
      </c>
      <c r="E265" s="19">
        <v>5.8902999189408278E-2</v>
      </c>
      <c r="F265" s="19">
        <v>4.2942625835973247E-2</v>
      </c>
      <c r="G265" s="19">
        <v>1.2755102040816327E-2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spans="1:17">
      <c r="A266" s="21" t="s">
        <v>21</v>
      </c>
      <c r="B266" s="21">
        <v>244</v>
      </c>
      <c r="C266" s="19">
        <v>1.0429251518903591E-2</v>
      </c>
      <c r="D266" s="19">
        <v>2.4540179782029412E-2</v>
      </c>
      <c r="E266" s="19">
        <v>1.215887597946501E-2</v>
      </c>
      <c r="F266" s="19">
        <v>2.0063357972544878E-2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</row>
    <row r="267" spans="1:17">
      <c r="A267" s="21" t="s">
        <v>21</v>
      </c>
      <c r="B267" s="21">
        <v>246</v>
      </c>
      <c r="C267" s="19">
        <v>3.4764171729678639E-3</v>
      </c>
      <c r="D267" s="19">
        <v>3.3616684632917004E-4</v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</row>
    <row r="268" spans="1:17">
      <c r="A268" s="21" t="s">
        <v>21</v>
      </c>
      <c r="B268" s="21">
        <v>247</v>
      </c>
      <c r="C268" s="19">
        <v>3.1130286183022331E-3</v>
      </c>
      <c r="D268" s="19">
        <v>1.4567230007597369E-3</v>
      </c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</row>
    <row r="269" spans="1:17">
      <c r="A269" t="s">
        <v>21</v>
      </c>
      <c r="B269">
        <v>248</v>
      </c>
      <c r="C269" s="19">
        <v>1.7430537672128071E-2</v>
      </c>
      <c r="D269" s="19">
        <v>4.168468894481709E-2</v>
      </c>
      <c r="E269" s="19">
        <v>2.0534990543096463E-2</v>
      </c>
      <c r="F269" s="19">
        <v>1.3727560718057023E-2</v>
      </c>
      <c r="G269" s="19">
        <v>5.1020408163265311E-3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spans="1:17">
      <c r="A270" s="21" t="s">
        <v>21</v>
      </c>
      <c r="B270" s="21">
        <v>249</v>
      </c>
      <c r="C270" s="19">
        <v>6.3556658211018746E-2</v>
      </c>
      <c r="D270" s="19">
        <v>0.1231491213719193</v>
      </c>
      <c r="E270" s="19">
        <v>6.4306944069170494E-2</v>
      </c>
      <c r="F270" s="19">
        <v>5.878211897219289E-2</v>
      </c>
      <c r="G270" s="19">
        <v>9.311224489795919E-2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</row>
    <row r="271" spans="1:17">
      <c r="A271" s="21" t="s">
        <v>21</v>
      </c>
      <c r="B271" s="21">
        <v>250</v>
      </c>
      <c r="C271" s="19">
        <v>0.1388144278822708</v>
      </c>
      <c r="D271" s="19">
        <v>0.40340021559500405</v>
      </c>
      <c r="E271" s="19">
        <v>0.42691164550121591</v>
      </c>
      <c r="F271" s="19">
        <v>0.47166490672298489</v>
      </c>
      <c r="G271" s="19">
        <v>0.51403061224489799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</row>
    <row r="272" spans="1:17">
      <c r="A272" s="21" t="s">
        <v>21</v>
      </c>
      <c r="B272" s="21">
        <v>252</v>
      </c>
      <c r="C272" s="19">
        <v>2.0216516591231238E-2</v>
      </c>
      <c r="D272" s="19">
        <v>3.8435076096968446E-2</v>
      </c>
      <c r="E272" s="19">
        <v>8.1059173196433403E-3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</row>
    <row r="273" spans="1:17">
      <c r="A273" s="21" t="s">
        <v>21</v>
      </c>
      <c r="B273" s="21">
        <v>253</v>
      </c>
      <c r="C273" s="19">
        <v>1.1325609953745479E-2</v>
      </c>
      <c r="D273" s="19">
        <v>4.3589634407349052E-2</v>
      </c>
      <c r="E273" s="19">
        <v>6.9440691704944615E-2</v>
      </c>
      <c r="F273" s="19">
        <v>1.9359380499824008E-2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spans="1:17">
      <c r="A274" s="21" t="s">
        <v>21</v>
      </c>
      <c r="B274" s="21">
        <v>300</v>
      </c>
      <c r="C274" s="19">
        <v>8.4548403718870003E-3</v>
      </c>
      <c r="D274" s="19">
        <v>4.8183914640514372E-2</v>
      </c>
      <c r="E274" s="19">
        <v>0.10672791137530398</v>
      </c>
      <c r="F274" s="19">
        <v>0.1872580077437522</v>
      </c>
      <c r="G274" s="19">
        <v>0.32015306122448978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</row>
    <row r="275" spans="1:17">
      <c r="A275" s="21" t="s">
        <v>21</v>
      </c>
      <c r="B275" s="21">
        <v>301</v>
      </c>
      <c r="C275" s="19">
        <v>5.8990075374053992E-3</v>
      </c>
      <c r="D275" s="19">
        <v>1.9721788317977978E-2</v>
      </c>
      <c r="E275" s="19">
        <v>2.2426371251013238E-2</v>
      </c>
      <c r="F275" s="19">
        <v>4.3646603308694118E-2</v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</row>
    <row r="276" spans="1:17">
      <c r="A276" s="21" t="s">
        <v>21</v>
      </c>
      <c r="B276" s="21">
        <v>308</v>
      </c>
      <c r="C276" s="19">
        <v>3.5139673236166458E-2</v>
      </c>
      <c r="D276" s="19">
        <v>0.1650579215476225</v>
      </c>
      <c r="E276" s="19">
        <v>0.21048365306673872</v>
      </c>
      <c r="F276" s="19">
        <v>0.14255543822597677</v>
      </c>
      <c r="G276" s="19">
        <v>5.4846938775510203E-2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spans="1:17">
      <c r="A277" s="21" t="s">
        <v>22</v>
      </c>
      <c r="B277" s="21">
        <v>73</v>
      </c>
      <c r="C277" s="19">
        <v>2.5379077595736869E-2</v>
      </c>
      <c r="D277" s="19">
        <v>1.4387957831109296E-2</v>
      </c>
      <c r="E277" s="19">
        <v>1.9117401454770287E-3</v>
      </c>
      <c r="F277" s="19">
        <v>5.5260104752771376E-4</v>
      </c>
      <c r="G277" s="19">
        <v>1.5855126172419722E-3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</row>
    <row r="278" spans="1:17">
      <c r="A278" s="21" t="s">
        <v>22</v>
      </c>
      <c r="B278" s="21">
        <v>74</v>
      </c>
      <c r="C278" s="19">
        <v>0.21823044364438623</v>
      </c>
      <c r="D278" s="19">
        <v>0.33203095225263551</v>
      </c>
      <c r="E278" s="19">
        <v>0.51214026060784801</v>
      </c>
      <c r="F278" s="19">
        <v>0.89295768980571766</v>
      </c>
      <c r="G278" s="19">
        <v>0.8560621979407439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 spans="1:17">
      <c r="A279" s="21" t="s">
        <v>22</v>
      </c>
      <c r="B279" s="21">
        <v>75</v>
      </c>
      <c r="C279" s="19">
        <v>3.755737687673638E-3</v>
      </c>
      <c r="D279" s="19">
        <v>1.9311340506341888E-3</v>
      </c>
      <c r="E279" s="19">
        <v>8.2202457308615717E-4</v>
      </c>
      <c r="F279" s="19">
        <v>8.6645698228859989E-4</v>
      </c>
      <c r="G279" s="19">
        <v>7.7683750724305458E-4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 spans="1:17">
      <c r="A280" s="21" t="s">
        <v>22</v>
      </c>
      <c r="B280" s="21">
        <v>76</v>
      </c>
      <c r="C280" s="19">
        <v>3.645804166443973E-4</v>
      </c>
      <c r="D280" s="19">
        <v>1.3226357295871252E-4</v>
      </c>
      <c r="E280" s="19">
        <v>6.3961566205551147E-5</v>
      </c>
      <c r="F280" s="19">
        <v>3.2190352283167795E-5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spans="1:17">
      <c r="A281" t="s">
        <v>22</v>
      </c>
      <c r="B281">
        <v>77</v>
      </c>
      <c r="C281" s="19">
        <v>1.7608820657141004E-4</v>
      </c>
      <c r="D281" s="19">
        <v>2.1643130120516593E-4</v>
      </c>
      <c r="E281" s="19">
        <v>3.5889545482003696E-4</v>
      </c>
      <c r="F281" s="19">
        <v>7.5915580801137381E-4</v>
      </c>
      <c r="G281" s="19">
        <v>3.0564098645628377E-4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</row>
    <row r="282" spans="1:17">
      <c r="A282" s="21" t="s">
        <v>22</v>
      </c>
      <c r="B282" s="21">
        <v>78</v>
      </c>
      <c r="C282" s="19">
        <v>1.9926666801651418E-3</v>
      </c>
      <c r="D282" s="19">
        <v>1.2715338945803497E-3</v>
      </c>
      <c r="E282" s="19">
        <v>1.8560698934092341E-3</v>
      </c>
      <c r="F282" s="19">
        <v>3.7394459235613252E-3</v>
      </c>
      <c r="G282" s="19">
        <v>1.1155896005654357E-2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</row>
    <row r="283" spans="1:17">
      <c r="A283" s="21" t="s">
        <v>22</v>
      </c>
      <c r="B283" s="21">
        <v>79</v>
      </c>
      <c r="C283" s="19">
        <v>7.4504282208591203E-3</v>
      </c>
      <c r="D283" s="19">
        <v>7.8902950959200777E-3</v>
      </c>
      <c r="E283" s="19">
        <v>9.6653033377277278E-3</v>
      </c>
      <c r="F283" s="19">
        <v>1.301026738111365E-2</v>
      </c>
      <c r="G283" s="19">
        <v>9.9333320598292228E-3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spans="1:17">
      <c r="A284" t="s">
        <v>22</v>
      </c>
      <c r="B284">
        <v>80</v>
      </c>
      <c r="C284" s="19">
        <v>1.6203033593628919E-3</v>
      </c>
      <c r="D284" s="19">
        <v>1.2736810305050044E-3</v>
      </c>
      <c r="E284" s="19">
        <v>1.809875428927447E-3</v>
      </c>
      <c r="F284" s="19">
        <v>3.0258931146177723E-3</v>
      </c>
      <c r="G284" s="19">
        <v>6.0618795647162946E-3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 spans="1:17">
      <c r="A285" s="21" t="s">
        <v>22</v>
      </c>
      <c r="B285" s="21">
        <v>81</v>
      </c>
      <c r="C285" s="19">
        <v>2.5301734985668212E-3</v>
      </c>
      <c r="D285" s="19">
        <v>1.5377787492374985E-3</v>
      </c>
      <c r="E285" s="19">
        <v>1.6689230885855845E-3</v>
      </c>
      <c r="F285" s="19">
        <v>2.9802901155499511E-3</v>
      </c>
      <c r="G285" s="19">
        <v>6.9788025240851469E-3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</row>
    <row r="286" spans="1:17">
      <c r="A286" s="21" t="s">
        <v>22</v>
      </c>
      <c r="B286" s="21">
        <v>82</v>
      </c>
      <c r="C286" s="19">
        <v>3.1177827624846756E-3</v>
      </c>
      <c r="D286" s="19">
        <v>9.5118121462190971E-4</v>
      </c>
      <c r="E286" s="19">
        <v>1.3112121072137984E-3</v>
      </c>
      <c r="F286" s="19">
        <v>1.9019133140638304E-3</v>
      </c>
      <c r="G286" s="19">
        <v>1.6555553433048706E-3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</row>
    <row r="287" spans="1:17">
      <c r="A287" s="21" t="s">
        <v>22</v>
      </c>
      <c r="B287" s="21">
        <v>83</v>
      </c>
      <c r="C287" s="19">
        <v>7.8643814357548941E-3</v>
      </c>
      <c r="D287" s="19">
        <v>3.5384800038304909E-4</v>
      </c>
      <c r="E287" s="19">
        <v>3.3639045930326897E-4</v>
      </c>
      <c r="F287" s="19">
        <v>6.0356910530939606E-4</v>
      </c>
      <c r="G287" s="19">
        <v>5.9854693181022234E-4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spans="1:17">
      <c r="A288" s="21" t="s">
        <v>22</v>
      </c>
      <c r="B288" s="21">
        <v>84</v>
      </c>
      <c r="C288" s="19">
        <v>6.350606577052607E-3</v>
      </c>
      <c r="D288" s="19">
        <v>1.2972995256762029E-3</v>
      </c>
      <c r="E288" s="19">
        <v>1.0435211079090844E-3</v>
      </c>
      <c r="F288" s="19">
        <v>1.2366460335450295E-3</v>
      </c>
      <c r="G288" s="19">
        <v>1.0824784936993384E-3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</row>
    <row r="289" spans="1:17">
      <c r="A289" s="21" t="s">
        <v>22</v>
      </c>
      <c r="B289" s="21">
        <v>85</v>
      </c>
      <c r="C289" s="19">
        <v>0.1934764305388269</v>
      </c>
      <c r="D289" s="19">
        <v>7.63714777040332E-2</v>
      </c>
      <c r="E289" s="19">
        <v>8.4488491063740047E-3</v>
      </c>
      <c r="F289" s="19">
        <v>4.8017275489058625E-4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</row>
    <row r="290" spans="1:17">
      <c r="A290" s="21" t="s">
        <v>22</v>
      </c>
      <c r="B290" s="21">
        <v>86</v>
      </c>
      <c r="C290" s="19">
        <v>0.18799787405108617</v>
      </c>
      <c r="D290" s="19">
        <v>5.6628348163243317E-2</v>
      </c>
      <c r="E290" s="19">
        <v>1.1844734482509471E-5</v>
      </c>
      <c r="F290" s="19">
        <v>6.7063233923266242E-6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</row>
    <row r="291" spans="1:17">
      <c r="A291" s="21" t="s">
        <v>22</v>
      </c>
      <c r="B291" s="21">
        <v>87</v>
      </c>
      <c r="C291" s="19">
        <v>9.703755305979711E-2</v>
      </c>
      <c r="D291" s="19">
        <v>0.1335248006008545</v>
      </c>
      <c r="E291" s="19">
        <v>7.0251120215763675E-3</v>
      </c>
      <c r="F291" s="19">
        <v>8.5465385311810482E-3</v>
      </c>
      <c r="G291" s="19">
        <v>1.1015810553528562E-2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</row>
    <row r="292" spans="1:17">
      <c r="A292" s="21" t="s">
        <v>22</v>
      </c>
      <c r="B292" s="21">
        <v>95</v>
      </c>
      <c r="C292" s="19">
        <v>3.6477985356344222E-2</v>
      </c>
      <c r="D292" s="19">
        <v>0.14685078500362975</v>
      </c>
      <c r="E292" s="19">
        <v>0.20761213706252951</v>
      </c>
      <c r="F292" s="19">
        <v>5.9989404009040112E-2</v>
      </c>
      <c r="G292" s="19">
        <v>9.2774774430584461E-2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</row>
    <row r="293" spans="1:17">
      <c r="A293" s="21" t="s">
        <v>22</v>
      </c>
      <c r="B293" s="21">
        <v>105</v>
      </c>
      <c r="C293" s="19">
        <v>1.5340347310881968E-2</v>
      </c>
      <c r="D293" s="19">
        <v>7.525496702321291E-2</v>
      </c>
      <c r="E293" s="19">
        <v>0.1997259128440747</v>
      </c>
      <c r="F293" s="19">
        <v>7.8168905460959132E-3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</row>
    <row r="294" spans="1:17">
      <c r="A294" t="s">
        <v>22</v>
      </c>
      <c r="B294">
        <v>107</v>
      </c>
      <c r="C294" s="19">
        <v>1.6663441017716871E-2</v>
      </c>
      <c r="D294" s="19">
        <v>3.7531935962959333E-2</v>
      </c>
      <c r="E294" s="19">
        <v>3.6115779910619629E-2</v>
      </c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spans="1:17">
      <c r="A295" s="21" t="s">
        <v>22</v>
      </c>
      <c r="B295" s="21">
        <v>114</v>
      </c>
      <c r="C295" s="19">
        <v>0.1741740985800882</v>
      </c>
      <c r="D295" s="19">
        <v>0.11056332902260012</v>
      </c>
      <c r="E295" s="19">
        <v>8.0721865498302042E-3</v>
      </c>
      <c r="F295" s="19">
        <v>1.4941688518103717E-3</v>
      </c>
      <c r="G295" s="19">
        <v>1.2735041102345158E-5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</row>
    <row r="296" spans="1:17">
      <c r="A296" s="21" t="s">
        <v>23</v>
      </c>
      <c r="B296" s="21">
        <v>40</v>
      </c>
      <c r="C296" s="25">
        <v>1</v>
      </c>
      <c r="D296" s="25">
        <v>1</v>
      </c>
      <c r="E296" s="25">
        <v>1</v>
      </c>
      <c r="F296" s="25">
        <v>1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</row>
    <row r="297" spans="1:17">
      <c r="A297" s="21" t="s">
        <v>24</v>
      </c>
      <c r="B297" s="21">
        <v>261</v>
      </c>
      <c r="C297" s="19"/>
      <c r="D297" s="19"/>
      <c r="E297" s="19"/>
      <c r="F297" s="19"/>
      <c r="G297" s="19"/>
      <c r="H297" s="19">
        <v>3.4272431339384006E-2</v>
      </c>
      <c r="I297" s="19"/>
      <c r="J297" s="19"/>
      <c r="K297" s="19"/>
      <c r="L297" s="19"/>
      <c r="M297" s="19">
        <v>3.4101125903072842E-2</v>
      </c>
      <c r="N297" s="19">
        <v>1.7323562702263222E-3</v>
      </c>
      <c r="O297" s="19"/>
      <c r="P297" s="19"/>
      <c r="Q297" s="19"/>
    </row>
    <row r="298" spans="1:17">
      <c r="A298" s="21" t="s">
        <v>24</v>
      </c>
      <c r="B298" s="21">
        <v>264</v>
      </c>
      <c r="C298" s="19"/>
      <c r="D298" s="19"/>
      <c r="E298" s="19"/>
      <c r="F298" s="19"/>
      <c r="G298" s="19"/>
      <c r="H298" s="19">
        <v>0.11096727252110726</v>
      </c>
      <c r="I298" s="19"/>
      <c r="J298" s="19"/>
      <c r="K298" s="19"/>
      <c r="L298" s="19"/>
      <c r="M298" s="19">
        <v>4.1663433935914346E-2</v>
      </c>
      <c r="N298" s="19"/>
      <c r="O298" s="19"/>
      <c r="P298" s="19"/>
      <c r="Q298" s="19"/>
    </row>
    <row r="299" spans="1:17">
      <c r="A299" s="21" t="s">
        <v>24</v>
      </c>
      <c r="B299" s="21">
        <v>267</v>
      </c>
      <c r="C299" s="19"/>
      <c r="D299" s="19"/>
      <c r="E299" s="19"/>
      <c r="F299" s="19"/>
      <c r="G299" s="19"/>
      <c r="H299" s="19">
        <v>0.20230845188205443</v>
      </c>
      <c r="I299" s="19">
        <v>2.4474212338266243E-5</v>
      </c>
      <c r="J299" s="19"/>
      <c r="K299" s="19"/>
      <c r="L299" s="19"/>
      <c r="M299" s="19">
        <v>0.23986710053716576</v>
      </c>
      <c r="N299" s="19">
        <v>0.24269195410850078</v>
      </c>
      <c r="O299" s="19"/>
      <c r="P299" s="19"/>
      <c r="Q299" s="19"/>
    </row>
    <row r="300" spans="1:17">
      <c r="A300" t="s">
        <v>24</v>
      </c>
      <c r="B300">
        <v>268</v>
      </c>
      <c r="C300" s="19"/>
      <c r="D300" s="19"/>
      <c r="E300" s="19"/>
      <c r="F300" s="19"/>
      <c r="G300" s="19"/>
      <c r="H300" s="19">
        <v>4.7869902719966731E-2</v>
      </c>
      <c r="I300" s="19"/>
      <c r="J300" s="19"/>
      <c r="K300" s="19"/>
      <c r="L300" s="19"/>
      <c r="M300" s="19">
        <v>3.1079853774080039E-3</v>
      </c>
      <c r="N300" s="19"/>
      <c r="O300" s="19"/>
      <c r="P300" s="19"/>
      <c r="Q300" s="19"/>
    </row>
    <row r="301" spans="1:17">
      <c r="A301" s="21" t="s">
        <v>24</v>
      </c>
      <c r="B301" s="21">
        <v>269</v>
      </c>
      <c r="C301" s="19"/>
      <c r="D301" s="19"/>
      <c r="E301" s="19"/>
      <c r="F301" s="19"/>
      <c r="G301" s="19"/>
      <c r="H301" s="19">
        <v>9.3415289832134055E-2</v>
      </c>
      <c r="I301" s="19"/>
      <c r="J301" s="19"/>
      <c r="K301" s="19"/>
      <c r="L301" s="19"/>
      <c r="M301" s="19">
        <v>0.163281046765824</v>
      </c>
      <c r="N301" s="19">
        <v>0.17255012408134635</v>
      </c>
      <c r="O301" s="19"/>
      <c r="P301" s="19"/>
      <c r="Q301" s="19"/>
    </row>
    <row r="302" spans="1:17">
      <c r="A302" s="21" t="s">
        <v>24</v>
      </c>
      <c r="B302" s="21">
        <v>270</v>
      </c>
      <c r="C302" s="19"/>
      <c r="D302" s="19"/>
      <c r="E302" s="19"/>
      <c r="F302" s="19"/>
      <c r="G302" s="19"/>
      <c r="H302" s="19">
        <v>7.4389224074800253E-2</v>
      </c>
      <c r="I302" s="19">
        <v>0.14261123529507741</v>
      </c>
      <c r="J302" s="19"/>
      <c r="K302" s="19"/>
      <c r="L302" s="19"/>
      <c r="M302" s="19">
        <v>0.41415160214136082</v>
      </c>
      <c r="N302" s="19">
        <v>0.53858743882284799</v>
      </c>
      <c r="O302" s="19"/>
      <c r="P302" s="19"/>
      <c r="Q302" s="19"/>
    </row>
    <row r="303" spans="1:17">
      <c r="A303" s="21" t="s">
        <v>24</v>
      </c>
      <c r="B303" s="21">
        <v>271</v>
      </c>
      <c r="C303" s="19"/>
      <c r="D303" s="19"/>
      <c r="E303" s="19"/>
      <c r="F303" s="19"/>
      <c r="G303" s="19"/>
      <c r="H303" s="19">
        <v>4.8503002499326736E-2</v>
      </c>
      <c r="I303" s="19"/>
      <c r="J303" s="19"/>
      <c r="K303" s="19"/>
      <c r="L303" s="19"/>
      <c r="M303" s="19">
        <v>0.10280083792381099</v>
      </c>
      <c r="N303" s="19">
        <v>1.9396013454987964E-2</v>
      </c>
      <c r="O303" s="19"/>
      <c r="P303" s="19"/>
      <c r="Q303" s="19"/>
    </row>
    <row r="304" spans="1:17">
      <c r="A304" s="21" t="s">
        <v>24</v>
      </c>
      <c r="B304" s="21">
        <v>272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>
        <v>1.026867415443173E-3</v>
      </c>
      <c r="N304" s="19">
        <v>5.9782233251675233E-4</v>
      </c>
      <c r="O304" s="19"/>
      <c r="P304" s="19"/>
      <c r="Q304" s="19"/>
    </row>
    <row r="305" spans="1:17">
      <c r="A305" s="21" t="s">
        <v>24</v>
      </c>
      <c r="B305" s="21">
        <v>275</v>
      </c>
      <c r="C305" s="19"/>
      <c r="D305" s="19"/>
      <c r="E305" s="19"/>
      <c r="F305" s="19"/>
      <c r="G305" s="19"/>
      <c r="H305" s="19">
        <v>0.37294774092045146</v>
      </c>
      <c r="I305" s="19">
        <v>0.75428706619458619</v>
      </c>
      <c r="J305" s="25">
        <v>1</v>
      </c>
      <c r="K305" s="19"/>
      <c r="L305" s="19"/>
      <c r="M305" s="19"/>
      <c r="N305" s="19">
        <v>1.759723248114867E-2</v>
      </c>
      <c r="O305" s="19">
        <v>0.84593966661749531</v>
      </c>
      <c r="P305" s="19"/>
      <c r="Q305" s="19"/>
    </row>
    <row r="306" spans="1:17">
      <c r="A306" s="21" t="s">
        <v>24</v>
      </c>
      <c r="B306" s="21">
        <v>309</v>
      </c>
      <c r="C306" s="19"/>
      <c r="D306" s="19"/>
      <c r="E306" s="19"/>
      <c r="F306" s="19"/>
      <c r="G306" s="19"/>
      <c r="H306" s="19">
        <v>2.0552119703104547E-3</v>
      </c>
      <c r="I306" s="19">
        <v>2.0762290133629194E-2</v>
      </c>
      <c r="J306" s="19"/>
      <c r="K306" s="19"/>
      <c r="L306" s="19"/>
      <c r="M306" s="19"/>
      <c r="N306" s="19">
        <v>6.3502016654001694E-4</v>
      </c>
      <c r="O306" s="19"/>
      <c r="P306" s="19"/>
      <c r="Q306" s="19"/>
    </row>
    <row r="307" spans="1:17">
      <c r="A307" s="21" t="s">
        <v>24</v>
      </c>
      <c r="B307" s="21">
        <v>310</v>
      </c>
      <c r="C307" s="19"/>
      <c r="D307" s="19"/>
      <c r="E307" s="19"/>
      <c r="F307" s="19"/>
      <c r="G307" s="19"/>
      <c r="H307" s="19">
        <v>1.3271472240464524E-2</v>
      </c>
      <c r="I307" s="19">
        <v>8.2314934164368803E-2</v>
      </c>
      <c r="J307" s="19"/>
      <c r="K307" s="19"/>
      <c r="L307" s="19"/>
      <c r="M307" s="19"/>
      <c r="N307" s="19">
        <v>6.2120382818851858E-3</v>
      </c>
      <c r="O307" s="19">
        <v>0.1540603333825048</v>
      </c>
      <c r="P307" s="19"/>
      <c r="Q307" s="19"/>
    </row>
    <row r="308" spans="1:17">
      <c r="A308" s="21" t="s">
        <v>25</v>
      </c>
      <c r="B308" s="21">
        <v>135</v>
      </c>
      <c r="C308" s="19">
        <v>0.2018355437315571</v>
      </c>
      <c r="D308" s="19">
        <v>0.71500932365216685</v>
      </c>
      <c r="E308" s="19">
        <v>0.36742767265621273</v>
      </c>
      <c r="F308" s="25">
        <v>0.97311320754717001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</row>
    <row r="309" spans="1:17">
      <c r="A309" t="s">
        <v>25</v>
      </c>
      <c r="B309">
        <v>136</v>
      </c>
      <c r="C309" s="19">
        <v>0.26658937424495488</v>
      </c>
      <c r="D309" s="19">
        <v>0.21550863180619309</v>
      </c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</row>
    <row r="310" spans="1:17">
      <c r="A310" s="21" t="s">
        <v>25</v>
      </c>
      <c r="B310" s="21">
        <v>137</v>
      </c>
      <c r="C310" s="19">
        <v>0.19866380382138132</v>
      </c>
      <c r="D310" s="19">
        <v>1.8764079534082018E-2</v>
      </c>
      <c r="E310" s="19">
        <v>0.46589771698203136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</row>
    <row r="311" spans="1:17">
      <c r="A311" t="s">
        <v>25</v>
      </c>
      <c r="B311">
        <v>138</v>
      </c>
      <c r="C311" s="19">
        <v>0.10547664943678306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 spans="1:17">
      <c r="A312" s="21" t="s">
        <v>25</v>
      </c>
      <c r="B312" s="21">
        <v>139</v>
      </c>
      <c r="C312" s="19">
        <v>8.3770131787704954E-2</v>
      </c>
      <c r="D312" s="19">
        <v>2.5307728550020232E-2</v>
      </c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 spans="1:17">
      <c r="A313" s="21" t="s">
        <v>25</v>
      </c>
      <c r="B313" s="21">
        <v>140</v>
      </c>
      <c r="C313" s="19">
        <v>5.1748569127481332E-2</v>
      </c>
      <c r="D313" s="19">
        <v>4.3018476944384773E-3</v>
      </c>
      <c r="E313" s="19">
        <v>0.14298651160573853</v>
      </c>
      <c r="F313" s="19">
        <v>3.7735849056603783E-3</v>
      </c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</row>
    <row r="314" spans="1:17">
      <c r="A314" s="21" t="s">
        <v>25</v>
      </c>
      <c r="B314" s="21">
        <v>141</v>
      </c>
      <c r="C314" s="19">
        <v>8.0909652035568824E-2</v>
      </c>
      <c r="D314" s="19">
        <v>2.0777839607944215E-2</v>
      </c>
      <c r="E314" s="19">
        <v>7.0063390686811869E-3</v>
      </c>
      <c r="F314" s="19">
        <v>2.3113207547169817E-2</v>
      </c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</row>
    <row r="315" spans="1:17">
      <c r="A315" t="s">
        <v>25</v>
      </c>
      <c r="B315">
        <v>142</v>
      </c>
      <c r="C315" s="19">
        <v>5.1490505960043401E-3</v>
      </c>
      <c r="D315" s="19">
        <v>3.3054915515497055E-4</v>
      </c>
      <c r="E315" s="19">
        <v>1.6681759687336158E-2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</row>
    <row r="316" spans="1:17">
      <c r="A316" s="21" t="s">
        <v>25</v>
      </c>
      <c r="B316" s="21">
        <v>143</v>
      </c>
      <c r="C316" s="19">
        <v>1.0994228099013518E-3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</row>
    <row r="317" spans="1:17">
      <c r="A317" s="21" t="s">
        <v>25</v>
      </c>
      <c r="B317" s="21">
        <v>144</v>
      </c>
      <c r="C317" s="19">
        <v>4.7578024086629127E-3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</row>
    <row r="318" spans="1:17">
      <c r="A318" t="s">
        <v>26</v>
      </c>
      <c r="B318">
        <v>93</v>
      </c>
      <c r="C318" s="19">
        <v>5.5545044814654256E-2</v>
      </c>
      <c r="D318" s="19">
        <v>5.007409307892547E-2</v>
      </c>
      <c r="E318" s="19">
        <v>5.6834608182994732E-2</v>
      </c>
      <c r="F318" s="19">
        <v>0.16491137939892112</v>
      </c>
      <c r="G318" s="19">
        <v>0.1744186046511628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</row>
    <row r="319" spans="1:17">
      <c r="A319" s="21" t="s">
        <v>26</v>
      </c>
      <c r="B319" s="21">
        <v>148</v>
      </c>
      <c r="C319" s="19">
        <v>0.2455275969847581</v>
      </c>
      <c r="D319" s="19">
        <v>2.8140925941929532E-2</v>
      </c>
      <c r="E319" s="19">
        <v>5.3492349551078192E-2</v>
      </c>
      <c r="F319" s="19">
        <v>0.83329052144875415</v>
      </c>
      <c r="G319" s="19">
        <v>0.82558139534883723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</row>
    <row r="320" spans="1:17">
      <c r="A320" s="21" t="s">
        <v>26</v>
      </c>
      <c r="B320" s="21">
        <v>149</v>
      </c>
      <c r="C320" s="19">
        <v>0.12205546835226949</v>
      </c>
      <c r="D320" s="19">
        <v>7.416872657585194E-2</v>
      </c>
      <c r="E320" s="19">
        <v>1.7832584454849788E-4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</row>
    <row r="321" spans="1:17">
      <c r="A321" t="s">
        <v>26</v>
      </c>
      <c r="B321">
        <v>150</v>
      </c>
      <c r="C321" s="19">
        <v>1.5069919600280661E-2</v>
      </c>
      <c r="D321" s="19">
        <v>0.57712228993516568</v>
      </c>
      <c r="E321" s="19">
        <v>1.1447978838666446E-2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</row>
    <row r="322" spans="1:17">
      <c r="A322" s="21" t="s">
        <v>26</v>
      </c>
      <c r="B322" s="21">
        <v>152</v>
      </c>
      <c r="C322" s="19">
        <v>4.7264291393711549E-2</v>
      </c>
      <c r="D322" s="19">
        <v>9.0413386255678768E-2</v>
      </c>
      <c r="E322" s="19">
        <v>0.38426517593465703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</row>
    <row r="323" spans="1:17">
      <c r="A323" s="21" t="s">
        <v>26</v>
      </c>
      <c r="B323" s="21">
        <v>153</v>
      </c>
      <c r="C323" s="19">
        <v>0.17158494855281992</v>
      </c>
      <c r="D323" s="19">
        <v>9.0835691100041679E-2</v>
      </c>
      <c r="E323" s="19">
        <v>0.4015006390009429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</row>
    <row r="324" spans="1:17">
      <c r="A324" s="21" t="s">
        <v>26</v>
      </c>
      <c r="B324" s="21">
        <v>154</v>
      </c>
      <c r="C324" s="19">
        <v>0.17091954416820229</v>
      </c>
      <c r="D324" s="19">
        <v>4.9747755480354004E-2</v>
      </c>
      <c r="E324" s="19">
        <v>7.9522519041687709E-2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</row>
    <row r="325" spans="1:17">
      <c r="A325" t="s">
        <v>26</v>
      </c>
      <c r="B325">
        <v>155</v>
      </c>
      <c r="C325" s="19">
        <v>7.3402269448277685E-2</v>
      </c>
      <c r="D325" s="19">
        <v>1.9428470984719417E-3</v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</row>
    <row r="326" spans="1:17">
      <c r="A326" s="21" t="s">
        <v>26</v>
      </c>
      <c r="B326" s="21">
        <v>156</v>
      </c>
      <c r="C326" s="19">
        <v>7.4825661016633058E-2</v>
      </c>
      <c r="D326" s="19">
        <v>1.0506454898944287E-2</v>
      </c>
      <c r="E326" s="19">
        <v>4.5392033157799459E-3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</row>
    <row r="327" spans="1:17">
      <c r="A327" s="21" t="s">
        <v>26</v>
      </c>
      <c r="B327" s="21">
        <v>157</v>
      </c>
      <c r="C327" s="19">
        <v>1.166355675637322E-2</v>
      </c>
      <c r="D327" s="19">
        <v>7.8291645928846645E-4</v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</row>
    <row r="328" spans="1:17">
      <c r="A328" s="21" t="s">
        <v>26</v>
      </c>
      <c r="B328" s="21">
        <v>158</v>
      </c>
      <c r="C328" s="19">
        <v>7.025037136571822E-3</v>
      </c>
      <c r="D328" s="19">
        <v>2.0784742774731334E-4</v>
      </c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</row>
    <row r="329" spans="1:17">
      <c r="A329" s="21" t="s">
        <v>26</v>
      </c>
      <c r="B329" s="21">
        <v>159</v>
      </c>
      <c r="C329" s="19">
        <v>1.7413069965615806E-4</v>
      </c>
      <c r="D329" s="19">
        <v>9.0581328935813817E-6</v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</row>
    <row r="330" spans="1:17">
      <c r="A330" t="s">
        <v>26</v>
      </c>
      <c r="B330">
        <v>160</v>
      </c>
      <c r="C330" s="19">
        <v>5.2768885028881365E-4</v>
      </c>
      <c r="D330" s="19">
        <v>8.1768010444761654E-5</v>
      </c>
      <c r="E330" s="19">
        <v>1.4049915025033166E-4</v>
      </c>
      <c r="F330" s="19">
        <v>1.7980991523246853E-3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</row>
    <row r="331" spans="1:17">
      <c r="A331" s="21" t="s">
        <v>26</v>
      </c>
      <c r="B331" s="21">
        <v>165</v>
      </c>
      <c r="C331" s="19">
        <v>4.4148422255028972E-3</v>
      </c>
      <c r="D331" s="19">
        <v>2.5966239604262413E-2</v>
      </c>
      <c r="E331" s="19">
        <v>8.0787011393940698E-3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</row>
    <row r="332" spans="1:17">
      <c r="A332" s="21" t="s">
        <v>27</v>
      </c>
      <c r="B332" s="21">
        <v>241</v>
      </c>
      <c r="C332" s="19">
        <v>4.6529463487890527E-2</v>
      </c>
      <c r="D332" s="19">
        <v>9.8374490508151315E-3</v>
      </c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</row>
    <row r="333" spans="1:17">
      <c r="A333" s="21" t="s">
        <v>27</v>
      </c>
      <c r="B333" s="21">
        <v>281</v>
      </c>
      <c r="C333" s="19">
        <v>0.44075644265771557</v>
      </c>
      <c r="D333" s="19">
        <v>9.3186525771831369E-2</v>
      </c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</row>
    <row r="334" spans="1:17">
      <c r="A334" t="s">
        <v>27</v>
      </c>
      <c r="B334">
        <v>282</v>
      </c>
      <c r="C334" s="19">
        <v>1.8620346473994832E-2</v>
      </c>
      <c r="D334" s="19">
        <v>5.9761145470033458E-2</v>
      </c>
      <c r="E334" s="19">
        <v>2.0190229298847062E-2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 spans="1:17">
      <c r="A335" s="21" t="s">
        <v>27</v>
      </c>
      <c r="B335" s="21">
        <v>283</v>
      </c>
      <c r="C335" s="19"/>
      <c r="D335" s="19">
        <v>0.29112559377082231</v>
      </c>
      <c r="E335" s="19">
        <v>0.10529261655503061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 spans="1:17">
      <c r="A336" s="21" t="s">
        <v>27</v>
      </c>
      <c r="B336" s="21">
        <v>284</v>
      </c>
      <c r="C336" s="19">
        <v>0.13025859808766901</v>
      </c>
      <c r="D336" s="19">
        <v>0.21649062353996579</v>
      </c>
      <c r="E336" s="19">
        <v>7.5266877050598938E-2</v>
      </c>
      <c r="F336" s="19">
        <v>0.11435450286309214</v>
      </c>
      <c r="G336" s="19">
        <v>2.5057218440686025E-2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</row>
    <row r="337" spans="1:17">
      <c r="A337" s="21" t="s">
        <v>27</v>
      </c>
      <c r="B337" s="21">
        <v>285</v>
      </c>
      <c r="C337" s="19">
        <v>0.10438689893349171</v>
      </c>
      <c r="D337" s="19">
        <v>0.16714952673679734</v>
      </c>
      <c r="E337" s="19">
        <v>0.55916219570124504</v>
      </c>
      <c r="F337" s="19">
        <v>0.22453149401353462</v>
      </c>
      <c r="G337" s="19">
        <v>6.5392503641173494E-2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</row>
    <row r="338" spans="1:17">
      <c r="A338" t="s">
        <v>27</v>
      </c>
      <c r="B338">
        <v>288</v>
      </c>
      <c r="C338" s="19">
        <v>0.2594482503592383</v>
      </c>
      <c r="D338" s="19">
        <v>0.16244913565973468</v>
      </c>
      <c r="E338" s="19">
        <v>0.24008808139427837</v>
      </c>
      <c r="F338" s="19">
        <v>0.66111400312337321</v>
      </c>
      <c r="G338" s="25">
        <v>0.90955027791814047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</row>
    <row r="339" spans="1:17">
      <c r="A339" s="21" t="s">
        <v>28</v>
      </c>
      <c r="B339" s="21">
        <v>241</v>
      </c>
      <c r="C339" s="19">
        <v>0.60608521003375926</v>
      </c>
      <c r="D339" s="19">
        <v>0.61423240120648226</v>
      </c>
      <c r="E339" s="19">
        <v>0.87179487179487181</v>
      </c>
      <c r="F339" s="25">
        <v>1</v>
      </c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</row>
    <row r="340" spans="1:17">
      <c r="A340" s="21" t="s">
        <v>28</v>
      </c>
      <c r="B340" s="21">
        <v>242</v>
      </c>
      <c r="C340" s="19">
        <v>0.39391478996624074</v>
      </c>
      <c r="D340" s="19">
        <v>0.38576759879351769</v>
      </c>
      <c r="E340" s="19">
        <v>0.12820512820512822</v>
      </c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</row>
    <row r="341" spans="1:17">
      <c r="A341" s="21" t="s">
        <v>29</v>
      </c>
      <c r="B341" s="21">
        <v>333</v>
      </c>
      <c r="C341" s="19">
        <v>0.45165880630996913</v>
      </c>
      <c r="D341" s="19">
        <v>0.32211538461538458</v>
      </c>
      <c r="E341" s="19">
        <v>1.4388489208633092E-3</v>
      </c>
      <c r="F341" s="19"/>
      <c r="G341" s="19"/>
      <c r="H341" s="19">
        <v>0.41994299416368819</v>
      </c>
      <c r="I341" s="19">
        <v>0.52481609088369496</v>
      </c>
      <c r="J341" s="19">
        <v>0.63404565322972317</v>
      </c>
      <c r="K341" s="19"/>
      <c r="L341" s="19"/>
      <c r="M341" s="19">
        <v>0.40160642570281124</v>
      </c>
      <c r="N341" s="19">
        <v>0.36134208219323649</v>
      </c>
      <c r="O341" s="19">
        <v>0.35546285790562643</v>
      </c>
      <c r="P341" s="19">
        <v>0.61492126323035878</v>
      </c>
      <c r="Q341" s="19"/>
    </row>
    <row r="342" spans="1:17">
      <c r="A342" t="s">
        <v>29</v>
      </c>
      <c r="B342">
        <v>334</v>
      </c>
      <c r="C342" s="19">
        <v>4.7456903561554728E-2</v>
      </c>
      <c r="D342" s="19">
        <v>7.94314381270903E-3</v>
      </c>
      <c r="E342" s="19"/>
      <c r="F342" s="19"/>
      <c r="G342" s="19"/>
      <c r="H342" s="19">
        <v>0.31516083789530835</v>
      </c>
      <c r="I342" s="19">
        <v>0.14978117143123199</v>
      </c>
      <c r="J342" s="19"/>
      <c r="K342" s="19"/>
      <c r="L342" s="19"/>
      <c r="M342" s="19">
        <v>3.1325301204819279E-2</v>
      </c>
      <c r="N342" s="19">
        <v>0.4209281938208963</v>
      </c>
      <c r="O342" s="19">
        <v>0.45511579790429152</v>
      </c>
      <c r="P342" s="19">
        <v>0.38507873676964116</v>
      </c>
      <c r="Q342" s="19"/>
    </row>
    <row r="343" spans="1:17">
      <c r="A343" s="21" t="s">
        <v>29</v>
      </c>
      <c r="B343" s="21">
        <v>335</v>
      </c>
      <c r="C343" s="19">
        <v>6.9991055456171736E-2</v>
      </c>
      <c r="D343" s="19">
        <v>5.9573578595317721E-2</v>
      </c>
      <c r="E343" s="19">
        <v>3.7889688249400477E-2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</row>
    <row r="344" spans="1:17">
      <c r="A344" s="21" t="s">
        <v>29</v>
      </c>
      <c r="B344" s="21">
        <v>336</v>
      </c>
      <c r="C344" s="19">
        <v>0.13403602211741747</v>
      </c>
      <c r="D344" s="19">
        <v>0.14747073578595316</v>
      </c>
      <c r="E344" s="19">
        <v>0.11175059952038369</v>
      </c>
      <c r="F344" s="19"/>
      <c r="G344" s="19"/>
      <c r="H344" s="19">
        <v>0.26489616794100351</v>
      </c>
      <c r="I344" s="19">
        <v>0.32540273768507316</v>
      </c>
      <c r="J344" s="19">
        <v>0.36595434677027683</v>
      </c>
      <c r="K344" s="19"/>
      <c r="L344" s="19"/>
      <c r="M344" s="19">
        <v>0.56706827309236951</v>
      </c>
      <c r="N344" s="19">
        <v>0.21772972398586721</v>
      </c>
      <c r="O344" s="19">
        <v>0.18942134419008211</v>
      </c>
      <c r="P344" s="19"/>
      <c r="Q344" s="19"/>
    </row>
    <row r="345" spans="1:17">
      <c r="A345" s="21" t="s">
        <v>29</v>
      </c>
      <c r="B345" s="21">
        <v>337</v>
      </c>
      <c r="C345" s="19">
        <v>6.0985526101805174E-2</v>
      </c>
      <c r="D345" s="19">
        <v>3.334030100334448E-2</v>
      </c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</row>
    <row r="346" spans="1:17">
      <c r="A346" t="s">
        <v>29</v>
      </c>
      <c r="B346">
        <v>338</v>
      </c>
      <c r="C346" s="19">
        <v>0.17589242153195644</v>
      </c>
      <c r="D346" s="19">
        <v>0.25877926421404684</v>
      </c>
      <c r="E346" s="19">
        <v>0.4532374100719424</v>
      </c>
      <c r="F346" s="19">
        <v>0.45117845117845123</v>
      </c>
      <c r="G346" s="19">
        <v>0.53254437869822491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</row>
    <row r="347" spans="1:17">
      <c r="A347" s="21" t="s">
        <v>29</v>
      </c>
      <c r="B347" s="21">
        <v>339</v>
      </c>
      <c r="C347" s="19">
        <v>5.9979264921125389E-2</v>
      </c>
      <c r="D347" s="19">
        <v>0.17077759197324413</v>
      </c>
      <c r="E347" s="19">
        <v>0.39568345323741005</v>
      </c>
      <c r="F347" s="19">
        <v>0.54882154882154888</v>
      </c>
      <c r="G347" s="19">
        <v>0.4674556213017752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</row>
    <row r="348" spans="1:17">
      <c r="A348" s="21" t="s">
        <v>30</v>
      </c>
      <c r="B348" s="21">
        <v>275</v>
      </c>
      <c r="C348" s="19"/>
      <c r="D348" s="19"/>
      <c r="E348" s="19"/>
      <c r="F348" s="19"/>
      <c r="G348" s="19"/>
      <c r="H348" s="19">
        <v>2.8626468888460797E-2</v>
      </c>
      <c r="I348" s="19">
        <v>5.2044030370345822E-2</v>
      </c>
      <c r="J348" s="19">
        <v>1.3010620915032682E-2</v>
      </c>
      <c r="K348" s="19"/>
      <c r="L348" s="19"/>
      <c r="M348" s="19"/>
      <c r="N348" s="19">
        <v>0.15</v>
      </c>
      <c r="O348" s="19">
        <v>0.11186654345843866</v>
      </c>
      <c r="P348" s="19">
        <v>5.7754173245632562E-3</v>
      </c>
      <c r="Q348" s="19"/>
    </row>
    <row r="349" spans="1:17">
      <c r="A349" s="21" t="s">
        <v>30</v>
      </c>
      <c r="B349" s="21">
        <v>288</v>
      </c>
      <c r="C349" s="19">
        <v>0.33784219001610311</v>
      </c>
      <c r="D349" s="25">
        <v>0.94976283669263872</v>
      </c>
      <c r="E349" s="25">
        <v>0.93002711449313391</v>
      </c>
      <c r="F349" s="25">
        <v>0.98293515358361783</v>
      </c>
      <c r="G349" s="25">
        <v>1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</row>
    <row r="350" spans="1:17">
      <c r="A350" s="21" t="s">
        <v>30</v>
      </c>
      <c r="B350" s="21">
        <v>289</v>
      </c>
      <c r="C350" s="19">
        <v>3.7842190016103062E-3</v>
      </c>
      <c r="D350" s="19">
        <v>6.8283522942044362E-3</v>
      </c>
      <c r="E350" s="19">
        <v>1.1662147584477683E-2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</row>
    <row r="351" spans="1:17">
      <c r="A351" t="s">
        <v>30</v>
      </c>
      <c r="B351">
        <v>292</v>
      </c>
      <c r="C351" s="19">
        <v>1.1594202898550725E-2</v>
      </c>
      <c r="D351" s="19"/>
      <c r="E351" s="19"/>
      <c r="F351" s="19"/>
      <c r="G351" s="19"/>
      <c r="H351" s="19">
        <v>3.6319270532331603E-2</v>
      </c>
      <c r="I351" s="19">
        <v>0.10411790060011274</v>
      </c>
      <c r="J351" s="19">
        <v>0.15839460784313728</v>
      </c>
      <c r="K351" s="19">
        <v>0.1513610529464553</v>
      </c>
      <c r="L351" s="19"/>
      <c r="M351" s="19"/>
      <c r="N351" s="19"/>
      <c r="O351" s="19">
        <v>2.2281514482066469E-2</v>
      </c>
      <c r="P351" s="19">
        <v>0.11866287267906749</v>
      </c>
      <c r="Q351" s="19"/>
    </row>
    <row r="352" spans="1:17">
      <c r="A352" s="21" t="s">
        <v>30</v>
      </c>
      <c r="B352" s="21">
        <v>293</v>
      </c>
      <c r="C352" s="19">
        <v>1.0466988727858294E-2</v>
      </c>
      <c r="D352" s="19"/>
      <c r="E352" s="19"/>
      <c r="F352" s="19"/>
      <c r="G352" s="19"/>
      <c r="H352" s="19">
        <v>9.782957683169588E-2</v>
      </c>
      <c r="I352" s="19">
        <v>0.10231093133516794</v>
      </c>
      <c r="J352" s="19">
        <v>0.29768615779645191</v>
      </c>
      <c r="K352" s="19">
        <v>4.1355070296141196E-2</v>
      </c>
      <c r="L352" s="19"/>
      <c r="M352" s="19"/>
      <c r="N352" s="19">
        <v>7.4999999999999997E-2</v>
      </c>
      <c r="O352" s="19">
        <v>0.27573144686033207</v>
      </c>
      <c r="P352" s="19">
        <v>8.255638208945143E-2</v>
      </c>
      <c r="Q352" s="19"/>
    </row>
    <row r="353" spans="1:17">
      <c r="A353" s="21" t="s">
        <v>30</v>
      </c>
      <c r="B353" s="21">
        <v>294</v>
      </c>
      <c r="C353" s="19">
        <v>0.38325281803542677</v>
      </c>
      <c r="D353" s="19">
        <v>1.1218007340478715E-2</v>
      </c>
      <c r="E353" s="19"/>
      <c r="F353" s="19"/>
      <c r="G353" s="19"/>
      <c r="H353" s="19">
        <v>0.20729467668400436</v>
      </c>
      <c r="I353" s="19">
        <v>0.21477404595338354</v>
      </c>
      <c r="J353" s="19">
        <v>0.15278944911297854</v>
      </c>
      <c r="K353" s="19">
        <v>0.8055015455179978</v>
      </c>
      <c r="L353" s="19"/>
      <c r="M353" s="19"/>
      <c r="N353" s="19">
        <v>7.4999999999999997E-2</v>
      </c>
      <c r="O353" s="19">
        <v>1.9827549278191533E-3</v>
      </c>
      <c r="P353" s="19">
        <v>0.52348078660508479</v>
      </c>
      <c r="Q353" s="19"/>
    </row>
    <row r="354" spans="1:17">
      <c r="A354" s="21" t="s">
        <v>30</v>
      </c>
      <c r="B354" s="21">
        <v>295</v>
      </c>
      <c r="C354" s="19">
        <v>1.6505636070853463E-2</v>
      </c>
      <c r="D354" s="19">
        <v>3.2190803672678056E-2</v>
      </c>
      <c r="E354" s="19">
        <v>5.831073792238841E-2</v>
      </c>
      <c r="F354" s="19">
        <v>1.7064846416382257E-2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</row>
    <row r="355" spans="1:17">
      <c r="A355" s="21" t="s">
        <v>30</v>
      </c>
      <c r="B355" s="21">
        <v>297</v>
      </c>
      <c r="C355" s="19"/>
      <c r="D355" s="19"/>
      <c r="E355" s="19"/>
      <c r="F355" s="19"/>
      <c r="G355" s="19"/>
      <c r="H355" s="19">
        <v>0.19802221794130867</v>
      </c>
      <c r="I355" s="19">
        <v>0.15899008653559235</v>
      </c>
      <c r="J355" s="19">
        <v>7.1997549019607851E-2</v>
      </c>
      <c r="K355" s="19"/>
      <c r="L355" s="19"/>
      <c r="M355" s="19"/>
      <c r="N355" s="19">
        <v>0.70000000000000007</v>
      </c>
      <c r="O355" s="19">
        <v>0.19634781437986895</v>
      </c>
      <c r="P355" s="19">
        <v>4.7230079454206181E-2</v>
      </c>
      <c r="Q355" s="19"/>
    </row>
    <row r="356" spans="1:17">
      <c r="A356" t="s">
        <v>30</v>
      </c>
      <c r="B356">
        <v>298</v>
      </c>
      <c r="C356" s="19">
        <v>0.18373590982286636</v>
      </c>
      <c r="D356" s="19"/>
      <c r="E356" s="19"/>
      <c r="F356" s="19"/>
      <c r="G356" s="19"/>
      <c r="H356" s="19">
        <v>0.23416169010466836</v>
      </c>
      <c r="I356" s="19">
        <v>0.25195782633201819</v>
      </c>
      <c r="J356" s="19">
        <v>0.21647117180205416</v>
      </c>
      <c r="K356" s="19">
        <v>1.7823312394057234E-3</v>
      </c>
      <c r="L356" s="19"/>
      <c r="M356" s="19"/>
      <c r="N356" s="19"/>
      <c r="O356" s="19">
        <v>0.28172866855558754</v>
      </c>
      <c r="P356" s="19">
        <v>0.1967981896937509</v>
      </c>
      <c r="Q356" s="19"/>
    </row>
    <row r="357" spans="1:17">
      <c r="A357" s="21" t="s">
        <v>30</v>
      </c>
      <c r="B357" s="21">
        <v>299</v>
      </c>
      <c r="C357" s="19">
        <v>5.281803542673108E-2</v>
      </c>
      <c r="D357" s="19"/>
      <c r="E357" s="19"/>
      <c r="F357" s="19"/>
      <c r="G357" s="19"/>
      <c r="H357" s="19">
        <v>0.19774609901753035</v>
      </c>
      <c r="I357" s="19">
        <v>0.11580517887337954</v>
      </c>
      <c r="J357" s="19">
        <v>8.9650443510737629E-2</v>
      </c>
      <c r="K357" s="19"/>
      <c r="L357" s="19"/>
      <c r="M357" s="19"/>
      <c r="N357" s="19"/>
      <c r="O357" s="19">
        <v>0.11006125733588726</v>
      </c>
      <c r="P357" s="19">
        <v>2.549627215387603E-2</v>
      </c>
      <c r="Q357" s="19"/>
    </row>
    <row r="358" spans="1:17">
      <c r="A358" t="s">
        <v>31</v>
      </c>
      <c r="B358">
        <v>244</v>
      </c>
      <c r="C358" s="19">
        <v>2.2296730930427493E-2</v>
      </c>
      <c r="D358" s="19">
        <v>4.1895604395604386E-2</v>
      </c>
      <c r="E358" s="19">
        <v>5.588235294117648E-2</v>
      </c>
      <c r="F358" s="19">
        <v>8.0500894454382826E-2</v>
      </c>
      <c r="G358" s="19">
        <v>0.18095238095238095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spans="1:17">
      <c r="A359" s="21" t="s">
        <v>31</v>
      </c>
      <c r="B359" s="21">
        <v>245</v>
      </c>
      <c r="C359" s="19">
        <v>7.7451802179379706E-2</v>
      </c>
      <c r="D359" s="19">
        <v>0.2321428571428571</v>
      </c>
      <c r="E359" s="19">
        <v>0.33235294117647063</v>
      </c>
      <c r="F359" s="19">
        <v>0.2629695885509839</v>
      </c>
      <c r="G359" s="19">
        <v>1.9047619047619046E-2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spans="1:17">
      <c r="A360" s="21" t="s">
        <v>31</v>
      </c>
      <c r="B360" s="21">
        <v>294</v>
      </c>
      <c r="C360" s="19">
        <v>0.36194467728415752</v>
      </c>
      <c r="D360" s="19">
        <v>0.10989010989010987</v>
      </c>
      <c r="E360" s="19"/>
      <c r="F360" s="19"/>
      <c r="G360" s="19"/>
      <c r="H360" s="19">
        <v>0.56238821567090691</v>
      </c>
      <c r="I360" s="19">
        <v>0.63831466182044261</v>
      </c>
      <c r="J360" s="19">
        <v>0.82991177996886356</v>
      </c>
      <c r="K360" s="19">
        <v>0.73080537646158883</v>
      </c>
      <c r="L360" s="19"/>
      <c r="M360" s="19"/>
      <c r="N360" s="19"/>
      <c r="O360" s="25">
        <v>1</v>
      </c>
      <c r="P360" s="25">
        <v>0.98429458124662539</v>
      </c>
      <c r="Q360" s="19"/>
    </row>
    <row r="361" spans="1:17">
      <c r="A361" s="21" t="s">
        <v>31</v>
      </c>
      <c r="B361" s="21">
        <v>300</v>
      </c>
      <c r="C361" s="19">
        <v>0.17720033528918691</v>
      </c>
      <c r="D361" s="19">
        <v>0.42032967032967028</v>
      </c>
      <c r="E361" s="19">
        <v>0.47500000000000009</v>
      </c>
      <c r="F361" s="19">
        <v>0.55813953488372092</v>
      </c>
      <c r="G361" s="19">
        <v>0.79999999999999993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spans="1:17">
      <c r="A362" s="21" t="s">
        <v>31</v>
      </c>
      <c r="B362" s="21">
        <v>301</v>
      </c>
      <c r="C362" s="19">
        <v>4.6772841575859175E-2</v>
      </c>
      <c r="D362" s="19">
        <v>6.6620879120879106E-2</v>
      </c>
      <c r="E362" s="19">
        <v>2.0588235294117654E-2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spans="1:17">
      <c r="A363" t="s">
        <v>31</v>
      </c>
      <c r="B363">
        <v>302</v>
      </c>
      <c r="C363" s="19">
        <v>7.4601844090528072E-2</v>
      </c>
      <c r="D363" s="19">
        <v>0.12912087912087911</v>
      </c>
      <c r="E363" s="19">
        <v>0.11617647058823531</v>
      </c>
      <c r="F363" s="19">
        <v>9.838998211091235E-2</v>
      </c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spans="1:17">
      <c r="A364" s="21" t="s">
        <v>31</v>
      </c>
      <c r="B364" s="21">
        <v>305</v>
      </c>
      <c r="C364" s="19"/>
      <c r="D364" s="19"/>
      <c r="E364" s="19"/>
      <c r="F364" s="19"/>
      <c r="G364" s="19"/>
      <c r="H364" s="19">
        <v>0.22943670746166675</v>
      </c>
      <c r="I364" s="19">
        <v>0.15945910400650415</v>
      </c>
      <c r="J364" s="19"/>
      <c r="K364" s="19"/>
      <c r="L364" s="19"/>
      <c r="M364" s="19"/>
      <c r="N364" s="19">
        <v>0.16666666666666666</v>
      </c>
      <c r="O364" s="19"/>
      <c r="P364" s="19"/>
      <c r="Q364" s="19"/>
    </row>
    <row r="365" spans="1:17">
      <c r="A365" s="21" t="s">
        <v>31</v>
      </c>
      <c r="B365" s="21">
        <v>307</v>
      </c>
      <c r="C365" s="19">
        <v>0.239731768650461</v>
      </c>
      <c r="D365" s="19"/>
      <c r="E365" s="19"/>
      <c r="F365" s="19"/>
      <c r="G365" s="19"/>
      <c r="H365" s="19">
        <v>0.20319125419505232</v>
      </c>
      <c r="I365" s="19">
        <v>0.20222623417305322</v>
      </c>
      <c r="J365" s="19">
        <v>0.17008822003113647</v>
      </c>
      <c r="K365" s="19">
        <v>0.26919462353841112</v>
      </c>
      <c r="L365" s="19"/>
      <c r="M365" s="19"/>
      <c r="N365" s="19">
        <v>0.83333333333333326</v>
      </c>
      <c r="O365" s="19"/>
      <c r="P365" s="19">
        <v>1.5705418753374646E-2</v>
      </c>
      <c r="Q365" s="19"/>
    </row>
    <row r="366" spans="1:17">
      <c r="A366" s="21" t="s">
        <v>31</v>
      </c>
      <c r="B366" s="21">
        <v>317</v>
      </c>
      <c r="C366" s="19"/>
      <c r="D366" s="19"/>
      <c r="E366" s="19"/>
      <c r="F366" s="19"/>
      <c r="G366" s="19"/>
      <c r="H366" s="19">
        <v>4.983822672373947E-3</v>
      </c>
      <c r="I366" s="19"/>
      <c r="J366" s="19"/>
      <c r="K366" s="19"/>
      <c r="L366" s="19"/>
      <c r="M366" s="19"/>
      <c r="N366" s="19"/>
      <c r="O366" s="19"/>
      <c r="P366" s="19"/>
      <c r="Q366" s="19"/>
    </row>
    <row r="367" spans="1:17">
      <c r="A367" s="21" t="s">
        <v>32</v>
      </c>
      <c r="B367" s="21">
        <v>125</v>
      </c>
      <c r="C367" s="19"/>
      <c r="D367" s="19"/>
      <c r="E367" s="19"/>
      <c r="F367" s="19"/>
      <c r="G367" s="19"/>
      <c r="H367" s="19">
        <v>1.7605013907960989E-4</v>
      </c>
      <c r="I367" s="19">
        <v>4.823860190749214E-4</v>
      </c>
      <c r="J367" s="19"/>
      <c r="K367" s="19"/>
      <c r="L367" s="19"/>
      <c r="M367" s="19">
        <v>4.9316455696202528E-2</v>
      </c>
      <c r="N367" s="19">
        <v>8.6806381123829587E-2</v>
      </c>
      <c r="O367" s="19"/>
      <c r="P367" s="19"/>
      <c r="Q367" s="19"/>
    </row>
    <row r="368" spans="1:17">
      <c r="A368" t="s">
        <v>32</v>
      </c>
      <c r="B368">
        <v>129</v>
      </c>
      <c r="C368" s="19"/>
      <c r="D368" s="19"/>
      <c r="E368" s="19"/>
      <c r="F368" s="19"/>
      <c r="G368" s="19"/>
      <c r="H368" s="19">
        <v>3.1512974895250168E-3</v>
      </c>
      <c r="I368" s="19">
        <v>6.1883235018468487E-3</v>
      </c>
      <c r="J368" s="19"/>
      <c r="K368" s="19"/>
      <c r="L368" s="19"/>
      <c r="M368" s="19"/>
      <c r="N368" s="19">
        <v>3.830259388834166E-2</v>
      </c>
      <c r="O368" s="19">
        <v>3.9853923453511193E-2</v>
      </c>
      <c r="P368" s="19">
        <v>1.3363263876585669E-2</v>
      </c>
      <c r="Q368" s="19"/>
    </row>
    <row r="369" spans="1:17">
      <c r="A369" s="21" t="s">
        <v>32</v>
      </c>
      <c r="B369" s="21">
        <v>177</v>
      </c>
      <c r="C369" s="19">
        <v>1.3474203710292402E-2</v>
      </c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</row>
    <row r="370" spans="1:17">
      <c r="A370" s="21" t="s">
        <v>32</v>
      </c>
      <c r="B370" s="21">
        <v>183</v>
      </c>
      <c r="C370" s="19">
        <v>1.1100490012689326E-2</v>
      </c>
      <c r="D370" s="19">
        <v>1.5698587127158558E-2</v>
      </c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</row>
    <row r="371" spans="1:17">
      <c r="A371" s="21" t="s">
        <v>32</v>
      </c>
      <c r="B371" s="21">
        <v>191</v>
      </c>
      <c r="C371" s="19">
        <v>2.1081692704476081E-2</v>
      </c>
      <c r="D371" s="25">
        <v>0.98430141287284145</v>
      </c>
      <c r="E371" s="25">
        <v>1</v>
      </c>
      <c r="F371" s="25">
        <v>1</v>
      </c>
      <c r="G371" s="19"/>
      <c r="H371" s="19">
        <v>0.42943910425689241</v>
      </c>
      <c r="I371" s="19">
        <v>0.44383648492199124</v>
      </c>
      <c r="J371" s="19">
        <v>0.55940604869527233</v>
      </c>
      <c r="K371" s="19">
        <v>0.60071773149782326</v>
      </c>
      <c r="L371" s="19"/>
      <c r="M371" s="19">
        <v>0.83797468354430371</v>
      </c>
      <c r="N371" s="19">
        <v>0.58032449078948856</v>
      </c>
      <c r="O371" s="19">
        <v>0.64875725923136385</v>
      </c>
      <c r="P371" s="19">
        <v>0.68761565741543895</v>
      </c>
      <c r="Q371" s="19"/>
    </row>
    <row r="372" spans="1:17">
      <c r="A372" s="21" t="s">
        <v>32</v>
      </c>
      <c r="B372" s="21">
        <v>192</v>
      </c>
      <c r="C372" s="19">
        <v>0.23846698865900826</v>
      </c>
      <c r="D372" s="19"/>
      <c r="E372" s="19"/>
      <c r="F372" s="19"/>
      <c r="G372" s="19"/>
      <c r="H372" s="19">
        <v>0.1402591458047252</v>
      </c>
      <c r="I372" s="19">
        <v>7.5128176856497045E-2</v>
      </c>
      <c r="J372" s="19">
        <v>4.8040179058849217E-4</v>
      </c>
      <c r="K372" s="19"/>
      <c r="L372" s="19"/>
      <c r="M372" s="19"/>
      <c r="N372" s="19"/>
      <c r="O372" s="19"/>
      <c r="P372" s="19"/>
      <c r="Q372" s="19"/>
    </row>
    <row r="373" spans="1:17">
      <c r="A373" t="s">
        <v>32</v>
      </c>
      <c r="B373">
        <v>193</v>
      </c>
      <c r="C373" s="19">
        <v>0.35445600040312664</v>
      </c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</row>
    <row r="374" spans="1:17">
      <c r="A374" s="21" t="s">
        <v>32</v>
      </c>
      <c r="B374" s="21">
        <v>194</v>
      </c>
      <c r="C374" s="19">
        <v>1.7140518659115166E-3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</row>
    <row r="375" spans="1:17">
      <c r="A375" s="21" t="s">
        <v>32</v>
      </c>
      <c r="B375" s="21">
        <v>195</v>
      </c>
      <c r="C375" s="19">
        <v>4.7336844403792442E-5</v>
      </c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</row>
    <row r="376" spans="1:17">
      <c r="A376" s="21" t="s">
        <v>32</v>
      </c>
      <c r="B376" s="21">
        <v>196</v>
      </c>
      <c r="C376" s="19">
        <v>0.1113461835050948</v>
      </c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</row>
    <row r="377" spans="1:17">
      <c r="A377" t="s">
        <v>32</v>
      </c>
      <c r="B377">
        <v>197</v>
      </c>
      <c r="C377" s="19">
        <v>0.15607797447169791</v>
      </c>
      <c r="D377" s="19"/>
      <c r="E377" s="19"/>
      <c r="F377" s="19"/>
      <c r="G377" s="19"/>
      <c r="H377" s="19">
        <v>0.27601140804901236</v>
      </c>
      <c r="I377" s="19">
        <v>0.25620210595953469</v>
      </c>
      <c r="J377" s="19">
        <v>0.42583251446664477</v>
      </c>
      <c r="K377" s="19">
        <v>0.39363454524061653</v>
      </c>
      <c r="L377" s="19"/>
      <c r="M377" s="19">
        <v>1.6405063291139239E-2</v>
      </c>
      <c r="N377" s="19">
        <v>6.6687046409202588E-2</v>
      </c>
      <c r="O377" s="19">
        <v>0.1081947555150338</v>
      </c>
      <c r="P377" s="19">
        <v>0.14456984914227899</v>
      </c>
      <c r="Q377" s="19"/>
    </row>
    <row r="378" spans="1:17">
      <c r="A378" s="21" t="s">
        <v>32</v>
      </c>
      <c r="B378" s="21">
        <v>198</v>
      </c>
      <c r="C378" s="19">
        <v>9.2235077823299191E-2</v>
      </c>
      <c r="D378" s="19"/>
      <c r="E378" s="19"/>
      <c r="F378" s="19"/>
      <c r="G378" s="19"/>
      <c r="H378" s="19">
        <v>0.14925530791169325</v>
      </c>
      <c r="I378" s="19">
        <v>0.21718396824521749</v>
      </c>
      <c r="J378" s="19">
        <v>5.5901299268479084E-3</v>
      </c>
      <c r="K378" s="19"/>
      <c r="L378" s="19"/>
      <c r="M378" s="19">
        <v>9.6303797468354421E-2</v>
      </c>
      <c r="N378" s="19">
        <v>0.22787948778913764</v>
      </c>
      <c r="O378" s="19">
        <v>0.20154896636473552</v>
      </c>
      <c r="P378" s="19">
        <v>0.12943082470457756</v>
      </c>
      <c r="Q378" s="19"/>
    </row>
    <row r="379" spans="1:17">
      <c r="A379" s="21" t="s">
        <v>32</v>
      </c>
      <c r="B379" s="21">
        <v>206</v>
      </c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>
        <v>1.1148990149247816E-3</v>
      </c>
      <c r="P379" s="19">
        <v>3.6867001268839302E-3</v>
      </c>
      <c r="Q379" s="19"/>
    </row>
    <row r="380" spans="1:17">
      <c r="A380" s="21" t="s">
        <v>32</v>
      </c>
      <c r="B380" s="21">
        <v>211</v>
      </c>
      <c r="C380" s="19"/>
      <c r="D380" s="19"/>
      <c r="E380" s="19"/>
      <c r="F380" s="19"/>
      <c r="G380" s="19"/>
      <c r="H380" s="19">
        <v>1.7076863490722157E-3</v>
      </c>
      <c r="I380" s="19">
        <v>9.7855449583769769E-4</v>
      </c>
      <c r="J380" s="19">
        <v>8.690905120646358E-3</v>
      </c>
      <c r="K380" s="19">
        <v>5.6477232615601836E-3</v>
      </c>
      <c r="L380" s="19"/>
      <c r="M380" s="19"/>
      <c r="N380" s="19"/>
      <c r="O380" s="19">
        <v>5.3019642043089618E-4</v>
      </c>
      <c r="P380" s="19">
        <v>1.0734441869443709E-2</v>
      </c>
      <c r="Q380" s="19"/>
    </row>
    <row r="381" spans="1:17">
      <c r="A381" s="21" t="s">
        <v>32</v>
      </c>
      <c r="B381" s="21">
        <v>212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>
        <v>1.0138425348930807E-2</v>
      </c>
      <c r="Q381" s="19"/>
    </row>
    <row r="382" spans="1:17">
      <c r="A382" t="s">
        <v>32</v>
      </c>
      <c r="B382">
        <v>219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>
        <v>4.6083751586049128E-4</v>
      </c>
      <c r="Q382" s="19"/>
    </row>
  </sheetData>
  <sortState ref="A4:Q382">
    <sortCondition ref="A4:A382"/>
    <sortCondition ref="B4:B3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IPM-ReEDS overlap</vt:lpstr>
      <vt:lpstr>20% Vision Results by ReEDS</vt:lpstr>
      <vt:lpstr>IPM-ReEDS overlap w wind</vt:lpstr>
      <vt:lpstr>IPM-ReEDS weighted</vt:lpstr>
      <vt:lpstr>IPM-ReEDS weighted simplified</vt:lpstr>
      <vt:lpstr>IPM-ReEDS unconstrained</vt:lpstr>
      <vt:lpstr>IPM-ReEDS uncon weight</vt:lpstr>
      <vt:lpstr>IPM-ReEDS uncon weight simp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Goodnow 2, Matt</dc:creator>
  <cp:lastModifiedBy>Martin</cp:lastModifiedBy>
  <cp:lastPrinted>2009-08-13T20:24:57Z</cp:lastPrinted>
  <dcterms:created xsi:type="dcterms:W3CDTF">2009-05-12T19:58:02Z</dcterms:created>
  <dcterms:modified xsi:type="dcterms:W3CDTF">2011-04-12T15:46:33Z</dcterms:modified>
</cp:coreProperties>
</file>